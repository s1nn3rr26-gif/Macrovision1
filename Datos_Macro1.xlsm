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OneDrive\Desktop\Rusia\macrovision\"/>
    </mc:Choice>
  </mc:AlternateContent>
  <xr:revisionPtr revIDLastSave="0" documentId="13_ncr:1_{DCD23165-0B95-453C-B1DB-0B8437AD83F2}" xr6:coauthVersionLast="47" xr6:coauthVersionMax="47" xr10:uidLastSave="{00000000-0000-0000-0000-000000000000}"/>
  <bookViews>
    <workbookView xWindow="-120" yWindow="-120" windowWidth="20730" windowHeight="11040" activeTab="2" xr2:uid="{00000000-000D-0000-FFFF-FFFF00000000}"/>
  </bookViews>
  <sheets>
    <sheet name="FED" sheetId="2" r:id="rId1"/>
    <sheet name="BCE" sheetId="3" r:id="rId2"/>
    <sheet name="BOE" sheetId="1" r:id="rId3"/>
    <sheet name="BOC" sheetId="4" r:id="rId4"/>
    <sheet name="RBA" sheetId="5" r:id="rId5"/>
    <sheet name="RBNZ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Z85" i="2" l="1"/>
  <c r="AZ84" i="2"/>
  <c r="AZ82" i="2"/>
  <c r="AZ81" i="2"/>
  <c r="AZ80" i="2"/>
  <c r="AZ79" i="2"/>
  <c r="AZ78" i="2"/>
  <c r="AZ77" i="2"/>
  <c r="AZ76" i="2"/>
  <c r="AZ75" i="2"/>
  <c r="AZ74" i="2"/>
  <c r="AZ73" i="2"/>
  <c r="AZ72" i="2"/>
  <c r="AZ70" i="2"/>
  <c r="AZ69" i="2"/>
  <c r="AZ68" i="2"/>
  <c r="AZ67" i="2"/>
  <c r="AZ66" i="2"/>
  <c r="AZ65" i="2"/>
  <c r="AZ64" i="2"/>
  <c r="AZ63" i="2"/>
  <c r="AZ62" i="2"/>
  <c r="AZ61" i="2"/>
  <c r="AZ60" i="2"/>
  <c r="AZ59" i="2"/>
  <c r="AZ58" i="2"/>
  <c r="AZ57" i="2"/>
  <c r="AZ56" i="2"/>
  <c r="AZ55" i="2"/>
  <c r="AZ54" i="2"/>
  <c r="AZ53" i="2"/>
  <c r="AZ52" i="2"/>
  <c r="AZ51" i="2"/>
  <c r="AZ50" i="2"/>
  <c r="AZ49" i="2"/>
  <c r="AZ47" i="2"/>
  <c r="AZ46" i="2"/>
  <c r="AZ45" i="2"/>
  <c r="AZ44" i="2"/>
  <c r="AZ43" i="2"/>
  <c r="AZ42" i="2"/>
  <c r="AZ41" i="2"/>
  <c r="AZ40" i="2"/>
  <c r="AZ39" i="2"/>
  <c r="AZ38" i="2"/>
  <c r="AZ37" i="2"/>
  <c r="AZ35" i="2"/>
  <c r="AZ34" i="2"/>
  <c r="AZ33" i="2"/>
  <c r="AZ32" i="2"/>
  <c r="AZ31" i="2"/>
  <c r="AZ30" i="2"/>
  <c r="AZ29" i="2"/>
  <c r="AZ28" i="2"/>
  <c r="AZ27" i="2"/>
  <c r="AZ26" i="2"/>
  <c r="AZ25" i="2"/>
  <c r="AZ24" i="2"/>
  <c r="AZ22" i="2"/>
  <c r="AZ21" i="2"/>
  <c r="AZ20" i="2"/>
  <c r="AZ19" i="2"/>
  <c r="AZ18" i="2"/>
  <c r="AZ17" i="2"/>
  <c r="AZ16" i="2"/>
  <c r="AZ14" i="2"/>
  <c r="AZ12" i="2"/>
  <c r="AZ11" i="2"/>
  <c r="AZ10" i="2"/>
  <c r="AZ9" i="2"/>
  <c r="AZ8" i="2"/>
  <c r="AZ7" i="2"/>
  <c r="AZ6" i="2"/>
  <c r="AZ5" i="2"/>
  <c r="AZ4" i="2"/>
  <c r="AZ3" i="2"/>
  <c r="AW85" i="2"/>
  <c r="AW84" i="2"/>
  <c r="AW82" i="2"/>
  <c r="AW81" i="2"/>
  <c r="AW80" i="2"/>
  <c r="AW79" i="2"/>
  <c r="AW78" i="2"/>
  <c r="AW77" i="2"/>
  <c r="AW76" i="2"/>
  <c r="AW75" i="2"/>
  <c r="AW74" i="2"/>
  <c r="AW73" i="2"/>
  <c r="AW72" i="2"/>
  <c r="AW70" i="2"/>
  <c r="AW69" i="2"/>
  <c r="AW68" i="2"/>
  <c r="AW67" i="2"/>
  <c r="AW66" i="2"/>
  <c r="AW65" i="2"/>
  <c r="AW64" i="2"/>
  <c r="AW63" i="2"/>
  <c r="AW62" i="2"/>
  <c r="AW61" i="2"/>
  <c r="AW60" i="2"/>
  <c r="AW59" i="2"/>
  <c r="AW58" i="2"/>
  <c r="AW57" i="2"/>
  <c r="AW56" i="2"/>
  <c r="AW55" i="2"/>
  <c r="AW54" i="2"/>
  <c r="AW53" i="2"/>
  <c r="AW52" i="2"/>
  <c r="AW51" i="2"/>
  <c r="AW50" i="2"/>
  <c r="AW49" i="2"/>
  <c r="AW47" i="2"/>
  <c r="AW46" i="2"/>
  <c r="AW45" i="2"/>
  <c r="AW44" i="2"/>
  <c r="AW43" i="2"/>
  <c r="AW42" i="2"/>
  <c r="AW41" i="2"/>
  <c r="AW40" i="2"/>
  <c r="AW39" i="2"/>
  <c r="AW38" i="2"/>
  <c r="AW37" i="2"/>
  <c r="AW35" i="2"/>
  <c r="AW34" i="2"/>
  <c r="AW33" i="2"/>
  <c r="AW32" i="2"/>
  <c r="AW31" i="2"/>
  <c r="AW30" i="2"/>
  <c r="AW29" i="2"/>
  <c r="AW28" i="2"/>
  <c r="AW27" i="2"/>
  <c r="AW26" i="2"/>
  <c r="AW25" i="2"/>
  <c r="AW24" i="2"/>
  <c r="AW22" i="2"/>
  <c r="AW21" i="2"/>
  <c r="AW20" i="2"/>
  <c r="AW19" i="2"/>
  <c r="AW18" i="2"/>
  <c r="AW17" i="2"/>
  <c r="AW16" i="2"/>
  <c r="AW14" i="2"/>
  <c r="AW12" i="2"/>
  <c r="AW11" i="2"/>
  <c r="AW10" i="2"/>
  <c r="AW9" i="2"/>
  <c r="AW8" i="2"/>
  <c r="AW7" i="2"/>
  <c r="AW6" i="2"/>
  <c r="AW5" i="2"/>
  <c r="AW4" i="2"/>
  <c r="AW3" i="2"/>
  <c r="AT85" i="2"/>
  <c r="AT84" i="2"/>
  <c r="AT82" i="2"/>
  <c r="AT81" i="2"/>
  <c r="AT80" i="2"/>
  <c r="AT79" i="2"/>
  <c r="AT78" i="2"/>
  <c r="AT77" i="2"/>
  <c r="AT76" i="2"/>
  <c r="AT75" i="2"/>
  <c r="AT74" i="2"/>
  <c r="AT73" i="2"/>
  <c r="AT72" i="2"/>
  <c r="AT70" i="2"/>
  <c r="AT69" i="2"/>
  <c r="AT68" i="2"/>
  <c r="AT67" i="2"/>
  <c r="AT66" i="2"/>
  <c r="AT65" i="2"/>
  <c r="AT64" i="2"/>
  <c r="AT63" i="2"/>
  <c r="AT62" i="2"/>
  <c r="AT61" i="2"/>
  <c r="AT60" i="2"/>
  <c r="AT59" i="2"/>
  <c r="AT58" i="2"/>
  <c r="AT57" i="2"/>
  <c r="AT56" i="2"/>
  <c r="AT55" i="2"/>
  <c r="AT54" i="2"/>
  <c r="AT53" i="2"/>
  <c r="AT52" i="2"/>
  <c r="AT51" i="2"/>
  <c r="AT50" i="2"/>
  <c r="AT49" i="2"/>
  <c r="AT47" i="2"/>
  <c r="AT46" i="2"/>
  <c r="AT45" i="2"/>
  <c r="AT44" i="2"/>
  <c r="AT43" i="2"/>
  <c r="AT42" i="2"/>
  <c r="AT41" i="2"/>
  <c r="AT40" i="2"/>
  <c r="AT39" i="2"/>
  <c r="AT38" i="2"/>
  <c r="AT37" i="2"/>
  <c r="AT35" i="2"/>
  <c r="AT34" i="2"/>
  <c r="AT33" i="2"/>
  <c r="AT32" i="2"/>
  <c r="AT31" i="2"/>
  <c r="AT30" i="2"/>
  <c r="AT29" i="2"/>
  <c r="AT28" i="2"/>
  <c r="AT27" i="2"/>
  <c r="AT26" i="2"/>
  <c r="AT25" i="2"/>
  <c r="AT24" i="2"/>
  <c r="AT22" i="2"/>
  <c r="AT21" i="2"/>
  <c r="AT20" i="2"/>
  <c r="AT19" i="2"/>
  <c r="AT18" i="2"/>
  <c r="AT17" i="2"/>
  <c r="AT16" i="2"/>
  <c r="AT14" i="2"/>
  <c r="AT12" i="2"/>
  <c r="AT11" i="2"/>
  <c r="AT10" i="2"/>
  <c r="AT9" i="2"/>
  <c r="AT8" i="2"/>
  <c r="AT7" i="2"/>
  <c r="AT6" i="2"/>
  <c r="AT5" i="2"/>
  <c r="AT4" i="2"/>
  <c r="AT3" i="2"/>
  <c r="AQ85" i="2"/>
  <c r="AQ84" i="2"/>
  <c r="AQ82" i="2"/>
  <c r="AQ81" i="2"/>
  <c r="AQ80" i="2"/>
  <c r="AQ79" i="2"/>
  <c r="AQ78" i="2"/>
  <c r="AQ77" i="2"/>
  <c r="AQ76" i="2"/>
  <c r="AQ75" i="2"/>
  <c r="AQ74" i="2"/>
  <c r="AQ73" i="2"/>
  <c r="AQ72" i="2"/>
  <c r="AQ70" i="2"/>
  <c r="AQ69" i="2"/>
  <c r="AQ68" i="2"/>
  <c r="AQ67" i="2"/>
  <c r="AQ66" i="2"/>
  <c r="AQ65" i="2"/>
  <c r="AQ64" i="2"/>
  <c r="AQ63" i="2"/>
  <c r="AQ62" i="2"/>
  <c r="AQ61" i="2"/>
  <c r="AQ60" i="2"/>
  <c r="AQ59" i="2"/>
  <c r="AQ58" i="2"/>
  <c r="AQ57" i="2"/>
  <c r="AQ56" i="2"/>
  <c r="AQ55" i="2"/>
  <c r="AQ54" i="2"/>
  <c r="AQ53" i="2"/>
  <c r="AQ52" i="2"/>
  <c r="AQ51" i="2"/>
  <c r="AQ50" i="2"/>
  <c r="AQ49" i="2"/>
  <c r="AQ47" i="2"/>
  <c r="AQ46" i="2"/>
  <c r="AQ45" i="2"/>
  <c r="AQ44" i="2"/>
  <c r="AQ43" i="2"/>
  <c r="AQ42" i="2"/>
  <c r="AQ41" i="2"/>
  <c r="AQ40" i="2"/>
  <c r="AQ39" i="2"/>
  <c r="AQ38" i="2"/>
  <c r="AQ37" i="2"/>
  <c r="AQ35" i="2"/>
  <c r="AQ34" i="2"/>
  <c r="AQ33" i="2"/>
  <c r="AQ32" i="2"/>
  <c r="AQ31" i="2"/>
  <c r="AQ30" i="2"/>
  <c r="AQ29" i="2"/>
  <c r="AQ28" i="2"/>
  <c r="AQ27" i="2"/>
  <c r="AQ26" i="2"/>
  <c r="AQ25" i="2"/>
  <c r="AQ24" i="2"/>
  <c r="AQ22" i="2"/>
  <c r="AQ21" i="2"/>
  <c r="AQ20" i="2"/>
  <c r="AQ19" i="2"/>
  <c r="AQ18" i="2"/>
  <c r="AQ17" i="2"/>
  <c r="AQ16" i="2"/>
  <c r="AQ14" i="2"/>
  <c r="AQ12" i="2"/>
  <c r="AQ11" i="2"/>
  <c r="AQ10" i="2"/>
  <c r="AQ9" i="2"/>
  <c r="AQ8" i="2"/>
  <c r="AQ7" i="2"/>
  <c r="AQ6" i="2"/>
  <c r="AQ5" i="2"/>
  <c r="AQ4" i="2"/>
  <c r="AQ3" i="2"/>
  <c r="AN85" i="2"/>
  <c r="AN84" i="2"/>
  <c r="AN82" i="2"/>
  <c r="AN81" i="2"/>
  <c r="AN80" i="2"/>
  <c r="AN79" i="2"/>
  <c r="AN78" i="2"/>
  <c r="AN77" i="2"/>
  <c r="AN76" i="2"/>
  <c r="AN75" i="2"/>
  <c r="AN74" i="2"/>
  <c r="AN73" i="2"/>
  <c r="AN72" i="2"/>
  <c r="AN70" i="2"/>
  <c r="AN69" i="2"/>
  <c r="AN68" i="2"/>
  <c r="AN67" i="2"/>
  <c r="AN66" i="2"/>
  <c r="AN65" i="2"/>
  <c r="AN64" i="2"/>
  <c r="AN63" i="2"/>
  <c r="AN62" i="2"/>
  <c r="AN61" i="2"/>
  <c r="AN60" i="2"/>
  <c r="AN59" i="2"/>
  <c r="AN58" i="2"/>
  <c r="AN57" i="2"/>
  <c r="AN56" i="2"/>
  <c r="AN55" i="2"/>
  <c r="AN54" i="2"/>
  <c r="AN53" i="2"/>
  <c r="AN52" i="2"/>
  <c r="AN51" i="2"/>
  <c r="AN50" i="2"/>
  <c r="AN49" i="2"/>
  <c r="AN47" i="2"/>
  <c r="AN46" i="2"/>
  <c r="AN45" i="2"/>
  <c r="AN44" i="2"/>
  <c r="AN43" i="2"/>
  <c r="AN42" i="2"/>
  <c r="AN41" i="2"/>
  <c r="AN40" i="2"/>
  <c r="AN39" i="2"/>
  <c r="AN38" i="2"/>
  <c r="AN37" i="2"/>
  <c r="AN35" i="2"/>
  <c r="AN34" i="2"/>
  <c r="AN33" i="2"/>
  <c r="AN32" i="2"/>
  <c r="AN31" i="2"/>
  <c r="AN30" i="2"/>
  <c r="AN29" i="2"/>
  <c r="AN28" i="2"/>
  <c r="AN27" i="2"/>
  <c r="AN26" i="2"/>
  <c r="AN25" i="2"/>
  <c r="AN24" i="2"/>
  <c r="AN22" i="2"/>
  <c r="AN21" i="2"/>
  <c r="AN20" i="2"/>
  <c r="AN19" i="2"/>
  <c r="AN18" i="2"/>
  <c r="AN17" i="2"/>
  <c r="AN16" i="2"/>
  <c r="AN14" i="2"/>
  <c r="AN12" i="2"/>
  <c r="AN11" i="2"/>
  <c r="AN10" i="2"/>
  <c r="AN9" i="2"/>
  <c r="AN8" i="2"/>
  <c r="AN7" i="2"/>
  <c r="AN6" i="2"/>
  <c r="AN5" i="2"/>
  <c r="AN4" i="2"/>
  <c r="AN3" i="2"/>
  <c r="AK85" i="2"/>
  <c r="AK84" i="2"/>
  <c r="AK82" i="2"/>
  <c r="AK81" i="2"/>
  <c r="AK80" i="2"/>
  <c r="AK79" i="2"/>
  <c r="AK78" i="2"/>
  <c r="AK77" i="2"/>
  <c r="AK76" i="2"/>
  <c r="AK75" i="2"/>
  <c r="AK74" i="2"/>
  <c r="AK73" i="2"/>
  <c r="AK72" i="2"/>
  <c r="AK70" i="2"/>
  <c r="AK69" i="2"/>
  <c r="AK68" i="2"/>
  <c r="AK67" i="2"/>
  <c r="AK66" i="2"/>
  <c r="AK65" i="2"/>
  <c r="AK64" i="2"/>
  <c r="AK63" i="2"/>
  <c r="AK62" i="2"/>
  <c r="AK61" i="2"/>
  <c r="AK60" i="2"/>
  <c r="AK59" i="2"/>
  <c r="AK58" i="2"/>
  <c r="AK57" i="2"/>
  <c r="AK56" i="2"/>
  <c r="AK55" i="2"/>
  <c r="AK54" i="2"/>
  <c r="AK53" i="2"/>
  <c r="AK52" i="2"/>
  <c r="AK51" i="2"/>
  <c r="AK50" i="2"/>
  <c r="AK49" i="2"/>
  <c r="AK47" i="2"/>
  <c r="AK46" i="2"/>
  <c r="AK45" i="2"/>
  <c r="AK44" i="2"/>
  <c r="AK43" i="2"/>
  <c r="AK42" i="2"/>
  <c r="AK41" i="2"/>
  <c r="AK40" i="2"/>
  <c r="AK39" i="2"/>
  <c r="AK38" i="2"/>
  <c r="AK37" i="2"/>
  <c r="AK35" i="2"/>
  <c r="AK34" i="2"/>
  <c r="AK33" i="2"/>
  <c r="AK32" i="2"/>
  <c r="AK31" i="2"/>
  <c r="AK30" i="2"/>
  <c r="AK29" i="2"/>
  <c r="AK28" i="2"/>
  <c r="AK27" i="2"/>
  <c r="AK26" i="2"/>
  <c r="AK25" i="2"/>
  <c r="AK24" i="2"/>
  <c r="AK22" i="2"/>
  <c r="AK21" i="2"/>
  <c r="AK20" i="2"/>
  <c r="AK19" i="2"/>
  <c r="AK18" i="2"/>
  <c r="AK17" i="2"/>
  <c r="AK16" i="2"/>
  <c r="AK14" i="2"/>
  <c r="AK12" i="2"/>
  <c r="AK11" i="2"/>
  <c r="AK10" i="2"/>
  <c r="AK9" i="2"/>
  <c r="AK8" i="2"/>
  <c r="AK7" i="2"/>
  <c r="AK6" i="2"/>
  <c r="AK5" i="2"/>
  <c r="AK4" i="2"/>
  <c r="AK3" i="2"/>
  <c r="AH85" i="2"/>
  <c r="AH84" i="2"/>
  <c r="AH82" i="2"/>
  <c r="AH81" i="2"/>
  <c r="AH80" i="2"/>
  <c r="AH79" i="2"/>
  <c r="AH78" i="2"/>
  <c r="AH77" i="2"/>
  <c r="AH76" i="2"/>
  <c r="AH75" i="2"/>
  <c r="AH74" i="2"/>
  <c r="AH73" i="2"/>
  <c r="AH72" i="2"/>
  <c r="AH70" i="2"/>
  <c r="AH69" i="2"/>
  <c r="AH68" i="2"/>
  <c r="AH67" i="2"/>
  <c r="AH66" i="2"/>
  <c r="AH65" i="2"/>
  <c r="AH64" i="2"/>
  <c r="AH63" i="2"/>
  <c r="AH62" i="2"/>
  <c r="AH61" i="2"/>
  <c r="AH60" i="2"/>
  <c r="AH59" i="2"/>
  <c r="AH58" i="2"/>
  <c r="AH57" i="2"/>
  <c r="AH56" i="2"/>
  <c r="AH55" i="2"/>
  <c r="AH54" i="2"/>
  <c r="AH53" i="2"/>
  <c r="AH52" i="2"/>
  <c r="AH51" i="2"/>
  <c r="AH50" i="2"/>
  <c r="AH49" i="2"/>
  <c r="AH47" i="2"/>
  <c r="AH46" i="2"/>
  <c r="AH45" i="2"/>
  <c r="AH44" i="2"/>
  <c r="AH43" i="2"/>
  <c r="AH42" i="2"/>
  <c r="AH41" i="2"/>
  <c r="AH40" i="2"/>
  <c r="AH39" i="2"/>
  <c r="AH38" i="2"/>
  <c r="AH37" i="2"/>
  <c r="AH35" i="2"/>
  <c r="AH34" i="2"/>
  <c r="AH33" i="2"/>
  <c r="AH32" i="2"/>
  <c r="AH31" i="2"/>
  <c r="AH30" i="2"/>
  <c r="AH29" i="2"/>
  <c r="AH28" i="2"/>
  <c r="AH27" i="2"/>
  <c r="AH26" i="2"/>
  <c r="AH25" i="2"/>
  <c r="AH24" i="2"/>
  <c r="AH22" i="2"/>
  <c r="AH21" i="2"/>
  <c r="AH20" i="2"/>
  <c r="AH19" i="2"/>
  <c r="AH18" i="2"/>
  <c r="AH17" i="2"/>
  <c r="AH16" i="2"/>
  <c r="AH14" i="2"/>
  <c r="AH12" i="2"/>
  <c r="AH11" i="2"/>
  <c r="AH10" i="2"/>
  <c r="AH9" i="2"/>
  <c r="AH8" i="2"/>
  <c r="AH7" i="2"/>
  <c r="AH6" i="2"/>
  <c r="AH5" i="2"/>
  <c r="AH4" i="2"/>
  <c r="AH3" i="2"/>
  <c r="AE85" i="2"/>
  <c r="AE84" i="2"/>
  <c r="AE82" i="2"/>
  <c r="AE81" i="2"/>
  <c r="AE80" i="2"/>
  <c r="AE79" i="2"/>
  <c r="AE78" i="2"/>
  <c r="AE77" i="2"/>
  <c r="AE76" i="2"/>
  <c r="AE75" i="2"/>
  <c r="AE74" i="2"/>
  <c r="AE73" i="2"/>
  <c r="AE72" i="2"/>
  <c r="AE70" i="2"/>
  <c r="AE69" i="2"/>
  <c r="AE68" i="2"/>
  <c r="AE67" i="2"/>
  <c r="AE66" i="2"/>
  <c r="AE65" i="2"/>
  <c r="AE64" i="2"/>
  <c r="AE63" i="2"/>
  <c r="AE62" i="2"/>
  <c r="AE61" i="2"/>
  <c r="AE60" i="2"/>
  <c r="AE59" i="2"/>
  <c r="AE58" i="2"/>
  <c r="AE57" i="2"/>
  <c r="AE56" i="2"/>
  <c r="AE55" i="2"/>
  <c r="AE54" i="2"/>
  <c r="AE53" i="2"/>
  <c r="AE52" i="2"/>
  <c r="AE51" i="2"/>
  <c r="AE50" i="2"/>
  <c r="AE49" i="2"/>
  <c r="AE47" i="2"/>
  <c r="AE46" i="2"/>
  <c r="AE45" i="2"/>
  <c r="AE44" i="2"/>
  <c r="AE43" i="2"/>
  <c r="AE42" i="2"/>
  <c r="AE41" i="2"/>
  <c r="AE40" i="2"/>
  <c r="AE39" i="2"/>
  <c r="AE38" i="2"/>
  <c r="AE37" i="2"/>
  <c r="AE35" i="2"/>
  <c r="AE34" i="2"/>
  <c r="AE33" i="2"/>
  <c r="AE32" i="2"/>
  <c r="AE31" i="2"/>
  <c r="AE30" i="2"/>
  <c r="AE29" i="2"/>
  <c r="AE28" i="2"/>
  <c r="AE27" i="2"/>
  <c r="AE26" i="2"/>
  <c r="AE25" i="2"/>
  <c r="AE24" i="2"/>
  <c r="AE22" i="2"/>
  <c r="AE21" i="2"/>
  <c r="AE20" i="2"/>
  <c r="AE19" i="2"/>
  <c r="AE18" i="2"/>
  <c r="AE17" i="2"/>
  <c r="AE16" i="2"/>
  <c r="AE14" i="2"/>
  <c r="AE12" i="2"/>
  <c r="AE11" i="2"/>
  <c r="AE10" i="2"/>
  <c r="AE9" i="2"/>
  <c r="AE8" i="2"/>
  <c r="AE7" i="2"/>
  <c r="AE6" i="2"/>
  <c r="AE5" i="2"/>
  <c r="AE4" i="2"/>
  <c r="AE3" i="2"/>
  <c r="AB85" i="2"/>
  <c r="AB84" i="2"/>
  <c r="AB82" i="2"/>
  <c r="AB81" i="2"/>
  <c r="AB80" i="2"/>
  <c r="AB79" i="2"/>
  <c r="AB78" i="2"/>
  <c r="AB77" i="2"/>
  <c r="AB76" i="2"/>
  <c r="AB75" i="2"/>
  <c r="AB74" i="2"/>
  <c r="AB73" i="2"/>
  <c r="AB72" i="2"/>
  <c r="AB70" i="2"/>
  <c r="AB69" i="2"/>
  <c r="AB68" i="2"/>
  <c r="AB67" i="2"/>
  <c r="AB66" i="2"/>
  <c r="AB65" i="2"/>
  <c r="AB64" i="2"/>
  <c r="AB63" i="2"/>
  <c r="AB62" i="2"/>
  <c r="AB61" i="2"/>
  <c r="AB60" i="2"/>
  <c r="AB59" i="2"/>
  <c r="AB58" i="2"/>
  <c r="AB57" i="2"/>
  <c r="AB56" i="2"/>
  <c r="AB55" i="2"/>
  <c r="AB54" i="2"/>
  <c r="AB53" i="2"/>
  <c r="AB52" i="2"/>
  <c r="AB51" i="2"/>
  <c r="AB50" i="2"/>
  <c r="AB49" i="2"/>
  <c r="AB47" i="2"/>
  <c r="AB46" i="2"/>
  <c r="AB45" i="2"/>
  <c r="AB44" i="2"/>
  <c r="AB43" i="2"/>
  <c r="AB42" i="2"/>
  <c r="AB41" i="2"/>
  <c r="AB40" i="2"/>
  <c r="AB39" i="2"/>
  <c r="AB38" i="2"/>
  <c r="AB37" i="2"/>
  <c r="AB35" i="2"/>
  <c r="AB34" i="2"/>
  <c r="AB33" i="2"/>
  <c r="AB32" i="2"/>
  <c r="AB31" i="2"/>
  <c r="AB30" i="2"/>
  <c r="AB29" i="2"/>
  <c r="AB28" i="2"/>
  <c r="AB27" i="2"/>
  <c r="AB26" i="2"/>
  <c r="AB25" i="2"/>
  <c r="AB24" i="2"/>
  <c r="AB22" i="2"/>
  <c r="AB21" i="2"/>
  <c r="AB20" i="2"/>
  <c r="AB19" i="2"/>
  <c r="AB18" i="2"/>
  <c r="AB17" i="2"/>
  <c r="AB16" i="2"/>
  <c r="AB14" i="2"/>
  <c r="AB12" i="2"/>
  <c r="AB11" i="2"/>
  <c r="AB10" i="2"/>
  <c r="AB9" i="2"/>
  <c r="AB8" i="2"/>
  <c r="AB7" i="2"/>
  <c r="AB6" i="2"/>
  <c r="AB5" i="2"/>
  <c r="AB4" i="2"/>
  <c r="AB3" i="2"/>
  <c r="Y85" i="2"/>
  <c r="Y84" i="2"/>
  <c r="Y82" i="2"/>
  <c r="Y81" i="2"/>
  <c r="Y80" i="2"/>
  <c r="Y79" i="2"/>
  <c r="Y78" i="2"/>
  <c r="Y77" i="2"/>
  <c r="Y76" i="2"/>
  <c r="Y75" i="2"/>
  <c r="Y74" i="2"/>
  <c r="Y73" i="2"/>
  <c r="Y72" i="2"/>
  <c r="Y70" i="2"/>
  <c r="Y69" i="2"/>
  <c r="Y68" i="2"/>
  <c r="Y67" i="2"/>
  <c r="Y66" i="2"/>
  <c r="Y65" i="2"/>
  <c r="Y64" i="2"/>
  <c r="Y63" i="2"/>
  <c r="Y62" i="2"/>
  <c r="Y61" i="2"/>
  <c r="Y60" i="2"/>
  <c r="Y59" i="2"/>
  <c r="Y58" i="2"/>
  <c r="Y57" i="2"/>
  <c r="Y56" i="2"/>
  <c r="Y55" i="2"/>
  <c r="Y54" i="2"/>
  <c r="Y53" i="2"/>
  <c r="Y52" i="2"/>
  <c r="Y51" i="2"/>
  <c r="Y50" i="2"/>
  <c r="Y49" i="2"/>
  <c r="Y47" i="2"/>
  <c r="Y46" i="2"/>
  <c r="Y45" i="2"/>
  <c r="Y44" i="2"/>
  <c r="Y43" i="2"/>
  <c r="Y42" i="2"/>
  <c r="Y41" i="2"/>
  <c r="Y40" i="2"/>
  <c r="Y39" i="2"/>
  <c r="Y38" i="2"/>
  <c r="Y37" i="2"/>
  <c r="Y35" i="2"/>
  <c r="Y34" i="2"/>
  <c r="Y33" i="2"/>
  <c r="Y32" i="2"/>
  <c r="Y31" i="2"/>
  <c r="Y30" i="2"/>
  <c r="Y29" i="2"/>
  <c r="Y28" i="2"/>
  <c r="Y27" i="2"/>
  <c r="Y26" i="2"/>
  <c r="Y25" i="2"/>
  <c r="Y24" i="2"/>
  <c r="Y22" i="2"/>
  <c r="Y21" i="2"/>
  <c r="Y20" i="2"/>
  <c r="Y19" i="2"/>
  <c r="Y18" i="2"/>
  <c r="Y17" i="2"/>
  <c r="Y16" i="2"/>
  <c r="Y14" i="2"/>
  <c r="Y12" i="2"/>
  <c r="Y11" i="2"/>
  <c r="Y10" i="2"/>
  <c r="Y9" i="2"/>
  <c r="Y8" i="2"/>
  <c r="Y7" i="2"/>
  <c r="Y6" i="2"/>
  <c r="Y5" i="2"/>
  <c r="Y4" i="2"/>
  <c r="Y3" i="2"/>
  <c r="V85" i="2"/>
  <c r="V84" i="2"/>
  <c r="V82" i="2"/>
  <c r="V81" i="2"/>
  <c r="V80" i="2"/>
  <c r="V79" i="2"/>
  <c r="V78" i="2"/>
  <c r="V77" i="2"/>
  <c r="V76" i="2"/>
  <c r="V75" i="2"/>
  <c r="V74" i="2"/>
  <c r="V73" i="2"/>
  <c r="V72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7" i="2"/>
  <c r="V46" i="2"/>
  <c r="V45" i="2"/>
  <c r="V44" i="2"/>
  <c r="V43" i="2"/>
  <c r="V42" i="2"/>
  <c r="V41" i="2"/>
  <c r="V40" i="2"/>
  <c r="V39" i="2"/>
  <c r="V38" i="2"/>
  <c r="V37" i="2"/>
  <c r="V35" i="2"/>
  <c r="V34" i="2"/>
  <c r="V33" i="2"/>
  <c r="V32" i="2"/>
  <c r="V31" i="2"/>
  <c r="V30" i="2"/>
  <c r="V29" i="2"/>
  <c r="V28" i="2"/>
  <c r="V27" i="2"/>
  <c r="V26" i="2"/>
  <c r="V25" i="2"/>
  <c r="V24" i="2"/>
  <c r="V22" i="2"/>
  <c r="V21" i="2"/>
  <c r="V20" i="2"/>
  <c r="V19" i="2"/>
  <c r="V18" i="2"/>
  <c r="V17" i="2"/>
  <c r="V16" i="2"/>
  <c r="V14" i="2"/>
  <c r="V12" i="2"/>
  <c r="V11" i="2"/>
  <c r="V10" i="2"/>
  <c r="V9" i="2"/>
  <c r="V8" i="2"/>
  <c r="V7" i="2"/>
  <c r="V6" i="2"/>
  <c r="V5" i="2"/>
  <c r="V4" i="2"/>
  <c r="V3" i="2"/>
  <c r="S85" i="2"/>
  <c r="S84" i="2"/>
  <c r="S82" i="2"/>
  <c r="S81" i="2"/>
  <c r="S80" i="2"/>
  <c r="S79" i="2"/>
  <c r="S78" i="2"/>
  <c r="S77" i="2"/>
  <c r="S76" i="2"/>
  <c r="S75" i="2"/>
  <c r="S74" i="2"/>
  <c r="S73" i="2"/>
  <c r="S72" i="2"/>
  <c r="S70" i="2"/>
  <c r="S69" i="2"/>
  <c r="S68" i="2"/>
  <c r="S67" i="2"/>
  <c r="S66" i="2"/>
  <c r="S65" i="2"/>
  <c r="S64" i="2"/>
  <c r="S63" i="2"/>
  <c r="S62" i="2"/>
  <c r="S61" i="2"/>
  <c r="S60" i="2"/>
  <c r="S59" i="2"/>
  <c r="S58" i="2"/>
  <c r="S57" i="2"/>
  <c r="S56" i="2"/>
  <c r="S55" i="2"/>
  <c r="S54" i="2"/>
  <c r="S53" i="2"/>
  <c r="S52" i="2"/>
  <c r="S51" i="2"/>
  <c r="S50" i="2"/>
  <c r="S49" i="2"/>
  <c r="S47" i="2"/>
  <c r="S46" i="2"/>
  <c r="S45" i="2"/>
  <c r="S44" i="2"/>
  <c r="S43" i="2"/>
  <c r="S42" i="2"/>
  <c r="S41" i="2"/>
  <c r="S40" i="2"/>
  <c r="S39" i="2"/>
  <c r="S38" i="2"/>
  <c r="S37" i="2"/>
  <c r="S35" i="2"/>
  <c r="S34" i="2"/>
  <c r="S33" i="2"/>
  <c r="S32" i="2"/>
  <c r="S31" i="2"/>
  <c r="S30" i="2"/>
  <c r="S29" i="2"/>
  <c r="S28" i="2"/>
  <c r="S27" i="2"/>
  <c r="S26" i="2"/>
  <c r="S25" i="2"/>
  <c r="S24" i="2"/>
  <c r="S22" i="2"/>
  <c r="S21" i="2"/>
  <c r="S20" i="2"/>
  <c r="S19" i="2"/>
  <c r="S18" i="2"/>
  <c r="S17" i="2"/>
  <c r="S16" i="2"/>
  <c r="S14" i="2"/>
  <c r="S12" i="2"/>
  <c r="S11" i="2"/>
  <c r="S10" i="2"/>
  <c r="S9" i="2"/>
  <c r="S8" i="2"/>
  <c r="S7" i="2"/>
  <c r="S6" i="2"/>
  <c r="S5" i="2"/>
  <c r="S4" i="2"/>
  <c r="S3" i="2"/>
  <c r="P85" i="2"/>
  <c r="P84" i="2"/>
  <c r="P82" i="2"/>
  <c r="P81" i="2"/>
  <c r="P80" i="2"/>
  <c r="P79" i="2"/>
  <c r="P78" i="2"/>
  <c r="P77" i="2"/>
  <c r="P76" i="2"/>
  <c r="P75" i="2"/>
  <c r="P74" i="2"/>
  <c r="P73" i="2"/>
  <c r="P72" i="2"/>
  <c r="P70" i="2"/>
  <c r="P69" i="2"/>
  <c r="P68" i="2"/>
  <c r="P67" i="2"/>
  <c r="P66" i="2"/>
  <c r="P65" i="2"/>
  <c r="P64" i="2"/>
  <c r="P63" i="2"/>
  <c r="P62" i="2"/>
  <c r="P61" i="2"/>
  <c r="P60" i="2"/>
  <c r="P59" i="2"/>
  <c r="P58" i="2"/>
  <c r="P57" i="2"/>
  <c r="P56" i="2"/>
  <c r="P55" i="2"/>
  <c r="P54" i="2"/>
  <c r="P53" i="2"/>
  <c r="P52" i="2"/>
  <c r="P51" i="2"/>
  <c r="P50" i="2"/>
  <c r="P49" i="2"/>
  <c r="P47" i="2"/>
  <c r="P46" i="2"/>
  <c r="P45" i="2"/>
  <c r="P44" i="2"/>
  <c r="P43" i="2"/>
  <c r="P42" i="2"/>
  <c r="P41" i="2"/>
  <c r="P40" i="2"/>
  <c r="P39" i="2"/>
  <c r="P38" i="2"/>
  <c r="P37" i="2"/>
  <c r="P35" i="2"/>
  <c r="P34" i="2"/>
  <c r="P33" i="2"/>
  <c r="P32" i="2"/>
  <c r="P31" i="2"/>
  <c r="P30" i="2"/>
  <c r="P29" i="2"/>
  <c r="P28" i="2"/>
  <c r="P27" i="2"/>
  <c r="P26" i="2"/>
  <c r="P25" i="2"/>
  <c r="P24" i="2"/>
  <c r="P22" i="2"/>
  <c r="P21" i="2"/>
  <c r="P20" i="2"/>
  <c r="P19" i="2"/>
  <c r="P18" i="2"/>
  <c r="P17" i="2"/>
  <c r="P16" i="2"/>
  <c r="P14" i="2"/>
  <c r="P12" i="2"/>
  <c r="P11" i="2"/>
  <c r="P10" i="2"/>
  <c r="P9" i="2"/>
  <c r="P8" i="2"/>
  <c r="P7" i="2"/>
  <c r="P6" i="2"/>
  <c r="P5" i="2"/>
  <c r="P4" i="2"/>
  <c r="P3" i="2"/>
  <c r="M85" i="2"/>
  <c r="M84" i="2"/>
  <c r="M82" i="2"/>
  <c r="M81" i="2"/>
  <c r="M80" i="2"/>
  <c r="M79" i="2"/>
  <c r="M78" i="2"/>
  <c r="M77" i="2"/>
  <c r="M76" i="2"/>
  <c r="M75" i="2"/>
  <c r="M74" i="2"/>
  <c r="M73" i="2"/>
  <c r="M72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7" i="2"/>
  <c r="M46" i="2"/>
  <c r="M45" i="2"/>
  <c r="M44" i="2"/>
  <c r="M43" i="2"/>
  <c r="M42" i="2"/>
  <c r="M41" i="2"/>
  <c r="M40" i="2"/>
  <c r="M39" i="2"/>
  <c r="M38" i="2"/>
  <c r="M37" i="2"/>
  <c r="M35" i="2"/>
  <c r="M34" i="2"/>
  <c r="M33" i="2"/>
  <c r="M32" i="2"/>
  <c r="M31" i="2"/>
  <c r="M30" i="2"/>
  <c r="M29" i="2"/>
  <c r="M28" i="2"/>
  <c r="M27" i="2"/>
  <c r="M26" i="2"/>
  <c r="M25" i="2"/>
  <c r="M24" i="2"/>
  <c r="M22" i="2"/>
  <c r="M21" i="2"/>
  <c r="M20" i="2"/>
  <c r="M19" i="2"/>
  <c r="M18" i="2"/>
  <c r="M17" i="2"/>
  <c r="M16" i="2"/>
  <c r="M14" i="2"/>
  <c r="M12" i="2"/>
  <c r="M11" i="2"/>
  <c r="M10" i="2"/>
  <c r="M9" i="2"/>
  <c r="M8" i="2"/>
  <c r="M7" i="2"/>
  <c r="M6" i="2"/>
  <c r="M5" i="2"/>
  <c r="M4" i="2"/>
  <c r="M3" i="2"/>
  <c r="J85" i="2"/>
  <c r="J84" i="2"/>
  <c r="J82" i="2"/>
  <c r="J81" i="2"/>
  <c r="J80" i="2"/>
  <c r="J79" i="2"/>
  <c r="J78" i="2"/>
  <c r="J77" i="2"/>
  <c r="J76" i="2"/>
  <c r="J75" i="2"/>
  <c r="J74" i="2"/>
  <c r="J73" i="2"/>
  <c r="J72" i="2"/>
  <c r="J70" i="2"/>
  <c r="J69" i="2"/>
  <c r="J68" i="2"/>
  <c r="J67" i="2"/>
  <c r="J66" i="2"/>
  <c r="J65" i="2"/>
  <c r="J64" i="2"/>
  <c r="J63" i="2"/>
  <c r="J62" i="2"/>
  <c r="J61" i="2"/>
  <c r="J60" i="2"/>
  <c r="J59" i="2"/>
  <c r="J58" i="2"/>
  <c r="J57" i="2"/>
  <c r="J56" i="2"/>
  <c r="J55" i="2"/>
  <c r="J54" i="2"/>
  <c r="J53" i="2"/>
  <c r="J52" i="2"/>
  <c r="J51" i="2"/>
  <c r="J50" i="2"/>
  <c r="J49" i="2"/>
  <c r="J47" i="2"/>
  <c r="J46" i="2"/>
  <c r="J45" i="2"/>
  <c r="J44" i="2"/>
  <c r="J43" i="2"/>
  <c r="J42" i="2"/>
  <c r="J41" i="2"/>
  <c r="J40" i="2"/>
  <c r="J39" i="2"/>
  <c r="J38" i="2"/>
  <c r="J37" i="2"/>
  <c r="J35" i="2"/>
  <c r="J34" i="2"/>
  <c r="J33" i="2"/>
  <c r="J32" i="2"/>
  <c r="J31" i="2"/>
  <c r="J30" i="2"/>
  <c r="J29" i="2"/>
  <c r="J28" i="2"/>
  <c r="J27" i="2"/>
  <c r="J26" i="2"/>
  <c r="J25" i="2"/>
  <c r="J24" i="2"/>
  <c r="J22" i="2"/>
  <c r="J21" i="2"/>
  <c r="J20" i="2"/>
  <c r="J19" i="2"/>
  <c r="J18" i="2"/>
  <c r="J17" i="2"/>
  <c r="J16" i="2"/>
  <c r="J14" i="2"/>
  <c r="J12" i="2"/>
  <c r="J11" i="2"/>
  <c r="J10" i="2"/>
  <c r="J9" i="2"/>
  <c r="J8" i="2"/>
  <c r="J7" i="2"/>
  <c r="J6" i="2"/>
  <c r="J5" i="2"/>
  <c r="J4" i="2"/>
  <c r="J3" i="2"/>
  <c r="G85" i="2"/>
  <c r="G84" i="2"/>
  <c r="G82" i="2"/>
  <c r="G81" i="2"/>
  <c r="G80" i="2"/>
  <c r="G79" i="2"/>
  <c r="G78" i="2"/>
  <c r="G77" i="2"/>
  <c r="G76" i="2"/>
  <c r="G75" i="2"/>
  <c r="G74" i="2"/>
  <c r="G73" i="2"/>
  <c r="G72" i="2"/>
  <c r="G70" i="2"/>
  <c r="G69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4" i="2"/>
  <c r="G53" i="2"/>
  <c r="G52" i="2"/>
  <c r="G51" i="2"/>
  <c r="G50" i="2"/>
  <c r="G49" i="2"/>
  <c r="G47" i="2"/>
  <c r="G46" i="2"/>
  <c r="G45" i="2"/>
  <c r="G44" i="2"/>
  <c r="G43" i="2"/>
  <c r="G42" i="2"/>
  <c r="G41" i="2"/>
  <c r="G40" i="2"/>
  <c r="G39" i="2"/>
  <c r="G38" i="2"/>
  <c r="G37" i="2"/>
  <c r="G35" i="2"/>
  <c r="G34" i="2"/>
  <c r="G33" i="2"/>
  <c r="G32" i="2"/>
  <c r="G31" i="2"/>
  <c r="G30" i="2"/>
  <c r="G29" i="2"/>
  <c r="G28" i="2"/>
  <c r="G27" i="2"/>
  <c r="G26" i="2"/>
  <c r="G25" i="2"/>
  <c r="G24" i="2"/>
  <c r="G22" i="2"/>
  <c r="G21" i="2"/>
  <c r="G20" i="2"/>
  <c r="G19" i="2"/>
  <c r="G18" i="2"/>
  <c r="G17" i="2"/>
  <c r="G16" i="2"/>
  <c r="G14" i="2"/>
  <c r="G12" i="2"/>
  <c r="G11" i="2"/>
  <c r="G10" i="2"/>
  <c r="G9" i="2"/>
  <c r="G8" i="2"/>
  <c r="G7" i="2"/>
  <c r="G6" i="2"/>
  <c r="G5" i="2"/>
  <c r="G4" i="2"/>
  <c r="G3" i="2"/>
  <c r="D85" i="2"/>
  <c r="D84" i="2"/>
  <c r="D82" i="2"/>
  <c r="D81" i="2"/>
  <c r="D80" i="2"/>
  <c r="D79" i="2"/>
  <c r="D78" i="2"/>
  <c r="D77" i="2"/>
  <c r="D76" i="2"/>
  <c r="D75" i="2"/>
  <c r="D74" i="2"/>
  <c r="D73" i="2"/>
  <c r="D72" i="2"/>
  <c r="D70" i="2"/>
  <c r="D69" i="2"/>
  <c r="D68" i="2"/>
  <c r="D67" i="2"/>
  <c r="D66" i="2"/>
  <c r="D65" i="2"/>
  <c r="D64" i="2"/>
  <c r="D63" i="2"/>
  <c r="D62" i="2"/>
  <c r="D61" i="2"/>
  <c r="D60" i="2"/>
  <c r="D59" i="2"/>
  <c r="D58" i="2"/>
  <c r="D57" i="2"/>
  <c r="D56" i="2"/>
  <c r="D55" i="2"/>
  <c r="D54" i="2"/>
  <c r="D53" i="2"/>
  <c r="D52" i="2"/>
  <c r="D51" i="2"/>
  <c r="D50" i="2"/>
  <c r="D49" i="2"/>
  <c r="D47" i="2"/>
  <c r="D46" i="2"/>
  <c r="D45" i="2"/>
  <c r="D44" i="2"/>
  <c r="D43" i="2"/>
  <c r="D42" i="2"/>
  <c r="D41" i="2"/>
  <c r="D40" i="2"/>
  <c r="D39" i="2"/>
  <c r="D38" i="2"/>
  <c r="D37" i="2"/>
  <c r="D35" i="2"/>
  <c r="D34" i="2"/>
  <c r="D33" i="2"/>
  <c r="D32" i="2"/>
  <c r="D31" i="2"/>
  <c r="D30" i="2"/>
  <c r="D29" i="2"/>
  <c r="D28" i="2"/>
  <c r="D27" i="2"/>
  <c r="D26" i="2"/>
  <c r="D25" i="2"/>
  <c r="D24" i="2"/>
  <c r="D22" i="2"/>
  <c r="D21" i="2"/>
  <c r="D20" i="2"/>
  <c r="D19" i="2"/>
  <c r="D18" i="2"/>
  <c r="D17" i="2"/>
  <c r="D16" i="2"/>
  <c r="D14" i="2"/>
  <c r="D12" i="2"/>
  <c r="D11" i="2"/>
  <c r="D10" i="2"/>
  <c r="D9" i="2"/>
  <c r="D8" i="2"/>
  <c r="D7" i="2"/>
  <c r="D6" i="2"/>
  <c r="D5" i="2"/>
  <c r="D4" i="2"/>
  <c r="D3" i="2"/>
  <c r="AW55" i="1"/>
  <c r="AW54" i="1"/>
  <c r="AW52" i="1"/>
  <c r="AW51" i="1"/>
  <c r="AW50" i="1"/>
  <c r="AW49" i="1"/>
  <c r="AW48" i="1"/>
  <c r="AW47" i="1"/>
  <c r="AW46" i="1"/>
  <c r="AW43" i="1"/>
  <c r="AW42" i="1"/>
  <c r="AW41" i="1"/>
  <c r="AW40" i="1"/>
  <c r="AW39" i="1"/>
  <c r="AW38" i="1"/>
  <c r="AW37" i="1"/>
  <c r="AW36" i="1"/>
  <c r="AW35" i="1"/>
  <c r="AW34" i="1"/>
  <c r="AW33" i="1"/>
  <c r="AW30" i="1"/>
  <c r="AW29" i="1"/>
  <c r="AW28" i="1"/>
  <c r="AW27" i="1"/>
  <c r="AW26" i="1"/>
  <c r="AW25" i="1"/>
  <c r="AW24" i="1"/>
  <c r="AW21" i="1"/>
  <c r="AW20" i="1"/>
  <c r="AW19" i="1"/>
  <c r="AW16" i="1"/>
  <c r="AW15" i="1"/>
  <c r="AW14" i="1"/>
  <c r="AW13" i="1"/>
  <c r="AW10" i="1"/>
  <c r="AW9" i="1"/>
  <c r="AW8" i="1"/>
  <c r="AW7" i="1"/>
  <c r="AW6" i="1"/>
  <c r="AW5" i="1"/>
  <c r="AW4" i="1"/>
  <c r="AW3" i="1"/>
  <c r="AT55" i="1"/>
  <c r="AT54" i="1"/>
  <c r="AT52" i="1"/>
  <c r="AT51" i="1"/>
  <c r="AT50" i="1"/>
  <c r="AT49" i="1"/>
  <c r="AT48" i="1"/>
  <c r="AT47" i="1"/>
  <c r="AT46" i="1"/>
  <c r="AT43" i="1"/>
  <c r="AT42" i="1"/>
  <c r="AT41" i="1"/>
  <c r="AT40" i="1"/>
  <c r="AT39" i="1"/>
  <c r="AT38" i="1"/>
  <c r="AT37" i="1"/>
  <c r="AT36" i="1"/>
  <c r="AT35" i="1"/>
  <c r="AT34" i="1"/>
  <c r="AT33" i="1"/>
  <c r="AT30" i="1"/>
  <c r="AT29" i="1"/>
  <c r="AT28" i="1"/>
  <c r="AT27" i="1"/>
  <c r="AT26" i="1"/>
  <c r="AT25" i="1"/>
  <c r="AT24" i="1"/>
  <c r="AT21" i="1"/>
  <c r="AT20" i="1"/>
  <c r="AT19" i="1"/>
  <c r="AT16" i="1"/>
  <c r="AT15" i="1"/>
  <c r="AT14" i="1"/>
  <c r="AT13" i="1"/>
  <c r="AT10" i="1"/>
  <c r="AT9" i="1"/>
  <c r="AT8" i="1"/>
  <c r="AT7" i="1"/>
  <c r="AT6" i="1"/>
  <c r="AT5" i="1"/>
  <c r="AT4" i="1"/>
  <c r="AT3" i="1"/>
  <c r="AQ55" i="1"/>
  <c r="AQ54" i="1"/>
  <c r="AQ52" i="1"/>
  <c r="AQ51" i="1"/>
  <c r="AQ50" i="1"/>
  <c r="AQ49" i="1"/>
  <c r="AQ48" i="1"/>
  <c r="AQ47" i="1"/>
  <c r="AQ46" i="1"/>
  <c r="AQ43" i="1"/>
  <c r="AQ42" i="1"/>
  <c r="AQ41" i="1"/>
  <c r="AQ40" i="1"/>
  <c r="AQ39" i="1"/>
  <c r="AQ38" i="1"/>
  <c r="AQ37" i="1"/>
  <c r="AQ36" i="1"/>
  <c r="AQ35" i="1"/>
  <c r="AQ34" i="1"/>
  <c r="AQ33" i="1"/>
  <c r="AQ30" i="1"/>
  <c r="AQ29" i="1"/>
  <c r="AQ28" i="1"/>
  <c r="AQ27" i="1"/>
  <c r="AQ26" i="1"/>
  <c r="AQ25" i="1"/>
  <c r="AQ24" i="1"/>
  <c r="AQ21" i="1"/>
  <c r="AQ20" i="1"/>
  <c r="AQ19" i="1"/>
  <c r="AQ16" i="1"/>
  <c r="AQ15" i="1"/>
  <c r="AQ14" i="1"/>
  <c r="AQ13" i="1"/>
  <c r="AQ10" i="1"/>
  <c r="AQ9" i="1"/>
  <c r="AQ8" i="1"/>
  <c r="AQ7" i="1"/>
  <c r="AQ6" i="1"/>
  <c r="AQ5" i="1"/>
  <c r="AQ4" i="1"/>
  <c r="AQ3" i="1"/>
  <c r="AN55" i="1"/>
  <c r="AN54" i="1"/>
  <c r="AN52" i="1"/>
  <c r="AN51" i="1"/>
  <c r="AN50" i="1"/>
  <c r="AN49" i="1"/>
  <c r="AN48" i="1"/>
  <c r="AN47" i="1"/>
  <c r="AN46" i="1"/>
  <c r="AN43" i="1"/>
  <c r="AN42" i="1"/>
  <c r="AN41" i="1"/>
  <c r="AN40" i="1"/>
  <c r="AN39" i="1"/>
  <c r="AN38" i="1"/>
  <c r="AN37" i="1"/>
  <c r="AN36" i="1"/>
  <c r="AN35" i="1"/>
  <c r="AN34" i="1"/>
  <c r="AN33" i="1"/>
  <c r="AN30" i="1"/>
  <c r="AN29" i="1"/>
  <c r="AN28" i="1"/>
  <c r="AN27" i="1"/>
  <c r="AN26" i="1"/>
  <c r="AN25" i="1"/>
  <c r="AN24" i="1"/>
  <c r="AN21" i="1"/>
  <c r="AN20" i="1"/>
  <c r="AN19" i="1"/>
  <c r="AN16" i="1"/>
  <c r="AN15" i="1"/>
  <c r="AN14" i="1"/>
  <c r="AN13" i="1"/>
  <c r="AN10" i="1"/>
  <c r="AN9" i="1"/>
  <c r="AN8" i="1"/>
  <c r="AN7" i="1"/>
  <c r="AN6" i="1"/>
  <c r="AN5" i="1"/>
  <c r="AN4" i="1"/>
  <c r="AN3" i="1"/>
  <c r="AK55" i="1"/>
  <c r="AK54" i="1"/>
  <c r="AK52" i="1"/>
  <c r="AK51" i="1"/>
  <c r="AK50" i="1"/>
  <c r="AK49" i="1"/>
  <c r="AK48" i="1"/>
  <c r="AK47" i="1"/>
  <c r="AK46" i="1"/>
  <c r="AK43" i="1"/>
  <c r="AK42" i="1"/>
  <c r="AK41" i="1"/>
  <c r="AK40" i="1"/>
  <c r="AK39" i="1"/>
  <c r="AK38" i="1"/>
  <c r="AK37" i="1"/>
  <c r="AK36" i="1"/>
  <c r="AK35" i="1"/>
  <c r="AK34" i="1"/>
  <c r="AK33" i="1"/>
  <c r="AK30" i="1"/>
  <c r="AK29" i="1"/>
  <c r="AK28" i="1"/>
  <c r="AK27" i="1"/>
  <c r="AK26" i="1"/>
  <c r="AK25" i="1"/>
  <c r="AK24" i="1"/>
  <c r="AK21" i="1"/>
  <c r="AK20" i="1"/>
  <c r="AK19" i="1"/>
  <c r="AK16" i="1"/>
  <c r="AK15" i="1"/>
  <c r="AK14" i="1"/>
  <c r="AK13" i="1"/>
  <c r="AK10" i="1"/>
  <c r="AK9" i="1"/>
  <c r="AK8" i="1"/>
  <c r="AK7" i="1"/>
  <c r="AK6" i="1"/>
  <c r="AK5" i="1"/>
  <c r="AK4" i="1"/>
  <c r="AK3" i="1"/>
  <c r="AH55" i="1"/>
  <c r="AH54" i="1"/>
  <c r="AH52" i="1"/>
  <c r="AH51" i="1"/>
  <c r="AH50" i="1"/>
  <c r="AH49" i="1"/>
  <c r="AH48" i="1"/>
  <c r="AH47" i="1"/>
  <c r="AH46" i="1"/>
  <c r="AH43" i="1"/>
  <c r="AH42" i="1"/>
  <c r="AH41" i="1"/>
  <c r="AH40" i="1"/>
  <c r="AH39" i="1"/>
  <c r="AH38" i="1"/>
  <c r="AH37" i="1"/>
  <c r="AH36" i="1"/>
  <c r="AH35" i="1"/>
  <c r="AH34" i="1"/>
  <c r="AH33" i="1"/>
  <c r="AH30" i="1"/>
  <c r="AH29" i="1"/>
  <c r="AH28" i="1"/>
  <c r="AH27" i="1"/>
  <c r="AH26" i="1"/>
  <c r="AH25" i="1"/>
  <c r="AH24" i="1"/>
  <c r="AH21" i="1"/>
  <c r="AH20" i="1"/>
  <c r="AH19" i="1"/>
  <c r="AH16" i="1"/>
  <c r="AH15" i="1"/>
  <c r="AH14" i="1"/>
  <c r="AH13" i="1"/>
  <c r="AH10" i="1"/>
  <c r="AH9" i="1"/>
  <c r="AH8" i="1"/>
  <c r="AH7" i="1"/>
  <c r="AH6" i="1"/>
  <c r="AH5" i="1"/>
  <c r="AH4" i="1"/>
  <c r="AH3" i="1"/>
  <c r="AE55" i="1"/>
  <c r="AE54" i="1"/>
  <c r="AE52" i="1"/>
  <c r="AE51" i="1"/>
  <c r="AE50" i="1"/>
  <c r="AE49" i="1"/>
  <c r="AE48" i="1"/>
  <c r="AE47" i="1"/>
  <c r="AE46" i="1"/>
  <c r="AE43" i="1"/>
  <c r="AE42" i="1"/>
  <c r="AE41" i="1"/>
  <c r="AE40" i="1"/>
  <c r="AE39" i="1"/>
  <c r="AE38" i="1"/>
  <c r="AE37" i="1"/>
  <c r="AE36" i="1"/>
  <c r="AE35" i="1"/>
  <c r="AE34" i="1"/>
  <c r="AE33" i="1"/>
  <c r="AE30" i="1"/>
  <c r="AE29" i="1"/>
  <c r="AE28" i="1"/>
  <c r="AE27" i="1"/>
  <c r="AE26" i="1"/>
  <c r="AE25" i="1"/>
  <c r="AE24" i="1"/>
  <c r="AE21" i="1"/>
  <c r="AE20" i="1"/>
  <c r="AE19" i="1"/>
  <c r="AE16" i="1"/>
  <c r="AE15" i="1"/>
  <c r="AE14" i="1"/>
  <c r="AE13" i="1"/>
  <c r="AE10" i="1"/>
  <c r="AE9" i="1"/>
  <c r="AE8" i="1"/>
  <c r="AE7" i="1"/>
  <c r="AE6" i="1"/>
  <c r="AE5" i="1"/>
  <c r="AE4" i="1"/>
  <c r="AE3" i="1"/>
  <c r="AB55" i="1"/>
  <c r="AB54" i="1"/>
  <c r="AB52" i="1"/>
  <c r="AB51" i="1"/>
  <c r="AB50" i="1"/>
  <c r="AB49" i="1"/>
  <c r="AB48" i="1"/>
  <c r="AB47" i="1"/>
  <c r="AB46" i="1"/>
  <c r="AB43" i="1"/>
  <c r="AB42" i="1"/>
  <c r="AB41" i="1"/>
  <c r="AB40" i="1"/>
  <c r="AB39" i="1"/>
  <c r="AB38" i="1"/>
  <c r="AB37" i="1"/>
  <c r="AB36" i="1"/>
  <c r="AB35" i="1"/>
  <c r="AB34" i="1"/>
  <c r="AB33" i="1"/>
  <c r="AB30" i="1"/>
  <c r="AB29" i="1"/>
  <c r="AB28" i="1"/>
  <c r="AB27" i="1"/>
  <c r="AB26" i="1"/>
  <c r="AB25" i="1"/>
  <c r="AB24" i="1"/>
  <c r="AB21" i="1"/>
  <c r="AB20" i="1"/>
  <c r="AB19" i="1"/>
  <c r="AB16" i="1"/>
  <c r="AB15" i="1"/>
  <c r="AB14" i="1"/>
  <c r="AB13" i="1"/>
  <c r="AB10" i="1"/>
  <c r="AB9" i="1"/>
  <c r="AB8" i="1"/>
  <c r="AB7" i="1"/>
  <c r="AB6" i="1"/>
  <c r="AB5" i="1"/>
  <c r="AB4" i="1"/>
  <c r="AB3" i="1"/>
  <c r="Y55" i="1"/>
  <c r="Y54" i="1"/>
  <c r="Y52" i="1"/>
  <c r="Y51" i="1"/>
  <c r="Y50" i="1"/>
  <c r="Y49" i="1"/>
  <c r="Y48" i="1"/>
  <c r="Y47" i="1"/>
  <c r="Y46" i="1"/>
  <c r="Y43" i="1"/>
  <c r="Y42" i="1"/>
  <c r="Y41" i="1"/>
  <c r="Y40" i="1"/>
  <c r="Y39" i="1"/>
  <c r="Y38" i="1"/>
  <c r="Y37" i="1"/>
  <c r="Y36" i="1"/>
  <c r="Y35" i="1"/>
  <c r="Y34" i="1"/>
  <c r="Y33" i="1"/>
  <c r="Y30" i="1"/>
  <c r="Y29" i="1"/>
  <c r="Y28" i="1"/>
  <c r="Y27" i="1"/>
  <c r="Y26" i="1"/>
  <c r="Y25" i="1"/>
  <c r="Y24" i="1"/>
  <c r="Y21" i="1"/>
  <c r="Y20" i="1"/>
  <c r="Y19" i="1"/>
  <c r="Y16" i="1"/>
  <c r="Y15" i="1"/>
  <c r="Y14" i="1"/>
  <c r="Y13" i="1"/>
  <c r="Y10" i="1"/>
  <c r="Y9" i="1"/>
  <c r="Y8" i="1"/>
  <c r="Y7" i="1"/>
  <c r="Y6" i="1"/>
  <c r="Y5" i="1"/>
  <c r="Y4" i="1"/>
  <c r="Y3" i="1"/>
  <c r="V55" i="1"/>
  <c r="V54" i="1"/>
  <c r="V52" i="1"/>
  <c r="V51" i="1"/>
  <c r="V50" i="1"/>
  <c r="V49" i="1"/>
  <c r="V48" i="1"/>
  <c r="V47" i="1"/>
  <c r="V46" i="1"/>
  <c r="V43" i="1"/>
  <c r="V42" i="1"/>
  <c r="V41" i="1"/>
  <c r="V40" i="1"/>
  <c r="V39" i="1"/>
  <c r="V38" i="1"/>
  <c r="V37" i="1"/>
  <c r="V36" i="1"/>
  <c r="V35" i="1"/>
  <c r="V34" i="1"/>
  <c r="V33" i="1"/>
  <c r="V30" i="1"/>
  <c r="V29" i="1"/>
  <c r="V28" i="1"/>
  <c r="V27" i="1"/>
  <c r="V26" i="1"/>
  <c r="V25" i="1"/>
  <c r="V24" i="1"/>
  <c r="V21" i="1"/>
  <c r="V20" i="1"/>
  <c r="V19" i="1"/>
  <c r="V16" i="1"/>
  <c r="V15" i="1"/>
  <c r="V14" i="1"/>
  <c r="V13" i="1"/>
  <c r="V10" i="1"/>
  <c r="V9" i="1"/>
  <c r="V8" i="1"/>
  <c r="V7" i="1"/>
  <c r="V6" i="1"/>
  <c r="V5" i="1"/>
  <c r="V4" i="1"/>
  <c r="V3" i="1"/>
  <c r="S55" i="1"/>
  <c r="S54" i="1"/>
  <c r="S52" i="1"/>
  <c r="S51" i="1"/>
  <c r="S50" i="1"/>
  <c r="S49" i="1"/>
  <c r="S48" i="1"/>
  <c r="S47" i="1"/>
  <c r="S46" i="1"/>
  <c r="S43" i="1"/>
  <c r="S42" i="1"/>
  <c r="S41" i="1"/>
  <c r="S40" i="1"/>
  <c r="S39" i="1"/>
  <c r="S38" i="1"/>
  <c r="S37" i="1"/>
  <c r="S36" i="1"/>
  <c r="S35" i="1"/>
  <c r="S34" i="1"/>
  <c r="S33" i="1"/>
  <c r="S30" i="1"/>
  <c r="S29" i="1"/>
  <c r="S28" i="1"/>
  <c r="S27" i="1"/>
  <c r="S26" i="1"/>
  <c r="S25" i="1"/>
  <c r="S24" i="1"/>
  <c r="S21" i="1"/>
  <c r="S20" i="1"/>
  <c r="S19" i="1"/>
  <c r="S16" i="1"/>
  <c r="S15" i="1"/>
  <c r="S14" i="1"/>
  <c r="S13" i="1"/>
  <c r="S10" i="1"/>
  <c r="S9" i="1"/>
  <c r="S8" i="1"/>
  <c r="S7" i="1"/>
  <c r="S6" i="1"/>
  <c r="S5" i="1"/>
  <c r="S4" i="1"/>
  <c r="S3" i="1"/>
  <c r="P55" i="1"/>
  <c r="P54" i="1"/>
  <c r="P52" i="1"/>
  <c r="P51" i="1"/>
  <c r="P50" i="1"/>
  <c r="P49" i="1"/>
  <c r="P48" i="1"/>
  <c r="P47" i="1"/>
  <c r="P46" i="1"/>
  <c r="P43" i="1"/>
  <c r="P42" i="1"/>
  <c r="P41" i="1"/>
  <c r="P40" i="1"/>
  <c r="P39" i="1"/>
  <c r="P38" i="1"/>
  <c r="P37" i="1"/>
  <c r="P36" i="1"/>
  <c r="P35" i="1"/>
  <c r="P34" i="1"/>
  <c r="P33" i="1"/>
  <c r="P30" i="1"/>
  <c r="P29" i="1"/>
  <c r="P28" i="1"/>
  <c r="P27" i="1"/>
  <c r="P26" i="1"/>
  <c r="P25" i="1"/>
  <c r="P24" i="1"/>
  <c r="P21" i="1"/>
  <c r="P20" i="1"/>
  <c r="P19" i="1"/>
  <c r="P16" i="1"/>
  <c r="P15" i="1"/>
  <c r="P14" i="1"/>
  <c r="P13" i="1"/>
  <c r="P10" i="1"/>
  <c r="P9" i="1"/>
  <c r="P8" i="1"/>
  <c r="P7" i="1"/>
  <c r="P6" i="1"/>
  <c r="P5" i="1"/>
  <c r="P4" i="1"/>
  <c r="P3" i="1"/>
  <c r="M55" i="1"/>
  <c r="M54" i="1"/>
  <c r="M52" i="1"/>
  <c r="M51" i="1"/>
  <c r="M50" i="1"/>
  <c r="M49" i="1"/>
  <c r="M48" i="1"/>
  <c r="M47" i="1"/>
  <c r="M46" i="1"/>
  <c r="M43" i="1"/>
  <c r="M42" i="1"/>
  <c r="M41" i="1"/>
  <c r="M40" i="1"/>
  <c r="M39" i="1"/>
  <c r="M38" i="1"/>
  <c r="M37" i="1"/>
  <c r="M36" i="1"/>
  <c r="M35" i="1"/>
  <c r="M34" i="1"/>
  <c r="M33" i="1"/>
  <c r="M30" i="1"/>
  <c r="M29" i="1"/>
  <c r="M28" i="1"/>
  <c r="M27" i="1"/>
  <c r="M26" i="1"/>
  <c r="M25" i="1"/>
  <c r="M24" i="1"/>
  <c r="M21" i="1"/>
  <c r="M20" i="1"/>
  <c r="M19" i="1"/>
  <c r="M16" i="1"/>
  <c r="M15" i="1"/>
  <c r="M14" i="1"/>
  <c r="M13" i="1"/>
  <c r="M10" i="1"/>
  <c r="M9" i="1"/>
  <c r="M8" i="1"/>
  <c r="M7" i="1"/>
  <c r="M6" i="1"/>
  <c r="M5" i="1"/>
  <c r="M4" i="1"/>
  <c r="M3" i="1"/>
  <c r="J55" i="1"/>
  <c r="J54" i="1"/>
  <c r="J52" i="1"/>
  <c r="J51" i="1"/>
  <c r="J50" i="1"/>
  <c r="J49" i="1"/>
  <c r="J48" i="1"/>
  <c r="J47" i="1"/>
  <c r="J46" i="1"/>
  <c r="J43" i="1"/>
  <c r="J42" i="1"/>
  <c r="J41" i="1"/>
  <c r="J40" i="1"/>
  <c r="J39" i="1"/>
  <c r="J38" i="1"/>
  <c r="J37" i="1"/>
  <c r="J36" i="1"/>
  <c r="J35" i="1"/>
  <c r="J34" i="1"/>
  <c r="J33" i="1"/>
  <c r="J30" i="1"/>
  <c r="J29" i="1"/>
  <c r="J28" i="1"/>
  <c r="J27" i="1"/>
  <c r="J26" i="1"/>
  <c r="J25" i="1"/>
  <c r="J24" i="1"/>
  <c r="J21" i="1"/>
  <c r="J20" i="1"/>
  <c r="J19" i="1"/>
  <c r="J16" i="1"/>
  <c r="J15" i="1"/>
  <c r="J14" i="1"/>
  <c r="J13" i="1"/>
  <c r="J10" i="1"/>
  <c r="J9" i="1"/>
  <c r="J8" i="1"/>
  <c r="J7" i="1"/>
  <c r="J6" i="1"/>
  <c r="J5" i="1"/>
  <c r="J4" i="1"/>
  <c r="J3" i="1"/>
  <c r="G55" i="1"/>
  <c r="G54" i="1"/>
  <c r="G52" i="1"/>
  <c r="G51" i="1"/>
  <c r="G50" i="1"/>
  <c r="G49" i="1"/>
  <c r="G48" i="1"/>
  <c r="G47" i="1"/>
  <c r="G46" i="1"/>
  <c r="G43" i="1"/>
  <c r="G42" i="1"/>
  <c r="G41" i="1"/>
  <c r="G40" i="1"/>
  <c r="G39" i="1"/>
  <c r="G38" i="1"/>
  <c r="G37" i="1"/>
  <c r="G36" i="1"/>
  <c r="G35" i="1"/>
  <c r="G34" i="1"/>
  <c r="G33" i="1"/>
  <c r="G30" i="1"/>
  <c r="G29" i="1"/>
  <c r="G28" i="1"/>
  <c r="G27" i="1"/>
  <c r="G26" i="1"/>
  <c r="G25" i="1"/>
  <c r="G24" i="1"/>
  <c r="G21" i="1"/>
  <c r="G20" i="1"/>
  <c r="G19" i="1"/>
  <c r="G16" i="1"/>
  <c r="G15" i="1"/>
  <c r="G14" i="1"/>
  <c r="G13" i="1"/>
  <c r="G10" i="1"/>
  <c r="G9" i="1"/>
  <c r="G8" i="1"/>
  <c r="G7" i="1"/>
  <c r="G6" i="1"/>
  <c r="G5" i="1"/>
  <c r="G4" i="1"/>
  <c r="G3" i="1"/>
  <c r="D55" i="1"/>
  <c r="D54" i="1"/>
  <c r="D52" i="1"/>
  <c r="D51" i="1"/>
  <c r="D50" i="1"/>
  <c r="D49" i="1"/>
  <c r="D48" i="1"/>
  <c r="D47" i="1"/>
  <c r="D46" i="1"/>
  <c r="D43" i="1"/>
  <c r="D42" i="1"/>
  <c r="D41" i="1"/>
  <c r="D40" i="1"/>
  <c r="D39" i="1"/>
  <c r="D38" i="1"/>
  <c r="D37" i="1"/>
  <c r="D36" i="1"/>
  <c r="D35" i="1"/>
  <c r="D34" i="1"/>
  <c r="D33" i="1"/>
  <c r="D30" i="1"/>
  <c r="D29" i="1"/>
  <c r="D28" i="1"/>
  <c r="D27" i="1"/>
  <c r="D26" i="1"/>
  <c r="D25" i="1"/>
  <c r="D24" i="1"/>
  <c r="D21" i="1"/>
  <c r="D20" i="1"/>
  <c r="D19" i="1"/>
  <c r="D16" i="1"/>
  <c r="D15" i="1"/>
  <c r="D14" i="1"/>
  <c r="D13" i="1"/>
  <c r="D10" i="1"/>
  <c r="D9" i="1"/>
  <c r="D8" i="1"/>
  <c r="D7" i="1"/>
  <c r="D6" i="1"/>
  <c r="D5" i="1"/>
  <c r="D4" i="1"/>
  <c r="D3" i="1"/>
  <c r="AW59" i="1"/>
  <c r="AW58" i="1"/>
  <c r="AW53" i="1"/>
  <c r="AT59" i="1"/>
  <c r="AT58" i="1"/>
  <c r="AT53" i="1"/>
  <c r="AQ59" i="1"/>
  <c r="AQ58" i="1"/>
  <c r="AQ53" i="1"/>
  <c r="AN59" i="1"/>
  <c r="AN58" i="1"/>
  <c r="AN53" i="1"/>
  <c r="AK59" i="1"/>
  <c r="AK58" i="1"/>
  <c r="AK53" i="1"/>
  <c r="AH59" i="1"/>
  <c r="AH58" i="1"/>
  <c r="AH53" i="1"/>
  <c r="AE59" i="1"/>
  <c r="AE58" i="1"/>
  <c r="AE53" i="1"/>
  <c r="AB59" i="1"/>
  <c r="AB58" i="1"/>
  <c r="AB53" i="1"/>
  <c r="Y59" i="1"/>
  <c r="Y58" i="1"/>
  <c r="Y53" i="1"/>
  <c r="V59" i="1"/>
  <c r="V58" i="1"/>
  <c r="V53" i="1"/>
  <c r="S59" i="1"/>
  <c r="S58" i="1"/>
  <c r="S53" i="1"/>
  <c r="P59" i="1"/>
  <c r="P58" i="1"/>
  <c r="P53" i="1"/>
  <c r="M59" i="1"/>
  <c r="M58" i="1"/>
  <c r="M53" i="1"/>
  <c r="J59" i="1"/>
  <c r="J58" i="1"/>
  <c r="J53" i="1"/>
  <c r="G59" i="1"/>
  <c r="G58" i="1"/>
  <c r="G53" i="1"/>
  <c r="D59" i="1"/>
  <c r="B57" i="1" s="1"/>
  <c r="D58" i="1"/>
  <c r="D53" i="1"/>
  <c r="B2" i="1"/>
  <c r="E20" i="3"/>
  <c r="B2" i="6"/>
  <c r="E2" i="6"/>
  <c r="B38" i="5"/>
  <c r="B33" i="5"/>
  <c r="B21" i="5"/>
  <c r="B17" i="5"/>
  <c r="B12" i="5"/>
  <c r="B10" i="5"/>
  <c r="B2" i="5"/>
  <c r="D42" i="5"/>
  <c r="D41" i="5"/>
  <c r="D40" i="5"/>
  <c r="D39" i="5"/>
  <c r="D37" i="5"/>
  <c r="D36" i="5"/>
  <c r="D35" i="5"/>
  <c r="D34" i="5"/>
  <c r="D32" i="5"/>
  <c r="D31" i="5"/>
  <c r="D30" i="5"/>
  <c r="D29" i="5"/>
  <c r="D28" i="5"/>
  <c r="D27" i="5"/>
  <c r="D26" i="5"/>
  <c r="D25" i="5"/>
  <c r="D24" i="5"/>
  <c r="D23" i="5"/>
  <c r="D22" i="5"/>
  <c r="D20" i="5"/>
  <c r="D19" i="5"/>
  <c r="D18" i="5"/>
  <c r="D16" i="5"/>
  <c r="D15" i="5"/>
  <c r="D14" i="5"/>
  <c r="D13" i="5"/>
  <c r="D11" i="5"/>
  <c r="D9" i="5"/>
  <c r="D8" i="5"/>
  <c r="D7" i="5"/>
  <c r="D6" i="5"/>
  <c r="D5" i="5"/>
  <c r="D4" i="5"/>
  <c r="D3" i="5"/>
  <c r="B37" i="6"/>
  <c r="B24" i="6"/>
  <c r="B18" i="6"/>
  <c r="B13" i="6"/>
  <c r="B10" i="6"/>
  <c r="D42" i="6"/>
  <c r="D41" i="6"/>
  <c r="B40" i="6" s="1"/>
  <c r="D38" i="6"/>
  <c r="D35" i="6"/>
  <c r="D34" i="6"/>
  <c r="D33" i="6"/>
  <c r="D32" i="6"/>
  <c r="D31" i="6"/>
  <c r="D31" i="6" a="1"/>
  <c r="D30" i="6"/>
  <c r="D29" i="6" a="1"/>
  <c r="D29" i="6" s="1"/>
  <c r="D28" i="6" a="1"/>
  <c r="D28" i="6" s="1"/>
  <c r="D27" i="6" a="1"/>
  <c r="D27" i="6" s="1"/>
  <c r="D26" i="6"/>
  <c r="D26" i="6" a="1"/>
  <c r="D25" i="6" a="1"/>
  <c r="D25" i="6" s="1"/>
  <c r="D22" i="6"/>
  <c r="D21" i="6"/>
  <c r="D20" i="6"/>
  <c r="D19" i="6"/>
  <c r="D16" i="6"/>
  <c r="D15" i="6"/>
  <c r="D14" i="6"/>
  <c r="D11" i="6"/>
  <c r="D8" i="6"/>
  <c r="D7" i="6"/>
  <c r="D6" i="6"/>
  <c r="D5" i="6"/>
  <c r="D4" i="6"/>
  <c r="D3" i="6"/>
  <c r="G42" i="6"/>
  <c r="G41" i="6"/>
  <c r="E40" i="6" s="1"/>
  <c r="G38" i="6"/>
  <c r="E37" i="6" s="1"/>
  <c r="G35" i="6"/>
  <c r="G34" i="6"/>
  <c r="G33" i="6"/>
  <c r="G32" i="6"/>
  <c r="G31" i="6" a="1"/>
  <c r="G31" i="6" s="1"/>
  <c r="G30" i="6"/>
  <c r="G29" i="6" a="1"/>
  <c r="G29" i="6" s="1"/>
  <c r="G28" i="6" a="1"/>
  <c r="G28" i="6" s="1"/>
  <c r="G27" i="6" a="1"/>
  <c r="G27" i="6" s="1"/>
  <c r="G26" i="6" a="1"/>
  <c r="G26" i="6" s="1"/>
  <c r="G25" i="6" a="1"/>
  <c r="G25" i="6" s="1"/>
  <c r="G22" i="6"/>
  <c r="G21" i="6"/>
  <c r="G20" i="6"/>
  <c r="G19" i="6"/>
  <c r="E18" i="6" s="1"/>
  <c r="G16" i="6"/>
  <c r="G15" i="6"/>
  <c r="G14" i="6"/>
  <c r="G11" i="6"/>
  <c r="E10" i="6" s="1"/>
  <c r="G8" i="6"/>
  <c r="G7" i="6"/>
  <c r="G6" i="6"/>
  <c r="G5" i="6"/>
  <c r="G4" i="6"/>
  <c r="G3" i="6"/>
  <c r="G8" i="5"/>
  <c r="D31" i="1"/>
  <c r="B55" i="3"/>
  <c r="B46" i="3"/>
  <c r="B32" i="3"/>
  <c r="B2" i="3"/>
  <c r="D91" i="3"/>
  <c r="D90" i="3" a="1"/>
  <c r="D90" i="3" s="1"/>
  <c r="B89" i="3" s="1"/>
  <c r="D87" i="3"/>
  <c r="D86" i="3"/>
  <c r="D85" i="3"/>
  <c r="D84" i="3"/>
  <c r="D83" i="3"/>
  <c r="D82" i="3"/>
  <c r="D81" i="3"/>
  <c r="D80" i="3"/>
  <c r="D79" i="3"/>
  <c r="D78" i="3"/>
  <c r="D77" i="3"/>
  <c r="D76" i="3"/>
  <c r="D75" i="3"/>
  <c r="D74" i="3"/>
  <c r="D73" i="3"/>
  <c r="D72" i="3"/>
  <c r="D71" i="3"/>
  <c r="D70" i="3"/>
  <c r="D69" i="3"/>
  <c r="D68" i="3"/>
  <c r="D67" i="3"/>
  <c r="D67" i="3" a="1"/>
  <c r="D66" i="3" a="1"/>
  <c r="D66" i="3" s="1"/>
  <c r="D65" i="3"/>
  <c r="D65" i="3" a="1"/>
  <c r="D64" i="3"/>
  <c r="D64" i="3" a="1"/>
  <c r="D63" i="3"/>
  <c r="D63" i="3" a="1"/>
  <c r="D62" i="3" a="1"/>
  <c r="D62" i="3" s="1"/>
  <c r="D61" i="3"/>
  <c r="D61" i="3" a="1"/>
  <c r="D60" i="3"/>
  <c r="D59" i="3" a="1"/>
  <c r="D59" i="3" s="1"/>
  <c r="D58" i="3"/>
  <c r="D58" i="3" a="1"/>
  <c r="D57" i="3"/>
  <c r="D56" i="3"/>
  <c r="D56" i="3" a="1"/>
  <c r="D53" i="3"/>
  <c r="D52" i="3"/>
  <c r="D51" i="3"/>
  <c r="D50" i="3"/>
  <c r="D50" i="3" a="1"/>
  <c r="D49" i="3" a="1"/>
  <c r="D49" i="3" s="1"/>
  <c r="D48" i="3"/>
  <c r="D47" i="3"/>
  <c r="D44" i="3"/>
  <c r="D43" i="3"/>
  <c r="D42" i="3"/>
  <c r="D41" i="3"/>
  <c r="D40" i="3"/>
  <c r="D39" i="3"/>
  <c r="D38" i="3"/>
  <c r="D37" i="3"/>
  <c r="D36" i="3"/>
  <c r="D35" i="3"/>
  <c r="D34" i="3"/>
  <c r="D33" i="3"/>
  <c r="D30" i="3"/>
  <c r="D29" i="3"/>
  <c r="D28" i="3"/>
  <c r="D27" i="3"/>
  <c r="D26" i="3"/>
  <c r="D25" i="3"/>
  <c r="D24" i="3"/>
  <c r="D23" i="3"/>
  <c r="D22" i="3"/>
  <c r="D21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D3" i="3"/>
  <c r="B37" i="4"/>
  <c r="B32" i="4"/>
  <c r="B24" i="4"/>
  <c r="B20" i="4"/>
  <c r="B16" i="4"/>
  <c r="B12" i="4"/>
  <c r="B2" i="4"/>
  <c r="D39" i="4"/>
  <c r="D38" i="4"/>
  <c r="D35" i="4"/>
  <c r="D34" i="4"/>
  <c r="D33" i="4"/>
  <c r="D30" i="4"/>
  <c r="D29" i="4"/>
  <c r="D28" i="4"/>
  <c r="D27" i="4"/>
  <c r="D26" i="4"/>
  <c r="D25" i="4"/>
  <c r="D22" i="4"/>
  <c r="D21" i="4"/>
  <c r="D18" i="4"/>
  <c r="D17" i="4" a="1"/>
  <c r="D17" i="4" s="1"/>
  <c r="D14" i="4"/>
  <c r="D13" i="4"/>
  <c r="D10" i="4"/>
  <c r="D9" i="4"/>
  <c r="D8" i="4"/>
  <c r="D7" i="4"/>
  <c r="D6" i="4"/>
  <c r="D5" i="4"/>
  <c r="D4" i="4"/>
  <c r="D3" i="4"/>
  <c r="B36" i="2"/>
  <c r="B23" i="2"/>
  <c r="B83" i="2"/>
  <c r="D13" i="2"/>
  <c r="J16" i="6"/>
  <c r="J15" i="6"/>
  <c r="J14" i="6"/>
  <c r="J11" i="6"/>
  <c r="J7" i="6"/>
  <c r="J5" i="6"/>
  <c r="J4" i="6"/>
  <c r="G15" i="5"/>
  <c r="G14" i="5"/>
  <c r="G13" i="5"/>
  <c r="G11" i="5"/>
  <c r="G9" i="5"/>
  <c r="G7" i="5"/>
  <c r="G6" i="5"/>
  <c r="G5" i="5"/>
  <c r="G4" i="5"/>
  <c r="G3" i="5"/>
  <c r="G14" i="4"/>
  <c r="G13" i="4"/>
  <c r="G10" i="4"/>
  <c r="G9" i="4"/>
  <c r="G8" i="4"/>
  <c r="G7" i="4"/>
  <c r="G6" i="4"/>
  <c r="G5" i="4"/>
  <c r="G4" i="4"/>
  <c r="G3" i="4"/>
  <c r="G14" i="3"/>
  <c r="G13" i="3"/>
  <c r="G12" i="3"/>
  <c r="G11" i="3"/>
  <c r="G10" i="3"/>
  <c r="G9" i="3"/>
  <c r="G8" i="3"/>
  <c r="G7" i="3"/>
  <c r="G6" i="3"/>
  <c r="G5" i="3"/>
  <c r="G4" i="3"/>
  <c r="G3" i="3"/>
  <c r="G13" i="2"/>
  <c r="G91" i="3"/>
  <c r="G90" i="3" a="1"/>
  <c r="G90" i="3" s="1"/>
  <c r="G87" i="3"/>
  <c r="G86" i="3"/>
  <c r="G85" i="3"/>
  <c r="G84" i="3"/>
  <c r="G83" i="3"/>
  <c r="G82" i="3"/>
  <c r="G81" i="3"/>
  <c r="G80" i="3"/>
  <c r="G79" i="3"/>
  <c r="G78" i="3"/>
  <c r="G77" i="3"/>
  <c r="G76" i="3"/>
  <c r="G75" i="3"/>
  <c r="G74" i="3"/>
  <c r="G73" i="3"/>
  <c r="G72" i="3"/>
  <c r="G71" i="3"/>
  <c r="G70" i="3"/>
  <c r="G69" i="3"/>
  <c r="G68" i="3"/>
  <c r="G67" i="3" a="1"/>
  <c r="G67" i="3" s="1"/>
  <c r="G66" i="3" a="1"/>
  <c r="G66" i="3" s="1"/>
  <c r="G65" i="3" a="1"/>
  <c r="G65" i="3" s="1"/>
  <c r="G64" i="3" a="1"/>
  <c r="G64" i="3" s="1"/>
  <c r="G63" i="3" a="1"/>
  <c r="G63" i="3" s="1"/>
  <c r="G62" i="3" a="1"/>
  <c r="G62" i="3" s="1"/>
  <c r="G61" i="3" a="1"/>
  <c r="G61" i="3" s="1"/>
  <c r="G60" i="3"/>
  <c r="G59" i="3" a="1"/>
  <c r="G59" i="3" s="1"/>
  <c r="G58" i="3" a="1"/>
  <c r="G58" i="3" s="1"/>
  <c r="G57" i="3"/>
  <c r="G56" i="3" a="1"/>
  <c r="G56" i="3" s="1"/>
  <c r="G53" i="3"/>
  <c r="G52" i="3"/>
  <c r="G51" i="3"/>
  <c r="G50" i="3" a="1"/>
  <c r="G50" i="3" s="1"/>
  <c r="G49" i="3" a="1"/>
  <c r="G49" i="3" s="1"/>
  <c r="G48" i="3"/>
  <c r="G47" i="3"/>
  <c r="G44" i="3"/>
  <c r="G43" i="3"/>
  <c r="G42" i="3"/>
  <c r="G41" i="3"/>
  <c r="G40" i="3"/>
  <c r="G39" i="3"/>
  <c r="G38" i="3"/>
  <c r="G37" i="3"/>
  <c r="G36" i="3"/>
  <c r="G35" i="3"/>
  <c r="G34" i="3"/>
  <c r="G33" i="3"/>
  <c r="G30" i="3"/>
  <c r="G29" i="3"/>
  <c r="G28" i="3"/>
  <c r="G27" i="3"/>
  <c r="G26" i="3"/>
  <c r="G25" i="3"/>
  <c r="G24" i="3"/>
  <c r="G23" i="3"/>
  <c r="G22" i="3"/>
  <c r="G21" i="3"/>
  <c r="G18" i="3"/>
  <c r="G17" i="3"/>
  <c r="G16" i="3"/>
  <c r="G15" i="3"/>
  <c r="G31" i="1"/>
  <c r="E18" i="1"/>
  <c r="J15" i="3"/>
  <c r="B71" i="2" l="1"/>
  <c r="B48" i="2"/>
  <c r="B15" i="2"/>
  <c r="B2" i="2"/>
  <c r="B45" i="1"/>
  <c r="B32" i="1"/>
  <c r="B23" i="1"/>
  <c r="B18" i="1"/>
  <c r="B12" i="1"/>
  <c r="E2" i="5"/>
  <c r="E13" i="6"/>
  <c r="E24" i="6"/>
  <c r="E32" i="3"/>
  <c r="E89" i="3"/>
  <c r="E46" i="3"/>
  <c r="E57" i="1"/>
  <c r="E23" i="1"/>
  <c r="E32" i="1"/>
  <c r="E45" i="1"/>
  <c r="E12" i="1"/>
  <c r="E2" i="1"/>
  <c r="E2" i="3"/>
  <c r="E55" i="3"/>
  <c r="G42" i="5" l="1"/>
  <c r="G41" i="5"/>
  <c r="G40" i="5"/>
  <c r="G39" i="5"/>
  <c r="G37" i="5"/>
  <c r="G36" i="5"/>
  <c r="G35" i="5"/>
  <c r="G34" i="5"/>
  <c r="G32" i="5"/>
  <c r="G31" i="5"/>
  <c r="G30" i="5"/>
  <c r="G29" i="5"/>
  <c r="G28" i="5"/>
  <c r="G27" i="5"/>
  <c r="G26" i="5"/>
  <c r="G25" i="5"/>
  <c r="G24" i="5"/>
  <c r="G23" i="5"/>
  <c r="G22" i="5"/>
  <c r="G20" i="5"/>
  <c r="G19" i="5"/>
  <c r="G18" i="5"/>
  <c r="G16" i="5"/>
  <c r="E10" i="5"/>
  <c r="E38" i="5" l="1"/>
  <c r="E17" i="5"/>
  <c r="E21" i="5"/>
  <c r="E33" i="5"/>
  <c r="E12" i="5"/>
  <c r="G39" i="4"/>
  <c r="G38" i="4"/>
  <c r="E37" i="4" s="1"/>
  <c r="G35" i="4"/>
  <c r="G34" i="4"/>
  <c r="G33" i="4"/>
  <c r="G30" i="4"/>
  <c r="G29" i="4"/>
  <c r="G28" i="4"/>
  <c r="G27" i="4"/>
  <c r="G26" i="4"/>
  <c r="G25" i="4"/>
  <c r="G22" i="4"/>
  <c r="G21" i="4"/>
  <c r="E20" i="4" s="1"/>
  <c r="G18" i="4"/>
  <c r="G17" i="4" a="1"/>
  <c r="G17" i="4" s="1"/>
  <c r="J91" i="3"/>
  <c r="J90" i="3" a="1"/>
  <c r="J90" i="3" s="1"/>
  <c r="J87" i="3"/>
  <c r="J86" i="3"/>
  <c r="J85" i="3"/>
  <c r="J84" i="3"/>
  <c r="J83" i="3"/>
  <c r="J82" i="3"/>
  <c r="J81" i="3"/>
  <c r="J80" i="3"/>
  <c r="J79" i="3"/>
  <c r="J78" i="3"/>
  <c r="J77" i="3"/>
  <c r="J76" i="3"/>
  <c r="J75" i="3"/>
  <c r="J74" i="3"/>
  <c r="J73" i="3"/>
  <c r="J72" i="3"/>
  <c r="J71" i="3"/>
  <c r="J70" i="3"/>
  <c r="J69" i="3"/>
  <c r="J68" i="3"/>
  <c r="J67" i="3" a="1"/>
  <c r="J67" i="3" s="1"/>
  <c r="J66" i="3" a="1"/>
  <c r="J66" i="3" s="1"/>
  <c r="J65" i="3" a="1"/>
  <c r="J65" i="3" s="1"/>
  <c r="J64" i="3" a="1"/>
  <c r="J64" i="3" s="1"/>
  <c r="J63" i="3" a="1"/>
  <c r="J63" i="3" s="1"/>
  <c r="J62" i="3" a="1"/>
  <c r="J62" i="3" s="1"/>
  <c r="J61" i="3" a="1"/>
  <c r="J61" i="3" s="1"/>
  <c r="J60" i="3"/>
  <c r="J59" i="3" a="1"/>
  <c r="J59" i="3" s="1"/>
  <c r="J58" i="3" a="1"/>
  <c r="J58" i="3" s="1"/>
  <c r="J57" i="3"/>
  <c r="J56" i="3" a="1"/>
  <c r="J56" i="3" s="1"/>
  <c r="J53" i="3"/>
  <c r="J52" i="3"/>
  <c r="J51" i="3"/>
  <c r="J50" i="3" a="1"/>
  <c r="J50" i="3" s="1"/>
  <c r="J49" i="3" a="1"/>
  <c r="J49" i="3" s="1"/>
  <c r="J48" i="3"/>
  <c r="J47" i="3"/>
  <c r="J44" i="3"/>
  <c r="J43" i="3"/>
  <c r="J42" i="3"/>
  <c r="J41" i="3"/>
  <c r="J40" i="3"/>
  <c r="J39" i="3"/>
  <c r="J38" i="3"/>
  <c r="J37" i="3"/>
  <c r="J36" i="3"/>
  <c r="J35" i="3"/>
  <c r="J34" i="3"/>
  <c r="J33" i="3"/>
  <c r="J30" i="3"/>
  <c r="J29" i="3"/>
  <c r="J28" i="3"/>
  <c r="J27" i="3"/>
  <c r="J26" i="3"/>
  <c r="J25" i="3"/>
  <c r="J24" i="3"/>
  <c r="J23" i="3"/>
  <c r="J22" i="3"/>
  <c r="J21" i="3"/>
  <c r="J18" i="3"/>
  <c r="J17" i="3"/>
  <c r="J16" i="3"/>
  <c r="J14" i="3"/>
  <c r="J13" i="3"/>
  <c r="J12" i="3"/>
  <c r="J11" i="3"/>
  <c r="J10" i="3"/>
  <c r="J9" i="3"/>
  <c r="J8" i="3"/>
  <c r="J7" i="3"/>
  <c r="J6" i="3"/>
  <c r="J5" i="3"/>
  <c r="J4" i="3"/>
  <c r="J3" i="3"/>
  <c r="J13" i="2"/>
  <c r="H89" i="3" l="1"/>
  <c r="E32" i="4"/>
  <c r="H2" i="2"/>
  <c r="E83" i="2"/>
  <c r="H55" i="3"/>
  <c r="E12" i="4"/>
  <c r="E2" i="4"/>
  <c r="E71" i="2"/>
  <c r="E15" i="2"/>
  <c r="E16" i="4"/>
  <c r="H20" i="3"/>
  <c r="H32" i="3"/>
  <c r="H46" i="3"/>
  <c r="E36" i="2"/>
  <c r="E24" i="4"/>
  <c r="H2" i="3"/>
  <c r="E2" i="2"/>
  <c r="E48" i="2"/>
  <c r="E23" i="2"/>
  <c r="J25" i="6" a="1"/>
  <c r="J25" i="6" s="1"/>
  <c r="J42" i="5"/>
  <c r="J41" i="5"/>
  <c r="J40" i="5"/>
  <c r="J39" i="5"/>
  <c r="J37" i="5"/>
  <c r="J36" i="5"/>
  <c r="J35" i="5"/>
  <c r="J34" i="5"/>
  <c r="J32" i="5"/>
  <c r="J31" i="5"/>
  <c r="J30" i="5"/>
  <c r="J29" i="5"/>
  <c r="J28" i="5"/>
  <c r="J27" i="5"/>
  <c r="J26" i="5"/>
  <c r="J25" i="5"/>
  <c r="J24" i="5"/>
  <c r="J23" i="5"/>
  <c r="J22" i="5"/>
  <c r="J20" i="5"/>
  <c r="J19" i="5"/>
  <c r="J18" i="5"/>
  <c r="J16" i="5"/>
  <c r="J15" i="5"/>
  <c r="J14" i="5"/>
  <c r="J13" i="5"/>
  <c r="J11" i="5"/>
  <c r="H10" i="5" s="1"/>
  <c r="J9" i="5"/>
  <c r="J8" i="5"/>
  <c r="J7" i="5"/>
  <c r="J6" i="5"/>
  <c r="J5" i="5"/>
  <c r="J4" i="5"/>
  <c r="J3" i="5"/>
  <c r="J4" i="4"/>
  <c r="J39" i="4"/>
  <c r="J38" i="4"/>
  <c r="J35" i="4"/>
  <c r="J34" i="4"/>
  <c r="J33" i="4"/>
  <c r="J30" i="4"/>
  <c r="J29" i="4"/>
  <c r="J28" i="4"/>
  <c r="J27" i="4"/>
  <c r="J26" i="4"/>
  <c r="J25" i="4"/>
  <c r="J22" i="4"/>
  <c r="J21" i="4"/>
  <c r="J18" i="4"/>
  <c r="J17" i="4" a="1"/>
  <c r="J17" i="4" s="1"/>
  <c r="J14" i="4"/>
  <c r="J13" i="4"/>
  <c r="J10" i="4"/>
  <c r="J9" i="4"/>
  <c r="J8" i="4"/>
  <c r="J7" i="4"/>
  <c r="J6" i="4"/>
  <c r="J5" i="4"/>
  <c r="J3" i="4"/>
  <c r="J42" i="6"/>
  <c r="J41" i="6"/>
  <c r="J38" i="6"/>
  <c r="H37" i="6" s="1"/>
  <c r="J35" i="6"/>
  <c r="J34" i="6"/>
  <c r="J33" i="6"/>
  <c r="J32" i="6"/>
  <c r="J31" i="6" a="1"/>
  <c r="J31" i="6" s="1"/>
  <c r="J30" i="6"/>
  <c r="J29" i="6" a="1"/>
  <c r="J29" i="6" s="1"/>
  <c r="J28" i="6" a="1"/>
  <c r="J28" i="6" s="1"/>
  <c r="J27" i="6" a="1"/>
  <c r="J27" i="6" s="1"/>
  <c r="J26" i="6" a="1"/>
  <c r="J26" i="6" s="1"/>
  <c r="J22" i="6"/>
  <c r="J21" i="6"/>
  <c r="J20" i="6"/>
  <c r="J19" i="6"/>
  <c r="H10" i="6"/>
  <c r="J8" i="6"/>
  <c r="J6" i="6"/>
  <c r="J3" i="6"/>
  <c r="M39" i="4"/>
  <c r="M38" i="4"/>
  <c r="M35" i="4"/>
  <c r="M34" i="4"/>
  <c r="M33" i="4"/>
  <c r="M30" i="4"/>
  <c r="M29" i="4"/>
  <c r="M28" i="4"/>
  <c r="M27" i="4"/>
  <c r="M26" i="4"/>
  <c r="M25" i="4"/>
  <c r="M22" i="4"/>
  <c r="M21" i="4"/>
  <c r="M18" i="4"/>
  <c r="M17" i="4" a="1"/>
  <c r="M17" i="4" s="1"/>
  <c r="M14" i="4"/>
  <c r="M13" i="4"/>
  <c r="M10" i="4"/>
  <c r="M9" i="4"/>
  <c r="M8" i="4"/>
  <c r="M7" i="4"/>
  <c r="M6" i="4"/>
  <c r="M5" i="4"/>
  <c r="M4" i="4"/>
  <c r="M3" i="4"/>
  <c r="M42" i="5"/>
  <c r="M41" i="5"/>
  <c r="M40" i="5"/>
  <c r="M39" i="5"/>
  <c r="M37" i="5"/>
  <c r="M36" i="5"/>
  <c r="M35" i="5"/>
  <c r="M34" i="5"/>
  <c r="M32" i="5"/>
  <c r="M31" i="5"/>
  <c r="M30" i="5"/>
  <c r="M29" i="5"/>
  <c r="M28" i="5"/>
  <c r="M27" i="5"/>
  <c r="M26" i="5"/>
  <c r="M25" i="5"/>
  <c r="M24" i="5"/>
  <c r="M23" i="5"/>
  <c r="M22" i="5"/>
  <c r="M20" i="5"/>
  <c r="M19" i="5"/>
  <c r="M18" i="5"/>
  <c r="M16" i="5"/>
  <c r="M15" i="5"/>
  <c r="M14" i="5"/>
  <c r="M13" i="5"/>
  <c r="M11" i="5"/>
  <c r="K10" i="5" s="1"/>
  <c r="M9" i="5"/>
  <c r="M8" i="5"/>
  <c r="M7" i="5"/>
  <c r="M6" i="5"/>
  <c r="M5" i="5"/>
  <c r="M4" i="5"/>
  <c r="M3" i="5"/>
  <c r="M91" i="3"/>
  <c r="M90" i="3" a="1"/>
  <c r="M90" i="3" s="1"/>
  <c r="M87" i="3"/>
  <c r="M86" i="3"/>
  <c r="M85" i="3"/>
  <c r="M84" i="3"/>
  <c r="M83" i="3"/>
  <c r="M82" i="3"/>
  <c r="M81" i="3"/>
  <c r="M80" i="3"/>
  <c r="M79" i="3"/>
  <c r="M78" i="3"/>
  <c r="M77" i="3"/>
  <c r="M76" i="3"/>
  <c r="M75" i="3"/>
  <c r="M74" i="3"/>
  <c r="M73" i="3"/>
  <c r="M72" i="3"/>
  <c r="M71" i="3"/>
  <c r="M70" i="3"/>
  <c r="M69" i="3"/>
  <c r="M68" i="3"/>
  <c r="M67" i="3" a="1"/>
  <c r="M67" i="3" s="1"/>
  <c r="M66" i="3" a="1"/>
  <c r="M66" i="3" s="1"/>
  <c r="M65" i="3" a="1"/>
  <c r="M65" i="3" s="1"/>
  <c r="M64" i="3" a="1"/>
  <c r="M64" i="3" s="1"/>
  <c r="M63" i="3" a="1"/>
  <c r="M63" i="3" s="1"/>
  <c r="M62" i="3" a="1"/>
  <c r="M62" i="3" s="1"/>
  <c r="M61" i="3" a="1"/>
  <c r="M61" i="3" s="1"/>
  <c r="M60" i="3"/>
  <c r="M59" i="3" a="1"/>
  <c r="M59" i="3" s="1"/>
  <c r="M58" i="3" a="1"/>
  <c r="M58" i="3" s="1"/>
  <c r="M57" i="3"/>
  <c r="M56" i="3" a="1"/>
  <c r="M56" i="3" s="1"/>
  <c r="M53" i="3"/>
  <c r="M52" i="3"/>
  <c r="M51" i="3"/>
  <c r="M50" i="3" a="1"/>
  <c r="M50" i="3" s="1"/>
  <c r="M49" i="3" a="1"/>
  <c r="M49" i="3" s="1"/>
  <c r="M48" i="3"/>
  <c r="M47" i="3"/>
  <c r="M44" i="3"/>
  <c r="M43" i="3"/>
  <c r="M42" i="3"/>
  <c r="M41" i="3"/>
  <c r="M40" i="3"/>
  <c r="M39" i="3"/>
  <c r="M38" i="3"/>
  <c r="M37" i="3"/>
  <c r="M36" i="3"/>
  <c r="M35" i="3"/>
  <c r="M34" i="3"/>
  <c r="M33" i="3"/>
  <c r="M30" i="3"/>
  <c r="M29" i="3"/>
  <c r="M28" i="3"/>
  <c r="M27" i="3"/>
  <c r="M26" i="3"/>
  <c r="M25" i="3"/>
  <c r="M24" i="3"/>
  <c r="M23" i="3"/>
  <c r="M22" i="3"/>
  <c r="M21" i="3"/>
  <c r="M18" i="3"/>
  <c r="M17" i="3"/>
  <c r="M16" i="3"/>
  <c r="M15" i="3"/>
  <c r="M14" i="3"/>
  <c r="M13" i="3"/>
  <c r="M12" i="3"/>
  <c r="M11" i="3"/>
  <c r="M10" i="3"/>
  <c r="M9" i="3"/>
  <c r="M8" i="3"/>
  <c r="M7" i="3"/>
  <c r="M6" i="3"/>
  <c r="M5" i="3"/>
  <c r="M4" i="3"/>
  <c r="M3" i="3"/>
  <c r="J31" i="1"/>
  <c r="K2" i="5" l="1"/>
  <c r="H57" i="1"/>
  <c r="H37" i="4"/>
  <c r="H38" i="5"/>
  <c r="H40" i="6"/>
  <c r="H12" i="5"/>
  <c r="H12" i="1"/>
  <c r="K55" i="3"/>
  <c r="K89" i="3"/>
  <c r="H2" i="6"/>
  <c r="K20" i="3"/>
  <c r="K32" i="3"/>
  <c r="K46" i="3"/>
  <c r="H13" i="6"/>
  <c r="H17" i="5"/>
  <c r="K12" i="5"/>
  <c r="K38" i="5"/>
  <c r="H12" i="4"/>
  <c r="H16" i="4"/>
  <c r="H20" i="4"/>
  <c r="K2" i="3"/>
  <c r="H18" i="6"/>
  <c r="H24" i="6"/>
  <c r="H33" i="5"/>
  <c r="H21" i="5"/>
  <c r="H2" i="5"/>
  <c r="K17" i="5"/>
  <c r="K21" i="5"/>
  <c r="K33" i="5"/>
  <c r="H32" i="4"/>
  <c r="H24" i="4"/>
  <c r="H2" i="4"/>
  <c r="K37" i="4"/>
  <c r="K2" i="4"/>
  <c r="K12" i="4"/>
  <c r="K16" i="4"/>
  <c r="K20" i="4"/>
  <c r="K24" i="4"/>
  <c r="K32" i="4"/>
  <c r="H2" i="1"/>
  <c r="H18" i="1"/>
  <c r="H45" i="1"/>
  <c r="H32" i="1"/>
  <c r="H23" i="1"/>
  <c r="M31" i="1"/>
  <c r="K23" i="1" l="1"/>
  <c r="K32" i="1"/>
  <c r="K2" i="1"/>
  <c r="K12" i="1"/>
  <c r="K18" i="1"/>
  <c r="K45" i="1"/>
  <c r="K57" i="1"/>
  <c r="H83" i="2" l="1"/>
  <c r="H71" i="2"/>
  <c r="H48" i="2"/>
  <c r="H23" i="2"/>
  <c r="H15" i="2"/>
  <c r="H36" i="2"/>
  <c r="M13" i="2" l="1"/>
  <c r="K2" i="2" l="1"/>
  <c r="K48" i="2"/>
  <c r="K36" i="2"/>
  <c r="K15" i="2"/>
  <c r="K23" i="2"/>
  <c r="K71" i="2"/>
  <c r="K83" i="2"/>
  <c r="M42" i="6"/>
  <c r="M41" i="6"/>
  <c r="M38" i="6"/>
  <c r="K37" i="6" s="1"/>
  <c r="M35" i="6"/>
  <c r="M34" i="6"/>
  <c r="M33" i="6"/>
  <c r="M32" i="6"/>
  <c r="M31" i="6" a="1"/>
  <c r="M31" i="6" s="1"/>
  <c r="M30" i="6"/>
  <c r="M29" i="6" a="1"/>
  <c r="M29" i="6" s="1"/>
  <c r="M28" i="6" a="1"/>
  <c r="M28" i="6" s="1"/>
  <c r="M27" i="6" a="1"/>
  <c r="M27" i="6" s="1"/>
  <c r="M26" i="6" a="1"/>
  <c r="M26" i="6" s="1"/>
  <c r="M25" i="6" a="1"/>
  <c r="M25" i="6" s="1"/>
  <c r="M22" i="6"/>
  <c r="M21" i="6"/>
  <c r="M20" i="6"/>
  <c r="M19" i="6"/>
  <c r="M16" i="6"/>
  <c r="M15" i="6"/>
  <c r="M14" i="6"/>
  <c r="M11" i="6"/>
  <c r="K10" i="6" s="1"/>
  <c r="M8" i="6"/>
  <c r="M7" i="6"/>
  <c r="M6" i="6"/>
  <c r="M5" i="6"/>
  <c r="M4" i="6"/>
  <c r="M3" i="6"/>
  <c r="K13" i="6" l="1"/>
  <c r="K18" i="6"/>
  <c r="K40" i="6"/>
  <c r="K2" i="6"/>
  <c r="K24" i="6"/>
  <c r="P42" i="5"/>
  <c r="P41" i="5"/>
  <c r="P40" i="5"/>
  <c r="P39" i="5"/>
  <c r="P37" i="5"/>
  <c r="P36" i="5"/>
  <c r="P35" i="5"/>
  <c r="P34" i="5"/>
  <c r="P32" i="5"/>
  <c r="P31" i="5"/>
  <c r="P30" i="5"/>
  <c r="P29" i="5"/>
  <c r="P28" i="5"/>
  <c r="P27" i="5"/>
  <c r="P26" i="5"/>
  <c r="P25" i="5"/>
  <c r="P24" i="5"/>
  <c r="P23" i="5"/>
  <c r="P22" i="5"/>
  <c r="P20" i="5"/>
  <c r="P19" i="5"/>
  <c r="P18" i="5"/>
  <c r="P16" i="5"/>
  <c r="P15" i="5"/>
  <c r="P14" i="5"/>
  <c r="P13" i="5"/>
  <c r="P11" i="5"/>
  <c r="N10" i="5" s="1"/>
  <c r="P9" i="5"/>
  <c r="P8" i="5"/>
  <c r="P7" i="5"/>
  <c r="P6" i="5"/>
  <c r="P5" i="5"/>
  <c r="P4" i="5"/>
  <c r="P3" i="5"/>
  <c r="N38" i="5" l="1"/>
  <c r="N17" i="5"/>
  <c r="N2" i="5"/>
  <c r="N33" i="5"/>
  <c r="N21" i="5"/>
  <c r="N12" i="5"/>
  <c r="P39" i="4"/>
  <c r="P38" i="4"/>
  <c r="P35" i="4"/>
  <c r="P34" i="4"/>
  <c r="P33" i="4"/>
  <c r="P30" i="4"/>
  <c r="P29" i="4"/>
  <c r="P28" i="4"/>
  <c r="P27" i="4"/>
  <c r="P26" i="4"/>
  <c r="P25" i="4"/>
  <c r="P22" i="4"/>
  <c r="P21" i="4"/>
  <c r="P18" i="4"/>
  <c r="P17" i="4" a="1"/>
  <c r="P17" i="4" s="1"/>
  <c r="P14" i="4"/>
  <c r="P13" i="4"/>
  <c r="P10" i="4"/>
  <c r="P9" i="4"/>
  <c r="P8" i="4"/>
  <c r="P7" i="4"/>
  <c r="P6" i="4"/>
  <c r="P5" i="4"/>
  <c r="P4" i="4"/>
  <c r="P3" i="4"/>
  <c r="P31" i="1"/>
  <c r="N57" i="1" l="1"/>
  <c r="N12" i="4"/>
  <c r="N37" i="4"/>
  <c r="N20" i="4"/>
  <c r="N32" i="4"/>
  <c r="N24" i="4"/>
  <c r="N45" i="1"/>
  <c r="N12" i="1"/>
  <c r="N18" i="1"/>
  <c r="N16" i="4"/>
  <c r="N32" i="1"/>
  <c r="N2" i="1"/>
  <c r="N2" i="4"/>
  <c r="N23" i="1"/>
  <c r="P13" i="2" l="1"/>
  <c r="N83" i="2" l="1"/>
  <c r="N23" i="2"/>
  <c r="N36" i="2"/>
  <c r="N71" i="2"/>
  <c r="N15" i="2"/>
  <c r="N48" i="2"/>
  <c r="N2" i="2"/>
  <c r="P91" i="3"/>
  <c r="P87" i="3"/>
  <c r="P86" i="3"/>
  <c r="P85" i="3"/>
  <c r="P84" i="3"/>
  <c r="P83" i="3"/>
  <c r="P82" i="3"/>
  <c r="P81" i="3"/>
  <c r="P80" i="3"/>
  <c r="P79" i="3"/>
  <c r="P78" i="3"/>
  <c r="P77" i="3"/>
  <c r="P76" i="3"/>
  <c r="P75" i="3"/>
  <c r="P74" i="3"/>
  <c r="P73" i="3"/>
  <c r="P72" i="3"/>
  <c r="P71" i="3"/>
  <c r="P70" i="3"/>
  <c r="P69" i="3"/>
  <c r="P68" i="3"/>
  <c r="P53" i="3"/>
  <c r="P52" i="3"/>
  <c r="P51" i="3"/>
  <c r="P48" i="3"/>
  <c r="P47" i="3"/>
  <c r="P44" i="3"/>
  <c r="P43" i="3"/>
  <c r="P42" i="3"/>
  <c r="P41" i="3"/>
  <c r="P40" i="3"/>
  <c r="P39" i="3"/>
  <c r="P38" i="3"/>
  <c r="P37" i="3"/>
  <c r="P36" i="3"/>
  <c r="P35" i="3"/>
  <c r="P34" i="3"/>
  <c r="P33" i="3"/>
  <c r="P30" i="3"/>
  <c r="P29" i="3"/>
  <c r="P28" i="3"/>
  <c r="P27" i="3"/>
  <c r="P26" i="3"/>
  <c r="P25" i="3"/>
  <c r="P24" i="3"/>
  <c r="P23" i="3"/>
  <c r="P22" i="3"/>
  <c r="P21" i="3"/>
  <c r="P18" i="3"/>
  <c r="P17" i="3"/>
  <c r="P16" i="3"/>
  <c r="P15" i="3"/>
  <c r="P14" i="3"/>
  <c r="P13" i="3"/>
  <c r="P12" i="3"/>
  <c r="P11" i="3"/>
  <c r="P10" i="3"/>
  <c r="P9" i="3"/>
  <c r="P8" i="3"/>
  <c r="P7" i="3"/>
  <c r="P6" i="3"/>
  <c r="P5" i="3"/>
  <c r="P4" i="3"/>
  <c r="P3" i="3"/>
  <c r="P90" i="3" a="1"/>
  <c r="P67" i="3" a="1"/>
  <c r="P65" i="3" a="1"/>
  <c r="P63" i="3" a="1"/>
  <c r="P61" i="3" a="1"/>
  <c r="P56" i="3" a="1"/>
  <c r="P60" i="3"/>
  <c r="P58" i="3" a="1"/>
  <c r="P66" i="3" a="1"/>
  <c r="P64" i="3" a="1"/>
  <c r="P62" i="3" a="1"/>
  <c r="P57" i="3"/>
  <c r="P49" i="3" a="1"/>
  <c r="P59" i="3" a="1"/>
  <c r="P50" i="3" a="1"/>
  <c r="N20" i="3" l="1"/>
  <c r="N32" i="3"/>
  <c r="N2" i="3"/>
  <c r="P50" i="3"/>
  <c r="P58" i="3"/>
  <c r="P59" i="3"/>
  <c r="P49" i="3"/>
  <c r="P56" i="3"/>
  <c r="P61" i="3"/>
  <c r="P62" i="3"/>
  <c r="P63" i="3"/>
  <c r="P64" i="3"/>
  <c r="P65" i="3"/>
  <c r="P66" i="3"/>
  <c r="P67" i="3"/>
  <c r="P90" i="3"/>
  <c r="N89" i="3" s="1"/>
  <c r="N46" i="3" l="1"/>
  <c r="N55" i="3"/>
  <c r="S32" i="6" l="1"/>
  <c r="S13" i="2" l="1"/>
  <c r="V13" i="2"/>
  <c r="Y13" i="2"/>
  <c r="S91" i="3"/>
  <c r="S87" i="3"/>
  <c r="S86" i="3"/>
  <c r="S85" i="3"/>
  <c r="S84" i="3"/>
  <c r="S83" i="3"/>
  <c r="S82" i="3"/>
  <c r="S81" i="3"/>
  <c r="S80" i="3"/>
  <c r="S79" i="3"/>
  <c r="S78" i="3"/>
  <c r="S77" i="3"/>
  <c r="S76" i="3"/>
  <c r="S75" i="3"/>
  <c r="S74" i="3"/>
  <c r="S73" i="3"/>
  <c r="S72" i="3"/>
  <c r="S71" i="3"/>
  <c r="S70" i="3"/>
  <c r="S69" i="3"/>
  <c r="S68" i="3"/>
  <c r="S53" i="3"/>
  <c r="S52" i="3"/>
  <c r="S51" i="3"/>
  <c r="S48" i="3"/>
  <c r="S47" i="3"/>
  <c r="S44" i="3"/>
  <c r="S43" i="3"/>
  <c r="S42" i="3"/>
  <c r="S41" i="3"/>
  <c r="S40" i="3"/>
  <c r="S39" i="3"/>
  <c r="S38" i="3"/>
  <c r="S37" i="3"/>
  <c r="S36" i="3"/>
  <c r="S35" i="3"/>
  <c r="S34" i="3"/>
  <c r="S33" i="3"/>
  <c r="S30" i="3"/>
  <c r="S29" i="3"/>
  <c r="S28" i="3"/>
  <c r="S27" i="3"/>
  <c r="S26" i="3"/>
  <c r="S25" i="3"/>
  <c r="S24" i="3"/>
  <c r="S23" i="3"/>
  <c r="S22" i="3"/>
  <c r="S21" i="3"/>
  <c r="S18" i="3"/>
  <c r="S17" i="3"/>
  <c r="S16" i="3"/>
  <c r="S15" i="3"/>
  <c r="S14" i="3"/>
  <c r="S13" i="3"/>
  <c r="S12" i="3"/>
  <c r="S11" i="3"/>
  <c r="S10" i="3"/>
  <c r="S9" i="3"/>
  <c r="S8" i="3"/>
  <c r="S7" i="3"/>
  <c r="S6" i="3"/>
  <c r="S5" i="3"/>
  <c r="S4" i="3"/>
  <c r="S3" i="3"/>
  <c r="V91" i="3"/>
  <c r="V87" i="3"/>
  <c r="V86" i="3"/>
  <c r="V85" i="3"/>
  <c r="V84" i="3"/>
  <c r="V83" i="3"/>
  <c r="V82" i="3"/>
  <c r="V81" i="3"/>
  <c r="V80" i="3"/>
  <c r="V79" i="3"/>
  <c r="V78" i="3"/>
  <c r="V77" i="3"/>
  <c r="V76" i="3"/>
  <c r="V75" i="3"/>
  <c r="V74" i="3"/>
  <c r="V73" i="3"/>
  <c r="V72" i="3"/>
  <c r="V71" i="3"/>
  <c r="V70" i="3"/>
  <c r="V69" i="3"/>
  <c r="V68" i="3"/>
  <c r="V53" i="3"/>
  <c r="V52" i="3"/>
  <c r="V51" i="3"/>
  <c r="V48" i="3"/>
  <c r="V47" i="3"/>
  <c r="V44" i="3"/>
  <c r="V43" i="3"/>
  <c r="V42" i="3"/>
  <c r="V41" i="3"/>
  <c r="V40" i="3"/>
  <c r="V39" i="3"/>
  <c r="V38" i="3"/>
  <c r="V37" i="3"/>
  <c r="V36" i="3"/>
  <c r="V35" i="3"/>
  <c r="V34" i="3"/>
  <c r="V33" i="3"/>
  <c r="V30" i="3"/>
  <c r="V29" i="3"/>
  <c r="V28" i="3"/>
  <c r="V27" i="3"/>
  <c r="V26" i="3"/>
  <c r="V25" i="3"/>
  <c r="V24" i="3"/>
  <c r="V23" i="3"/>
  <c r="V22" i="3"/>
  <c r="V21" i="3"/>
  <c r="V18" i="3"/>
  <c r="V17" i="3"/>
  <c r="V16" i="3"/>
  <c r="V15" i="3"/>
  <c r="V14" i="3"/>
  <c r="V13" i="3"/>
  <c r="V12" i="3"/>
  <c r="V11" i="3"/>
  <c r="V10" i="3"/>
  <c r="V9" i="3"/>
  <c r="V8" i="3"/>
  <c r="V7" i="3"/>
  <c r="V6" i="3"/>
  <c r="V5" i="3"/>
  <c r="V4" i="3"/>
  <c r="V3" i="3"/>
  <c r="Y91" i="3"/>
  <c r="Y87" i="3"/>
  <c r="Y86" i="3"/>
  <c r="Y85" i="3"/>
  <c r="Y84" i="3"/>
  <c r="Y83" i="3"/>
  <c r="Y82" i="3"/>
  <c r="Y81" i="3"/>
  <c r="Y80" i="3"/>
  <c r="Y79" i="3"/>
  <c r="Y78" i="3"/>
  <c r="Y77" i="3"/>
  <c r="Y76" i="3"/>
  <c r="Y75" i="3"/>
  <c r="Y74" i="3"/>
  <c r="Y73" i="3"/>
  <c r="Y72" i="3"/>
  <c r="Y71" i="3"/>
  <c r="Y70" i="3"/>
  <c r="Y69" i="3"/>
  <c r="Y68" i="3"/>
  <c r="Y53" i="3"/>
  <c r="Y52" i="3"/>
  <c r="Y51" i="3"/>
  <c r="Y48" i="3"/>
  <c r="Y47" i="3"/>
  <c r="Y44" i="3"/>
  <c r="Y43" i="3"/>
  <c r="Y42" i="3"/>
  <c r="Y41" i="3"/>
  <c r="Y40" i="3"/>
  <c r="Y39" i="3"/>
  <c r="Y38" i="3"/>
  <c r="Y37" i="3"/>
  <c r="Y36" i="3"/>
  <c r="Y35" i="3"/>
  <c r="Y34" i="3"/>
  <c r="Y33" i="3"/>
  <c r="Y30" i="3"/>
  <c r="Y29" i="3"/>
  <c r="Y28" i="3"/>
  <c r="Y27" i="3"/>
  <c r="Y26" i="3"/>
  <c r="Y25" i="3"/>
  <c r="Y24" i="3"/>
  <c r="Y23" i="3"/>
  <c r="Y22" i="3"/>
  <c r="Y21" i="3"/>
  <c r="Y18" i="3"/>
  <c r="Y17" i="3"/>
  <c r="Y16" i="3"/>
  <c r="Y15" i="3"/>
  <c r="Y14" i="3"/>
  <c r="Y13" i="3"/>
  <c r="Y12" i="3"/>
  <c r="Y11" i="3"/>
  <c r="Y10" i="3"/>
  <c r="Y9" i="3"/>
  <c r="Y8" i="3"/>
  <c r="Y7" i="3"/>
  <c r="Y6" i="3"/>
  <c r="Y5" i="3"/>
  <c r="Y4" i="3"/>
  <c r="Y3" i="3"/>
  <c r="S31" i="1"/>
  <c r="V90" i="3" a="1"/>
  <c r="Y60" i="3"/>
  <c r="S59" i="3" a="1"/>
  <c r="V58" i="3" a="1"/>
  <c r="Y65" i="3" a="1"/>
  <c r="S66" i="3" a="1"/>
  <c r="V65" i="3" a="1"/>
  <c r="Y64" i="3" a="1"/>
  <c r="S63" i="3" a="1"/>
  <c r="V57" i="3"/>
  <c r="Y56" i="3" a="1"/>
  <c r="S57" i="3"/>
  <c r="V56" i="3" a="1"/>
  <c r="Y50" i="3" a="1"/>
  <c r="S49" i="3" a="1"/>
  <c r="Y59" i="3" a="1"/>
  <c r="S60" i="3"/>
  <c r="V59" i="3" a="1"/>
  <c r="Y58" i="3" a="1"/>
  <c r="S67" i="3" a="1"/>
  <c r="V66" i="3" a="1"/>
  <c r="Y63" i="3" a="1"/>
  <c r="V67" i="3" a="1"/>
  <c r="S65" i="3" a="1"/>
  <c r="Y61" i="3" a="1"/>
  <c r="V61" i="3" a="1"/>
  <c r="S56" i="3" a="1"/>
  <c r="Y90" i="3" a="1"/>
  <c r="S64" i="3" a="1"/>
  <c r="V63" i="3" a="1"/>
  <c r="Y62" i="3" a="1"/>
  <c r="S61" i="3" a="1"/>
  <c r="V50" i="3" a="1"/>
  <c r="Y49" i="3" a="1"/>
  <c r="S50" i="3" a="1"/>
  <c r="V49" i="3" a="1"/>
  <c r="S90" i="3" a="1"/>
  <c r="V60" i="3"/>
  <c r="Y67" i="3" a="1"/>
  <c r="S58" i="3" a="1"/>
  <c r="Y66" i="3" a="1"/>
  <c r="V64" i="3" a="1"/>
  <c r="S62" i="3" a="1"/>
  <c r="Y57" i="3"/>
  <c r="V62" i="3" a="1"/>
  <c r="T32" i="3" l="1"/>
  <c r="T20" i="3"/>
  <c r="W32" i="3"/>
  <c r="T2" i="3"/>
  <c r="T23" i="1"/>
  <c r="W32" i="1"/>
  <c r="W2" i="3"/>
  <c r="W20" i="3"/>
  <c r="W15" i="2"/>
  <c r="W36" i="2"/>
  <c r="T2" i="2"/>
  <c r="Q15" i="2"/>
  <c r="T18" i="1"/>
  <c r="T2" i="1"/>
  <c r="W12" i="1"/>
  <c r="W45" i="1"/>
  <c r="Q57" i="1"/>
  <c r="W57" i="1"/>
  <c r="T57" i="1"/>
  <c r="Q2" i="3"/>
  <c r="Q32" i="3"/>
  <c r="W2" i="2"/>
  <c r="T15" i="2"/>
  <c r="T36" i="2"/>
  <c r="Q36" i="2"/>
  <c r="Q20" i="3"/>
  <c r="Q2" i="2"/>
  <c r="Q23" i="2"/>
  <c r="T23" i="2"/>
  <c r="W23" i="2"/>
  <c r="S49" i="3"/>
  <c r="S50" i="3"/>
  <c r="S56" i="3"/>
  <c r="S61" i="3"/>
  <c r="S62" i="3"/>
  <c r="S63" i="3"/>
  <c r="S64" i="3"/>
  <c r="S65" i="3"/>
  <c r="S66" i="3"/>
  <c r="S67" i="3"/>
  <c r="S58" i="3"/>
  <c r="S59" i="3"/>
  <c r="S90" i="3"/>
  <c r="Q89" i="3" s="1"/>
  <c r="V49" i="3"/>
  <c r="V50" i="3"/>
  <c r="V56" i="3"/>
  <c r="V61" i="3"/>
  <c r="V62" i="3"/>
  <c r="V63" i="3"/>
  <c r="V64" i="3"/>
  <c r="V65" i="3"/>
  <c r="V66" i="3"/>
  <c r="V67" i="3"/>
  <c r="V58" i="3"/>
  <c r="V59" i="3"/>
  <c r="V90" i="3"/>
  <c r="T89" i="3" s="1"/>
  <c r="Y49" i="3"/>
  <c r="Y50" i="3"/>
  <c r="Y56" i="3"/>
  <c r="Y61" i="3"/>
  <c r="Y62" i="3"/>
  <c r="Y63" i="3"/>
  <c r="Y64" i="3"/>
  <c r="Y65" i="3"/>
  <c r="Y66" i="3"/>
  <c r="Y67" i="3"/>
  <c r="Y58" i="3"/>
  <c r="Y59" i="3"/>
  <c r="Y90" i="3"/>
  <c r="W89" i="3" s="1"/>
  <c r="T32" i="1"/>
  <c r="Q32" i="1"/>
  <c r="T45" i="1"/>
  <c r="Q45" i="1"/>
  <c r="W2" i="1"/>
  <c r="T12" i="1"/>
  <c r="Q12" i="1"/>
  <c r="Q18" i="1"/>
  <c r="W18" i="1"/>
  <c r="Q23" i="1"/>
  <c r="W23" i="1"/>
  <c r="Q2" i="1"/>
  <c r="Q83" i="2" l="1"/>
  <c r="Q48" i="2"/>
  <c r="Q71" i="2"/>
  <c r="T83" i="2"/>
  <c r="Q46" i="3"/>
  <c r="W83" i="2"/>
  <c r="T48" i="2"/>
  <c r="T71" i="2"/>
  <c r="W48" i="2"/>
  <c r="W71" i="2"/>
  <c r="Q55" i="3"/>
  <c r="T46" i="3"/>
  <c r="W46" i="3"/>
  <c r="T55" i="3"/>
  <c r="W55" i="3"/>
  <c r="Y39" i="4" l="1"/>
  <c r="V39" i="4"/>
  <c r="S39" i="4"/>
  <c r="Y38" i="4"/>
  <c r="V38" i="4"/>
  <c r="S38" i="4"/>
  <c r="Y35" i="4"/>
  <c r="V35" i="4"/>
  <c r="S35" i="4"/>
  <c r="Y34" i="4"/>
  <c r="V34" i="4"/>
  <c r="S34" i="4"/>
  <c r="Y33" i="4"/>
  <c r="V33" i="4"/>
  <c r="S33" i="4"/>
  <c r="Y30" i="4"/>
  <c r="V30" i="4"/>
  <c r="S30" i="4"/>
  <c r="Y29" i="4"/>
  <c r="V29" i="4"/>
  <c r="S29" i="4"/>
  <c r="Y28" i="4"/>
  <c r="V28" i="4"/>
  <c r="S28" i="4"/>
  <c r="Y27" i="4"/>
  <c r="V27" i="4"/>
  <c r="S27" i="4"/>
  <c r="Y26" i="4"/>
  <c r="V26" i="4"/>
  <c r="S26" i="4"/>
  <c r="Y25" i="4"/>
  <c r="V25" i="4"/>
  <c r="S25" i="4"/>
  <c r="Y22" i="4"/>
  <c r="V22" i="4"/>
  <c r="S22" i="4"/>
  <c r="Y21" i="4"/>
  <c r="V21" i="4"/>
  <c r="S21" i="4"/>
  <c r="Y18" i="4"/>
  <c r="V18" i="4"/>
  <c r="S18" i="4"/>
  <c r="Y14" i="4"/>
  <c r="V14" i="4"/>
  <c r="S14" i="4"/>
  <c r="Y13" i="4"/>
  <c r="V13" i="4"/>
  <c r="S13" i="4"/>
  <c r="Y10" i="4"/>
  <c r="V10" i="4"/>
  <c r="S10" i="4"/>
  <c r="Y9" i="4"/>
  <c r="V9" i="4"/>
  <c r="S9" i="4"/>
  <c r="Y8" i="4"/>
  <c r="V8" i="4"/>
  <c r="S8" i="4"/>
  <c r="Y7" i="4"/>
  <c r="V7" i="4"/>
  <c r="S7" i="4"/>
  <c r="Y6" i="4"/>
  <c r="V6" i="4"/>
  <c r="S6" i="4"/>
  <c r="Y5" i="4"/>
  <c r="V5" i="4"/>
  <c r="S5" i="4"/>
  <c r="Y4" i="4"/>
  <c r="V4" i="4"/>
  <c r="S4" i="4"/>
  <c r="Y3" i="4"/>
  <c r="V3" i="4"/>
  <c r="S3" i="4"/>
  <c r="V42" i="5"/>
  <c r="S42" i="5"/>
  <c r="V41" i="5"/>
  <c r="S41" i="5"/>
  <c r="V40" i="5"/>
  <c r="S40" i="5"/>
  <c r="V39" i="5"/>
  <c r="S39" i="5"/>
  <c r="Q38" i="5" s="1"/>
  <c r="V37" i="5"/>
  <c r="S37" i="5"/>
  <c r="V36" i="5"/>
  <c r="S36" i="5"/>
  <c r="V35" i="5"/>
  <c r="S35" i="5"/>
  <c r="V34" i="5"/>
  <c r="S34" i="5"/>
  <c r="V32" i="5"/>
  <c r="S32" i="5"/>
  <c r="V31" i="5"/>
  <c r="S31" i="5"/>
  <c r="V30" i="5"/>
  <c r="S30" i="5"/>
  <c r="V29" i="5"/>
  <c r="S29" i="5"/>
  <c r="V28" i="5"/>
  <c r="S28" i="5"/>
  <c r="V27" i="5"/>
  <c r="S27" i="5"/>
  <c r="V26" i="5"/>
  <c r="S26" i="5"/>
  <c r="V25" i="5"/>
  <c r="S25" i="5"/>
  <c r="V24" i="5"/>
  <c r="S24" i="5"/>
  <c r="V23" i="5"/>
  <c r="S23" i="5"/>
  <c r="V22" i="5"/>
  <c r="S22" i="5"/>
  <c r="V20" i="5"/>
  <c r="S20" i="5"/>
  <c r="V19" i="5"/>
  <c r="S19" i="5"/>
  <c r="V18" i="5"/>
  <c r="S18" i="5"/>
  <c r="V16" i="5"/>
  <c r="S16" i="5"/>
  <c r="V15" i="5"/>
  <c r="S15" i="5"/>
  <c r="V14" i="5"/>
  <c r="S14" i="5"/>
  <c r="V11" i="5"/>
  <c r="T10" i="5" s="1"/>
  <c r="S11" i="5"/>
  <c r="Q10" i="5" s="1"/>
  <c r="V9" i="5"/>
  <c r="S9" i="5"/>
  <c r="V8" i="5"/>
  <c r="S8" i="5"/>
  <c r="V7" i="5"/>
  <c r="S7" i="5"/>
  <c r="V6" i="5"/>
  <c r="S6" i="5"/>
  <c r="V5" i="5"/>
  <c r="S5" i="5"/>
  <c r="V4" i="5"/>
  <c r="S4" i="5"/>
  <c r="Q2" i="5" s="1"/>
  <c r="V3" i="5"/>
  <c r="S3" i="5"/>
  <c r="Y37" i="5"/>
  <c r="Y36" i="5"/>
  <c r="Y35" i="5"/>
  <c r="Y34" i="5"/>
  <c r="P42" i="6"/>
  <c r="P41" i="6"/>
  <c r="P38" i="6"/>
  <c r="N37" i="6" s="1"/>
  <c r="P35" i="6"/>
  <c r="P34" i="6"/>
  <c r="P33" i="6"/>
  <c r="P32" i="6"/>
  <c r="P30" i="6"/>
  <c r="P22" i="6"/>
  <c r="P21" i="6"/>
  <c r="P20" i="6"/>
  <c r="P19" i="6"/>
  <c r="P16" i="6"/>
  <c r="P15" i="6"/>
  <c r="P14" i="6"/>
  <c r="P11" i="6"/>
  <c r="N10" i="6" s="1"/>
  <c r="P8" i="6"/>
  <c r="P7" i="6"/>
  <c r="P6" i="6"/>
  <c r="P5" i="6"/>
  <c r="P4" i="6"/>
  <c r="P3" i="6"/>
  <c r="S42" i="6"/>
  <c r="S41" i="6"/>
  <c r="S38" i="6"/>
  <c r="Q37" i="6" s="1"/>
  <c r="S35" i="6"/>
  <c r="S34" i="6"/>
  <c r="S33" i="6"/>
  <c r="S30" i="6"/>
  <c r="S22" i="6"/>
  <c r="S21" i="6"/>
  <c r="S20" i="6"/>
  <c r="S19" i="6"/>
  <c r="S16" i="6"/>
  <c r="S15" i="6"/>
  <c r="S14" i="6"/>
  <c r="S11" i="6"/>
  <c r="Q10" i="6" s="1"/>
  <c r="S8" i="6"/>
  <c r="S7" i="6"/>
  <c r="S6" i="6"/>
  <c r="S5" i="6"/>
  <c r="S4" i="6"/>
  <c r="S3" i="6"/>
  <c r="S26" i="6" a="1"/>
  <c r="S31" i="6" a="1"/>
  <c r="P28" i="6" a="1"/>
  <c r="V13" i="5"/>
  <c r="P29" i="6" a="1"/>
  <c r="V17" i="4" a="1"/>
  <c r="S27" i="6" a="1"/>
  <c r="P25" i="6" a="1"/>
  <c r="S13" i="5"/>
  <c r="Y17" i="4" a="1"/>
  <c r="S17" i="4" a="1"/>
  <c r="S28" i="6" a="1"/>
  <c r="P26" i="6" a="1"/>
  <c r="P31" i="6" a="1"/>
  <c r="S25" i="6" a="1"/>
  <c r="S29" i="6" a="1"/>
  <c r="P27" i="6" a="1"/>
  <c r="T33" i="5" l="1"/>
  <c r="T38" i="5"/>
  <c r="Q33" i="5"/>
  <c r="T17" i="5"/>
  <c r="T2" i="5"/>
  <c r="Q21" i="5"/>
  <c r="T21" i="5"/>
  <c r="T2" i="4"/>
  <c r="Q13" i="6"/>
  <c r="Q40" i="6"/>
  <c r="N13" i="6"/>
  <c r="N40" i="6"/>
  <c r="N2" i="6"/>
  <c r="W24" i="4"/>
  <c r="Q2" i="6"/>
  <c r="Q18" i="6"/>
  <c r="N18" i="6"/>
  <c r="Q17" i="5"/>
  <c r="T20" i="4"/>
  <c r="T24" i="4"/>
  <c r="Q24" i="4"/>
  <c r="Q37" i="4"/>
  <c r="W37" i="4"/>
  <c r="T37" i="4"/>
  <c r="W12" i="4"/>
  <c r="T12" i="4"/>
  <c r="Q12" i="4"/>
  <c r="Q32" i="4"/>
  <c r="W32" i="4"/>
  <c r="T32" i="4"/>
  <c r="Q2" i="4"/>
  <c r="W2" i="4"/>
  <c r="Q20" i="4"/>
  <c r="W20" i="4"/>
  <c r="S17" i="4"/>
  <c r="Q16" i="4" s="1"/>
  <c r="V17" i="4"/>
  <c r="T16" i="4" s="1"/>
  <c r="Y17" i="4"/>
  <c r="W16" i="4" s="1"/>
  <c r="Q12" i="5"/>
  <c r="T12" i="5"/>
  <c r="P25" i="6"/>
  <c r="P26" i="6"/>
  <c r="P27" i="6"/>
  <c r="P28" i="6"/>
  <c r="P29" i="6"/>
  <c r="P31" i="6"/>
  <c r="S25" i="6"/>
  <c r="S26" i="6"/>
  <c r="S27" i="6"/>
  <c r="S28" i="6"/>
  <c r="S29" i="6"/>
  <c r="S31" i="6"/>
  <c r="N24" i="6" l="1"/>
  <c r="Q24" i="6"/>
  <c r="V42" i="6" l="1"/>
  <c r="V41" i="6"/>
  <c r="V38" i="6"/>
  <c r="T37" i="6" s="1"/>
  <c r="V35" i="6"/>
  <c r="V34" i="6"/>
  <c r="V33" i="6"/>
  <c r="V32" i="6"/>
  <c r="V30" i="6"/>
  <c r="V22" i="6"/>
  <c r="V21" i="6"/>
  <c r="V20" i="6"/>
  <c r="V19" i="6"/>
  <c r="V16" i="6"/>
  <c r="V15" i="6"/>
  <c r="V14" i="6"/>
  <c r="V11" i="6"/>
  <c r="T10" i="6" s="1"/>
  <c r="V8" i="6"/>
  <c r="V7" i="6"/>
  <c r="V6" i="6"/>
  <c r="V5" i="6"/>
  <c r="V4" i="6"/>
  <c r="V3" i="6"/>
  <c r="AT42" i="6"/>
  <c r="AQ42" i="6"/>
  <c r="AN42" i="6"/>
  <c r="AK42" i="6"/>
  <c r="AH42" i="6"/>
  <c r="AE42" i="6"/>
  <c r="AB42" i="6"/>
  <c r="Y42" i="6"/>
  <c r="AT41" i="6"/>
  <c r="AR40" i="6" s="1"/>
  <c r="AQ41" i="6"/>
  <c r="AO40" i="6" s="1"/>
  <c r="AN41" i="6"/>
  <c r="AL40" i="6" s="1"/>
  <c r="AK41" i="6"/>
  <c r="AI40" i="6" s="1"/>
  <c r="AH41" i="6"/>
  <c r="AF40" i="6" s="1"/>
  <c r="AE41" i="6"/>
  <c r="AC40" i="6" s="1"/>
  <c r="AB41" i="6"/>
  <c r="Z40" i="6" s="1"/>
  <c r="Y41" i="6"/>
  <c r="W40" i="6" s="1"/>
  <c r="AT38" i="6"/>
  <c r="AQ38" i="6"/>
  <c r="AN38" i="6"/>
  <c r="AK38" i="6"/>
  <c r="AH38" i="6"/>
  <c r="AF37" i="6" s="1"/>
  <c r="AE38" i="6"/>
  <c r="AC37" i="6" s="1"/>
  <c r="AB38" i="6"/>
  <c r="Z37" i="6" s="1"/>
  <c r="Y38" i="6"/>
  <c r="W37" i="6" s="1"/>
  <c r="AR37" i="6"/>
  <c r="AO37" i="6"/>
  <c r="AL37" i="6"/>
  <c r="AI37" i="6"/>
  <c r="AT35" i="6"/>
  <c r="AQ35" i="6"/>
  <c r="AN35" i="6"/>
  <c r="AK35" i="6"/>
  <c r="AH35" i="6"/>
  <c r="AE35" i="6"/>
  <c r="AB35" i="6"/>
  <c r="Y35" i="6"/>
  <c r="AT34" i="6"/>
  <c r="AQ34" i="6"/>
  <c r="AN34" i="6"/>
  <c r="AK34" i="6"/>
  <c r="AH34" i="6"/>
  <c r="AE34" i="6"/>
  <c r="AB34" i="6"/>
  <c r="Y34" i="6"/>
  <c r="AT33" i="6"/>
  <c r="AQ33" i="6"/>
  <c r="AN33" i="6"/>
  <c r="AK33" i="6"/>
  <c r="AH33" i="6"/>
  <c r="AE33" i="6"/>
  <c r="AB33" i="6"/>
  <c r="Y33" i="6"/>
  <c r="AT32" i="6"/>
  <c r="AQ32" i="6"/>
  <c r="AN32" i="6"/>
  <c r="AK32" i="6"/>
  <c r="AH32" i="6"/>
  <c r="AE32" i="6"/>
  <c r="AB32" i="6"/>
  <c r="Y32" i="6"/>
  <c r="AT30" i="6"/>
  <c r="AQ30" i="6"/>
  <c r="AN30" i="6"/>
  <c r="AK30" i="6"/>
  <c r="AH30" i="6"/>
  <c r="AE30" i="6"/>
  <c r="AB30" i="6"/>
  <c r="Y30" i="6"/>
  <c r="AT22" i="6"/>
  <c r="AQ22" i="6"/>
  <c r="AN22" i="6"/>
  <c r="AK22" i="6"/>
  <c r="AH22" i="6"/>
  <c r="AE22" i="6"/>
  <c r="AB22" i="6"/>
  <c r="Y22" i="6"/>
  <c r="AT21" i="6"/>
  <c r="AQ21" i="6"/>
  <c r="AN21" i="6"/>
  <c r="AK21" i="6"/>
  <c r="AH21" i="6"/>
  <c r="AE21" i="6"/>
  <c r="AB21" i="6"/>
  <c r="Y21" i="6"/>
  <c r="AT20" i="6"/>
  <c r="AQ20" i="6"/>
  <c r="AN20" i="6"/>
  <c r="AK20" i="6"/>
  <c r="AH20" i="6"/>
  <c r="AE20" i="6"/>
  <c r="AB20" i="6"/>
  <c r="Y20" i="6"/>
  <c r="AT19" i="6"/>
  <c r="AR18" i="6" s="1"/>
  <c r="AQ19" i="6"/>
  <c r="AN19" i="6"/>
  <c r="AL18" i="6" s="1"/>
  <c r="AK19" i="6"/>
  <c r="AI18" i="6" s="1"/>
  <c r="AH19" i="6"/>
  <c r="AE19" i="6"/>
  <c r="AC18" i="6" s="1"/>
  <c r="AB19" i="6"/>
  <c r="Z18" i="6" s="1"/>
  <c r="Y19" i="6"/>
  <c r="W18" i="6" s="1"/>
  <c r="AO18" i="6"/>
  <c r="AT16" i="6"/>
  <c r="AQ16" i="6"/>
  <c r="AN16" i="6"/>
  <c r="AK16" i="6"/>
  <c r="AH16" i="6"/>
  <c r="AE16" i="6"/>
  <c r="AB16" i="6"/>
  <c r="Y16" i="6"/>
  <c r="AT15" i="6"/>
  <c r="AQ15" i="6"/>
  <c r="AN15" i="6"/>
  <c r="AK15" i="6"/>
  <c r="AH15" i="6"/>
  <c r="AE15" i="6"/>
  <c r="AB15" i="6"/>
  <c r="Y15" i="6"/>
  <c r="AT14" i="6"/>
  <c r="AR13" i="6" s="1"/>
  <c r="AQ14" i="6"/>
  <c r="AO13" i="6" s="1"/>
  <c r="AN14" i="6"/>
  <c r="AK14" i="6"/>
  <c r="AI13" i="6" s="1"/>
  <c r="AH14" i="6"/>
  <c r="AF13" i="6" s="1"/>
  <c r="AE14" i="6"/>
  <c r="AC13" i="6" s="1"/>
  <c r="AB14" i="6"/>
  <c r="Y14" i="6"/>
  <c r="W13" i="6" s="1"/>
  <c r="AT11" i="6"/>
  <c r="AQ11" i="6"/>
  <c r="AO10" i="6" s="1"/>
  <c r="AN11" i="6"/>
  <c r="AL10" i="6" s="1"/>
  <c r="AK11" i="6"/>
  <c r="AI10" i="6" s="1"/>
  <c r="AH11" i="6"/>
  <c r="AF10" i="6" s="1"/>
  <c r="AE11" i="6"/>
  <c r="AC10" i="6" s="1"/>
  <c r="AB11" i="6"/>
  <c r="Z10" i="6" s="1"/>
  <c r="Y11" i="6"/>
  <c r="W10" i="6" s="1"/>
  <c r="AR10" i="6"/>
  <c r="AT8" i="6"/>
  <c r="AQ8" i="6"/>
  <c r="AN8" i="6"/>
  <c r="AK8" i="6"/>
  <c r="AH8" i="6"/>
  <c r="AE8" i="6"/>
  <c r="AB8" i="6"/>
  <c r="Y8" i="6"/>
  <c r="AT7" i="6"/>
  <c r="AQ7" i="6"/>
  <c r="AN7" i="6"/>
  <c r="AK7" i="6"/>
  <c r="AH7" i="6"/>
  <c r="AE7" i="6"/>
  <c r="AB7" i="6"/>
  <c r="Y7" i="6"/>
  <c r="AT6" i="6"/>
  <c r="AQ6" i="6"/>
  <c r="AN6" i="6"/>
  <c r="AK6" i="6"/>
  <c r="AH6" i="6"/>
  <c r="AE6" i="6"/>
  <c r="AB6" i="6"/>
  <c r="Y6" i="6"/>
  <c r="AT5" i="6"/>
  <c r="AQ5" i="6"/>
  <c r="AN5" i="6"/>
  <c r="AK5" i="6"/>
  <c r="AH5" i="6"/>
  <c r="AE5" i="6"/>
  <c r="AB5" i="6"/>
  <c r="Y5" i="6"/>
  <c r="AT4" i="6"/>
  <c r="AQ4" i="6"/>
  <c r="AN4" i="6"/>
  <c r="AK4" i="6"/>
  <c r="AH4" i="6"/>
  <c r="AE4" i="6"/>
  <c r="AB4" i="6"/>
  <c r="Y4" i="6"/>
  <c r="AT3" i="6"/>
  <c r="AQ3" i="6"/>
  <c r="AN3" i="6"/>
  <c r="AK3" i="6"/>
  <c r="AI2" i="6" s="1"/>
  <c r="AH3" i="6"/>
  <c r="AE3" i="6"/>
  <c r="AC2" i="6" s="1"/>
  <c r="AB3" i="6"/>
  <c r="Y3" i="6"/>
  <c r="W2" i="6" s="1"/>
  <c r="AR2" i="6"/>
  <c r="AO2" i="6"/>
  <c r="W33" i="5"/>
  <c r="Y42" i="5"/>
  <c r="Y41" i="5"/>
  <c r="Y40" i="5"/>
  <c r="Y39" i="5"/>
  <c r="Y32" i="5"/>
  <c r="Y31" i="5"/>
  <c r="Y30" i="5"/>
  <c r="Y29" i="5"/>
  <c r="Y28" i="5"/>
  <c r="Y27" i="5"/>
  <c r="Y26" i="5"/>
  <c r="Y25" i="5"/>
  <c r="Y24" i="5"/>
  <c r="Y23" i="5"/>
  <c r="Y22" i="5"/>
  <c r="Y20" i="5"/>
  <c r="Y19" i="5"/>
  <c r="Y18" i="5"/>
  <c r="Y16" i="5"/>
  <c r="Y15" i="5"/>
  <c r="Y14" i="5"/>
  <c r="Y11" i="5"/>
  <c r="W10" i="5" s="1"/>
  <c r="Y9" i="5"/>
  <c r="Y8" i="5"/>
  <c r="Y7" i="5"/>
  <c r="Y6" i="5"/>
  <c r="Y5" i="5"/>
  <c r="Y4" i="5"/>
  <c r="Y3" i="5"/>
  <c r="AW42" i="5"/>
  <c r="AT42" i="5"/>
  <c r="AQ42" i="5"/>
  <c r="AN42" i="5"/>
  <c r="AK42" i="5"/>
  <c r="AH42" i="5"/>
  <c r="AE42" i="5"/>
  <c r="AB42" i="5"/>
  <c r="AW41" i="5"/>
  <c r="AT41" i="5"/>
  <c r="AQ41" i="5"/>
  <c r="AN41" i="5"/>
  <c r="AK41" i="5"/>
  <c r="AH41" i="5"/>
  <c r="AE41" i="5"/>
  <c r="AB41" i="5"/>
  <c r="AW40" i="5"/>
  <c r="AT40" i="5"/>
  <c r="AQ40" i="5"/>
  <c r="AN40" i="5"/>
  <c r="AK40" i="5"/>
  <c r="AH40" i="5"/>
  <c r="AE40" i="5"/>
  <c r="AB40" i="5"/>
  <c r="AW39" i="5"/>
  <c r="AT39" i="5"/>
  <c r="AQ39" i="5"/>
  <c r="AN39" i="5"/>
  <c r="AL38" i="5" s="1"/>
  <c r="AK39" i="5"/>
  <c r="AH39" i="5"/>
  <c r="AF38" i="5" s="1"/>
  <c r="AE39" i="5"/>
  <c r="AC38" i="5" s="1"/>
  <c r="AB39" i="5"/>
  <c r="Z38" i="5" s="1"/>
  <c r="AU38" i="5"/>
  <c r="AR38" i="5"/>
  <c r="AO38" i="5"/>
  <c r="AI38" i="5"/>
  <c r="AW37" i="5"/>
  <c r="AT37" i="5"/>
  <c r="AQ37" i="5"/>
  <c r="AN37" i="5"/>
  <c r="AK37" i="5"/>
  <c r="AH37" i="5"/>
  <c r="AE37" i="5"/>
  <c r="AB37" i="5"/>
  <c r="AW36" i="5"/>
  <c r="AT36" i="5"/>
  <c r="AQ36" i="5"/>
  <c r="AN36" i="5"/>
  <c r="AK36" i="5"/>
  <c r="AH36" i="5"/>
  <c r="AE36" i="5"/>
  <c r="AB36" i="5"/>
  <c r="AW35" i="5"/>
  <c r="AT35" i="5"/>
  <c r="AQ35" i="5"/>
  <c r="AN35" i="5"/>
  <c r="AK35" i="5"/>
  <c r="AH35" i="5"/>
  <c r="AE35" i="5"/>
  <c r="AB35" i="5"/>
  <c r="AW34" i="5"/>
  <c r="AT34" i="5"/>
  <c r="AQ34" i="5"/>
  <c r="AO33" i="5" s="1"/>
  <c r="AN34" i="5"/>
  <c r="AL33" i="5" s="1"/>
  <c r="AK34" i="5"/>
  <c r="AI33" i="5" s="1"/>
  <c r="AH34" i="5"/>
  <c r="AF33" i="5" s="1"/>
  <c r="AE34" i="5"/>
  <c r="AC33" i="5" s="1"/>
  <c r="AB34" i="5"/>
  <c r="AU33" i="5"/>
  <c r="AR33" i="5"/>
  <c r="Z33" i="5"/>
  <c r="AW32" i="5"/>
  <c r="AT32" i="5"/>
  <c r="AQ32" i="5"/>
  <c r="AN32" i="5"/>
  <c r="AK32" i="5"/>
  <c r="AH32" i="5"/>
  <c r="AE32" i="5"/>
  <c r="AB32" i="5"/>
  <c r="AW31" i="5"/>
  <c r="AT31" i="5"/>
  <c r="AQ31" i="5"/>
  <c r="AN31" i="5"/>
  <c r="AK31" i="5"/>
  <c r="AH31" i="5"/>
  <c r="AE31" i="5"/>
  <c r="AB31" i="5"/>
  <c r="AW30" i="5"/>
  <c r="AT30" i="5"/>
  <c r="AQ30" i="5"/>
  <c r="AN30" i="5"/>
  <c r="AK30" i="5"/>
  <c r="AH30" i="5"/>
  <c r="AE30" i="5"/>
  <c r="AB30" i="5"/>
  <c r="AW29" i="5"/>
  <c r="AT29" i="5"/>
  <c r="AQ29" i="5"/>
  <c r="AN29" i="5"/>
  <c r="AK29" i="5"/>
  <c r="AH29" i="5"/>
  <c r="AE29" i="5"/>
  <c r="AB29" i="5"/>
  <c r="AW28" i="5"/>
  <c r="AT28" i="5"/>
  <c r="AQ28" i="5"/>
  <c r="AN28" i="5"/>
  <c r="AK28" i="5"/>
  <c r="AH28" i="5"/>
  <c r="AE28" i="5"/>
  <c r="AB28" i="5"/>
  <c r="AW27" i="5"/>
  <c r="AT27" i="5"/>
  <c r="AQ27" i="5"/>
  <c r="AN27" i="5"/>
  <c r="AK27" i="5"/>
  <c r="AH27" i="5"/>
  <c r="AE27" i="5"/>
  <c r="AB27" i="5"/>
  <c r="AW26" i="5"/>
  <c r="AT26" i="5"/>
  <c r="AQ26" i="5"/>
  <c r="AN26" i="5"/>
  <c r="AK26" i="5"/>
  <c r="AH26" i="5"/>
  <c r="AE26" i="5"/>
  <c r="AB26" i="5"/>
  <c r="AW25" i="5"/>
  <c r="AT25" i="5"/>
  <c r="AQ25" i="5"/>
  <c r="AN25" i="5"/>
  <c r="AK25" i="5"/>
  <c r="AH25" i="5"/>
  <c r="AE25" i="5"/>
  <c r="AB25" i="5"/>
  <c r="AW24" i="5"/>
  <c r="AT24" i="5"/>
  <c r="AQ24" i="5"/>
  <c r="AN24" i="5"/>
  <c r="AK24" i="5"/>
  <c r="AH24" i="5"/>
  <c r="AE24" i="5"/>
  <c r="AB24" i="5"/>
  <c r="AW23" i="5"/>
  <c r="AT23" i="5"/>
  <c r="AQ23" i="5"/>
  <c r="AN23" i="5"/>
  <c r="AK23" i="5"/>
  <c r="AH23" i="5"/>
  <c r="AE23" i="5"/>
  <c r="AB23" i="5"/>
  <c r="AW22" i="5"/>
  <c r="AU21" i="5" s="1"/>
  <c r="AT22" i="5"/>
  <c r="AR21" i="5" s="1"/>
  <c r="AQ22" i="5"/>
  <c r="AK22" i="5"/>
  <c r="AH22" i="5"/>
  <c r="AF21" i="5" s="1"/>
  <c r="AE22" i="5"/>
  <c r="AB22" i="5"/>
  <c r="AW20" i="5"/>
  <c r="AT20" i="5"/>
  <c r="AQ20" i="5"/>
  <c r="AN20" i="5"/>
  <c r="AK20" i="5"/>
  <c r="AH20" i="5"/>
  <c r="AE20" i="5"/>
  <c r="AB20" i="5"/>
  <c r="AW19" i="5"/>
  <c r="AT19" i="5"/>
  <c r="AQ19" i="5"/>
  <c r="AN19" i="5"/>
  <c r="AK19" i="5"/>
  <c r="AH19" i="5"/>
  <c r="AE19" i="5"/>
  <c r="AB19" i="5"/>
  <c r="AW18" i="5"/>
  <c r="AT18" i="5"/>
  <c r="AQ18" i="5"/>
  <c r="AO17" i="5" s="1"/>
  <c r="AN18" i="5"/>
  <c r="AK18" i="5"/>
  <c r="AI17" i="5" s="1"/>
  <c r="AH18" i="5"/>
  <c r="AF17" i="5" s="1"/>
  <c r="AE18" i="5"/>
  <c r="AC17" i="5" s="1"/>
  <c r="AB18" i="5"/>
  <c r="Z17" i="5" s="1"/>
  <c r="AU17" i="5"/>
  <c r="AW16" i="5"/>
  <c r="AT16" i="5"/>
  <c r="AQ16" i="5"/>
  <c r="AN16" i="5"/>
  <c r="AK16" i="5"/>
  <c r="AH16" i="5"/>
  <c r="AE16" i="5"/>
  <c r="AB16" i="5"/>
  <c r="AW15" i="5"/>
  <c r="AT15" i="5"/>
  <c r="AQ15" i="5"/>
  <c r="AN15" i="5"/>
  <c r="AK15" i="5"/>
  <c r="AH15" i="5"/>
  <c r="AE15" i="5"/>
  <c r="AB15" i="5"/>
  <c r="AW14" i="5"/>
  <c r="AT14" i="5"/>
  <c r="AQ14" i="5"/>
  <c r="AN14" i="5"/>
  <c r="AK14" i="5"/>
  <c r="AH14" i="5"/>
  <c r="AE14" i="5"/>
  <c r="AB14" i="5"/>
  <c r="AW11" i="5"/>
  <c r="AU10" i="5" s="1"/>
  <c r="AT11" i="5"/>
  <c r="AR10" i="5" s="1"/>
  <c r="AQ11" i="5"/>
  <c r="AO10" i="5" s="1"/>
  <c r="AN11" i="5"/>
  <c r="AL10" i="5" s="1"/>
  <c r="AK11" i="5"/>
  <c r="AI10" i="5" s="1"/>
  <c r="AH11" i="5"/>
  <c r="AF10" i="5" s="1"/>
  <c r="AE11" i="5"/>
  <c r="AC10" i="5" s="1"/>
  <c r="AB11" i="5"/>
  <c r="Z10" i="5" s="1"/>
  <c r="AW9" i="5"/>
  <c r="AT9" i="5"/>
  <c r="AQ9" i="5"/>
  <c r="AN9" i="5"/>
  <c r="AK9" i="5"/>
  <c r="AH9" i="5"/>
  <c r="AE9" i="5"/>
  <c r="AB9" i="5"/>
  <c r="AW8" i="5"/>
  <c r="AT8" i="5"/>
  <c r="AQ8" i="5"/>
  <c r="AN8" i="5"/>
  <c r="AK8" i="5"/>
  <c r="AH8" i="5"/>
  <c r="AE8" i="5"/>
  <c r="AB8" i="5"/>
  <c r="AW7" i="5"/>
  <c r="AT7" i="5"/>
  <c r="AQ7" i="5"/>
  <c r="AN7" i="5"/>
  <c r="AK7" i="5"/>
  <c r="AH7" i="5"/>
  <c r="AE7" i="5"/>
  <c r="AB7" i="5"/>
  <c r="AW6" i="5"/>
  <c r="AT6" i="5"/>
  <c r="AQ6" i="5"/>
  <c r="AN6" i="5"/>
  <c r="AK6" i="5"/>
  <c r="AH6" i="5"/>
  <c r="AE6" i="5"/>
  <c r="AB6" i="5"/>
  <c r="AW5" i="5"/>
  <c r="AT5" i="5"/>
  <c r="AQ5" i="5"/>
  <c r="AN5" i="5"/>
  <c r="AK5" i="5"/>
  <c r="AH5" i="5"/>
  <c r="AE5" i="5"/>
  <c r="AB5" i="5"/>
  <c r="AW4" i="5"/>
  <c r="AT4" i="5"/>
  <c r="AQ4" i="5"/>
  <c r="AN4" i="5"/>
  <c r="AK4" i="5"/>
  <c r="AH4" i="5"/>
  <c r="AE4" i="5"/>
  <c r="AB4" i="5"/>
  <c r="AW3" i="5"/>
  <c r="AT3" i="5"/>
  <c r="AQ3" i="5"/>
  <c r="AO2" i="5" s="1"/>
  <c r="AN3" i="5"/>
  <c r="AL2" i="5" s="1"/>
  <c r="AK3" i="5"/>
  <c r="AI2" i="5" s="1"/>
  <c r="AH3" i="5"/>
  <c r="AF2" i="5" s="1"/>
  <c r="AE3" i="5"/>
  <c r="AC2" i="5" s="1"/>
  <c r="AB3" i="5"/>
  <c r="Z2" i="5" s="1"/>
  <c r="AU2" i="5"/>
  <c r="AR2" i="5"/>
  <c r="AW39" i="4"/>
  <c r="AT39" i="4"/>
  <c r="AQ39" i="4"/>
  <c r="AN39" i="4"/>
  <c r="AK39" i="4"/>
  <c r="AH39" i="4"/>
  <c r="AE39" i="4"/>
  <c r="AB39" i="4"/>
  <c r="AW38" i="4"/>
  <c r="AT38" i="4"/>
  <c r="AR37" i="4" s="1"/>
  <c r="AQ38" i="4"/>
  <c r="AN38" i="4"/>
  <c r="AL37" i="4" s="1"/>
  <c r="AK38" i="4"/>
  <c r="AH38" i="4"/>
  <c r="AF37" i="4" s="1"/>
  <c r="AE38" i="4"/>
  <c r="AB38" i="4"/>
  <c r="Z37" i="4" s="1"/>
  <c r="AW35" i="4"/>
  <c r="AT35" i="4"/>
  <c r="AQ35" i="4"/>
  <c r="AN35" i="4"/>
  <c r="AK35" i="4"/>
  <c r="AH35" i="4"/>
  <c r="AE35" i="4"/>
  <c r="AB35" i="4"/>
  <c r="AW34" i="4"/>
  <c r="AT34" i="4"/>
  <c r="AQ34" i="4"/>
  <c r="AN34" i="4"/>
  <c r="AK34" i="4"/>
  <c r="AH34" i="4"/>
  <c r="AE34" i="4"/>
  <c r="AB34" i="4"/>
  <c r="AW33" i="4"/>
  <c r="AT33" i="4"/>
  <c r="AQ33" i="4"/>
  <c r="AN33" i="4"/>
  <c r="AK33" i="4"/>
  <c r="AH33" i="4"/>
  <c r="AE33" i="4"/>
  <c r="AB33" i="4"/>
  <c r="Z32" i="4" s="1"/>
  <c r="AW30" i="4"/>
  <c r="AT30" i="4"/>
  <c r="AQ30" i="4"/>
  <c r="AN30" i="4"/>
  <c r="AK30" i="4"/>
  <c r="AH30" i="4"/>
  <c r="AE30" i="4"/>
  <c r="AB30" i="4"/>
  <c r="AW29" i="4"/>
  <c r="AT29" i="4"/>
  <c r="AQ29" i="4"/>
  <c r="AN29" i="4"/>
  <c r="AK29" i="4"/>
  <c r="AH29" i="4"/>
  <c r="AE29" i="4"/>
  <c r="AB29" i="4"/>
  <c r="AW28" i="4"/>
  <c r="AT28" i="4"/>
  <c r="AQ28" i="4"/>
  <c r="AN28" i="4"/>
  <c r="AK28" i="4"/>
  <c r="AH28" i="4"/>
  <c r="AE28" i="4"/>
  <c r="AB28" i="4"/>
  <c r="AW27" i="4"/>
  <c r="AT27" i="4"/>
  <c r="AQ27" i="4"/>
  <c r="AN27" i="4"/>
  <c r="AK27" i="4"/>
  <c r="AH27" i="4"/>
  <c r="AE27" i="4"/>
  <c r="AB27" i="4"/>
  <c r="AW26" i="4"/>
  <c r="AT26" i="4"/>
  <c r="AQ26" i="4"/>
  <c r="AN26" i="4"/>
  <c r="AK26" i="4"/>
  <c r="AH26" i="4"/>
  <c r="AE26" i="4"/>
  <c r="AB26" i="4"/>
  <c r="AW25" i="4"/>
  <c r="AU24" i="4" s="1"/>
  <c r="AT25" i="4"/>
  <c r="AQ25" i="4"/>
  <c r="AO24" i="4" s="1"/>
  <c r="AN25" i="4"/>
  <c r="AK25" i="4"/>
  <c r="AI24" i="4" s="1"/>
  <c r="AH25" i="4"/>
  <c r="AE25" i="4"/>
  <c r="AC24" i="4" s="1"/>
  <c r="AB25" i="4"/>
  <c r="AW22" i="4"/>
  <c r="AT22" i="4"/>
  <c r="AQ22" i="4"/>
  <c r="AN22" i="4"/>
  <c r="AK22" i="4"/>
  <c r="AH22" i="4"/>
  <c r="AE22" i="4"/>
  <c r="AB22" i="4"/>
  <c r="AW21" i="4"/>
  <c r="AT21" i="4"/>
  <c r="AQ21" i="4"/>
  <c r="AN21" i="4"/>
  <c r="AK21" i="4"/>
  <c r="AH21" i="4"/>
  <c r="AE21" i="4"/>
  <c r="AB21" i="4"/>
  <c r="AW18" i="4"/>
  <c r="AT18" i="4"/>
  <c r="AQ18" i="4"/>
  <c r="AN18" i="4"/>
  <c r="AK18" i="4"/>
  <c r="AH18" i="4"/>
  <c r="AE18" i="4"/>
  <c r="AB18" i="4"/>
  <c r="AW14" i="4"/>
  <c r="AT14" i="4"/>
  <c r="AQ14" i="4"/>
  <c r="AN14" i="4"/>
  <c r="AK14" i="4"/>
  <c r="AH14" i="4"/>
  <c r="AE14" i="4"/>
  <c r="AB14" i="4"/>
  <c r="AW13" i="4"/>
  <c r="AT13" i="4"/>
  <c r="AQ13" i="4"/>
  <c r="AO12" i="4" s="1"/>
  <c r="AN13" i="4"/>
  <c r="AK13" i="4"/>
  <c r="AH13" i="4"/>
  <c r="AE13" i="4"/>
  <c r="AB13" i="4"/>
  <c r="AW10" i="4"/>
  <c r="AT10" i="4"/>
  <c r="AQ10" i="4"/>
  <c r="AN10" i="4"/>
  <c r="AK10" i="4"/>
  <c r="AH10" i="4"/>
  <c r="AE10" i="4"/>
  <c r="AB10" i="4"/>
  <c r="AW9" i="4"/>
  <c r="AT9" i="4"/>
  <c r="AQ9" i="4"/>
  <c r="AN9" i="4"/>
  <c r="AK9" i="4"/>
  <c r="AH9" i="4"/>
  <c r="AE9" i="4"/>
  <c r="AB9" i="4"/>
  <c r="AW8" i="4"/>
  <c r="AT8" i="4"/>
  <c r="AQ8" i="4"/>
  <c r="AN8" i="4"/>
  <c r="AK8" i="4"/>
  <c r="AH8" i="4"/>
  <c r="AE8" i="4"/>
  <c r="AB8" i="4"/>
  <c r="AW7" i="4"/>
  <c r="AT7" i="4"/>
  <c r="AQ7" i="4"/>
  <c r="AN7" i="4"/>
  <c r="AK7" i="4"/>
  <c r="AH7" i="4"/>
  <c r="AE7" i="4"/>
  <c r="AB7" i="4"/>
  <c r="AW6" i="4"/>
  <c r="AT6" i="4"/>
  <c r="AQ6" i="4"/>
  <c r="AN6" i="4"/>
  <c r="AK6" i="4"/>
  <c r="AH6" i="4"/>
  <c r="AE6" i="4"/>
  <c r="AB6" i="4"/>
  <c r="AW5" i="4"/>
  <c r="AT5" i="4"/>
  <c r="AQ5" i="4"/>
  <c r="AN5" i="4"/>
  <c r="AK5" i="4"/>
  <c r="AH5" i="4"/>
  <c r="AE5" i="4"/>
  <c r="AB5" i="4"/>
  <c r="AW4" i="4"/>
  <c r="AT4" i="4"/>
  <c r="AQ4" i="4"/>
  <c r="AN4" i="4"/>
  <c r="AK4" i="4"/>
  <c r="AH4" i="4"/>
  <c r="AE4" i="4"/>
  <c r="AB4" i="4"/>
  <c r="AW3" i="4"/>
  <c r="AT3" i="4"/>
  <c r="AQ3" i="4"/>
  <c r="AN3" i="4"/>
  <c r="AK3" i="4"/>
  <c r="AH3" i="4"/>
  <c r="AE3" i="4"/>
  <c r="AB3" i="4"/>
  <c r="Z2" i="4" s="1"/>
  <c r="AU2" i="4"/>
  <c r="AW91" i="3"/>
  <c r="AT91" i="3"/>
  <c r="AQ91" i="3"/>
  <c r="AN91" i="3"/>
  <c r="AK91" i="3"/>
  <c r="AH91" i="3"/>
  <c r="AE91" i="3"/>
  <c r="AB91" i="3"/>
  <c r="AW87" i="3"/>
  <c r="AT87" i="3"/>
  <c r="AQ87" i="3"/>
  <c r="AN87" i="3"/>
  <c r="AK87" i="3"/>
  <c r="AH87" i="3"/>
  <c r="AE87" i="3"/>
  <c r="AB87" i="3"/>
  <c r="AW86" i="3"/>
  <c r="AT86" i="3"/>
  <c r="AQ86" i="3"/>
  <c r="AN86" i="3"/>
  <c r="AK86" i="3"/>
  <c r="AH86" i="3"/>
  <c r="AE86" i="3"/>
  <c r="AB86" i="3"/>
  <c r="AW85" i="3"/>
  <c r="AT85" i="3"/>
  <c r="AQ85" i="3"/>
  <c r="AN85" i="3"/>
  <c r="AK85" i="3"/>
  <c r="AH85" i="3"/>
  <c r="AE85" i="3"/>
  <c r="AB85" i="3"/>
  <c r="AW84" i="3"/>
  <c r="AT84" i="3"/>
  <c r="AQ84" i="3"/>
  <c r="AN84" i="3"/>
  <c r="AK84" i="3"/>
  <c r="AH84" i="3"/>
  <c r="AE84" i="3"/>
  <c r="AB84" i="3"/>
  <c r="AW83" i="3"/>
  <c r="AT83" i="3"/>
  <c r="AQ83" i="3"/>
  <c r="AN83" i="3"/>
  <c r="AK83" i="3"/>
  <c r="AH83" i="3"/>
  <c r="AE83" i="3"/>
  <c r="AB83" i="3"/>
  <c r="AW82" i="3"/>
  <c r="AT82" i="3"/>
  <c r="AQ82" i="3"/>
  <c r="AN82" i="3"/>
  <c r="AK82" i="3"/>
  <c r="AH82" i="3"/>
  <c r="AE82" i="3"/>
  <c r="AB82" i="3"/>
  <c r="AW81" i="3"/>
  <c r="AT81" i="3"/>
  <c r="AQ81" i="3"/>
  <c r="AN81" i="3"/>
  <c r="AK81" i="3"/>
  <c r="AH81" i="3"/>
  <c r="AE81" i="3"/>
  <c r="AB81" i="3"/>
  <c r="AW80" i="3"/>
  <c r="AT80" i="3"/>
  <c r="AQ80" i="3"/>
  <c r="AN80" i="3"/>
  <c r="AK80" i="3"/>
  <c r="AH80" i="3"/>
  <c r="AE80" i="3"/>
  <c r="AB80" i="3"/>
  <c r="AW79" i="3"/>
  <c r="AT79" i="3"/>
  <c r="AQ79" i="3"/>
  <c r="AN79" i="3"/>
  <c r="AK79" i="3"/>
  <c r="AH79" i="3"/>
  <c r="AE79" i="3"/>
  <c r="AB79" i="3"/>
  <c r="AW78" i="3"/>
  <c r="AT78" i="3"/>
  <c r="AQ78" i="3"/>
  <c r="AN78" i="3"/>
  <c r="AK78" i="3"/>
  <c r="AH78" i="3"/>
  <c r="AE78" i="3"/>
  <c r="AB78" i="3"/>
  <c r="AW77" i="3"/>
  <c r="AT77" i="3"/>
  <c r="AQ77" i="3"/>
  <c r="AN77" i="3"/>
  <c r="AK77" i="3"/>
  <c r="AH77" i="3"/>
  <c r="AE77" i="3"/>
  <c r="AB77" i="3"/>
  <c r="AW76" i="3"/>
  <c r="AT76" i="3"/>
  <c r="AQ76" i="3"/>
  <c r="AN76" i="3"/>
  <c r="AK76" i="3"/>
  <c r="AH76" i="3"/>
  <c r="AE76" i="3"/>
  <c r="AB76" i="3"/>
  <c r="AW75" i="3"/>
  <c r="AT75" i="3"/>
  <c r="AQ75" i="3"/>
  <c r="AN75" i="3"/>
  <c r="AK75" i="3"/>
  <c r="AH75" i="3"/>
  <c r="AE75" i="3"/>
  <c r="AB75" i="3"/>
  <c r="AW74" i="3"/>
  <c r="AT74" i="3"/>
  <c r="AQ74" i="3"/>
  <c r="AN74" i="3"/>
  <c r="AK74" i="3"/>
  <c r="AH74" i="3"/>
  <c r="AE74" i="3"/>
  <c r="AB74" i="3"/>
  <c r="AW73" i="3"/>
  <c r="AT73" i="3"/>
  <c r="AQ73" i="3"/>
  <c r="AN73" i="3"/>
  <c r="AK73" i="3"/>
  <c r="AH73" i="3"/>
  <c r="AE73" i="3"/>
  <c r="AB73" i="3"/>
  <c r="AW72" i="3"/>
  <c r="AT72" i="3"/>
  <c r="AQ72" i="3"/>
  <c r="AN72" i="3"/>
  <c r="AK72" i="3"/>
  <c r="AH72" i="3"/>
  <c r="AE72" i="3"/>
  <c r="AB72" i="3"/>
  <c r="AW71" i="3"/>
  <c r="AT71" i="3"/>
  <c r="AQ71" i="3"/>
  <c r="AN71" i="3"/>
  <c r="AK71" i="3"/>
  <c r="AH71" i="3"/>
  <c r="AE71" i="3"/>
  <c r="AB71" i="3"/>
  <c r="AW70" i="3"/>
  <c r="AT70" i="3"/>
  <c r="AQ70" i="3"/>
  <c r="AN70" i="3"/>
  <c r="AK70" i="3"/>
  <c r="AH70" i="3"/>
  <c r="AE70" i="3"/>
  <c r="AB70" i="3"/>
  <c r="AW69" i="3"/>
  <c r="AT69" i="3"/>
  <c r="AQ69" i="3"/>
  <c r="AN69" i="3"/>
  <c r="AK69" i="3"/>
  <c r="AH69" i="3"/>
  <c r="AE69" i="3"/>
  <c r="AB69" i="3"/>
  <c r="AW68" i="3"/>
  <c r="AT68" i="3"/>
  <c r="AQ68" i="3"/>
  <c r="AN68" i="3"/>
  <c r="AK68" i="3"/>
  <c r="AH68" i="3"/>
  <c r="AE68" i="3"/>
  <c r="AB68" i="3"/>
  <c r="AW53" i="3"/>
  <c r="AT53" i="3"/>
  <c r="AQ53" i="3"/>
  <c r="AN53" i="3"/>
  <c r="AK53" i="3"/>
  <c r="AH53" i="3"/>
  <c r="AE53" i="3"/>
  <c r="AB53" i="3"/>
  <c r="AW52" i="3"/>
  <c r="AT52" i="3"/>
  <c r="AQ52" i="3"/>
  <c r="AN52" i="3"/>
  <c r="AK52" i="3"/>
  <c r="AH52" i="3"/>
  <c r="AE52" i="3"/>
  <c r="AB52" i="3"/>
  <c r="AW51" i="3"/>
  <c r="AT51" i="3"/>
  <c r="AQ51" i="3"/>
  <c r="AN51" i="3"/>
  <c r="AK51" i="3"/>
  <c r="AH51" i="3"/>
  <c r="AE51" i="3"/>
  <c r="AB51" i="3"/>
  <c r="AW48" i="3"/>
  <c r="AT48" i="3"/>
  <c r="AQ48" i="3"/>
  <c r="AN48" i="3"/>
  <c r="AK48" i="3"/>
  <c r="AH48" i="3"/>
  <c r="AE48" i="3"/>
  <c r="AB48" i="3"/>
  <c r="AW47" i="3"/>
  <c r="AT47" i="3"/>
  <c r="AQ47" i="3"/>
  <c r="AN47" i="3"/>
  <c r="AK47" i="3"/>
  <c r="AH47" i="3"/>
  <c r="AE47" i="3"/>
  <c r="AB47" i="3"/>
  <c r="AW44" i="3"/>
  <c r="AT44" i="3"/>
  <c r="AQ44" i="3"/>
  <c r="AN44" i="3"/>
  <c r="AK44" i="3"/>
  <c r="AH44" i="3"/>
  <c r="AE44" i="3"/>
  <c r="AB44" i="3"/>
  <c r="AW43" i="3"/>
  <c r="AT43" i="3"/>
  <c r="AQ43" i="3"/>
  <c r="AN43" i="3"/>
  <c r="AK43" i="3"/>
  <c r="AH43" i="3"/>
  <c r="AE43" i="3"/>
  <c r="AB43" i="3"/>
  <c r="AW42" i="3"/>
  <c r="AT42" i="3"/>
  <c r="AQ42" i="3"/>
  <c r="AN42" i="3"/>
  <c r="AK42" i="3"/>
  <c r="AH42" i="3"/>
  <c r="AE42" i="3"/>
  <c r="AB42" i="3"/>
  <c r="AW41" i="3"/>
  <c r="AT41" i="3"/>
  <c r="AQ41" i="3"/>
  <c r="AN41" i="3"/>
  <c r="AK41" i="3"/>
  <c r="AH41" i="3"/>
  <c r="AE41" i="3"/>
  <c r="AB41" i="3"/>
  <c r="AW40" i="3"/>
  <c r="AT40" i="3"/>
  <c r="AQ40" i="3"/>
  <c r="AN40" i="3"/>
  <c r="AK40" i="3"/>
  <c r="AH40" i="3"/>
  <c r="AE40" i="3"/>
  <c r="AB40" i="3"/>
  <c r="AW39" i="3"/>
  <c r="AT39" i="3"/>
  <c r="AQ39" i="3"/>
  <c r="AN39" i="3"/>
  <c r="AK39" i="3"/>
  <c r="AH39" i="3"/>
  <c r="AE39" i="3"/>
  <c r="AB39" i="3"/>
  <c r="AW38" i="3"/>
  <c r="AT38" i="3"/>
  <c r="AQ38" i="3"/>
  <c r="AN38" i="3"/>
  <c r="AK38" i="3"/>
  <c r="AH38" i="3"/>
  <c r="AE38" i="3"/>
  <c r="AB38" i="3"/>
  <c r="AW37" i="3"/>
  <c r="AT37" i="3"/>
  <c r="AQ37" i="3"/>
  <c r="AN37" i="3"/>
  <c r="AK37" i="3"/>
  <c r="AH37" i="3"/>
  <c r="AE37" i="3"/>
  <c r="AB37" i="3"/>
  <c r="AW36" i="3"/>
  <c r="AT36" i="3"/>
  <c r="AQ36" i="3"/>
  <c r="AN36" i="3"/>
  <c r="AK36" i="3"/>
  <c r="AH36" i="3"/>
  <c r="AE36" i="3"/>
  <c r="AB36" i="3"/>
  <c r="AW35" i="3"/>
  <c r="AT35" i="3"/>
  <c r="AQ35" i="3"/>
  <c r="AN35" i="3"/>
  <c r="AK35" i="3"/>
  <c r="AH35" i="3"/>
  <c r="AE35" i="3"/>
  <c r="AB35" i="3"/>
  <c r="AW34" i="3"/>
  <c r="AT34" i="3"/>
  <c r="AQ34" i="3"/>
  <c r="AN34" i="3"/>
  <c r="AK34" i="3"/>
  <c r="AH34" i="3"/>
  <c r="AE34" i="3"/>
  <c r="AB34" i="3"/>
  <c r="AW33" i="3"/>
  <c r="AT33" i="3"/>
  <c r="AR32" i="3" s="1"/>
  <c r="AQ33" i="3"/>
  <c r="AO32" i="3" s="1"/>
  <c r="AN33" i="3"/>
  <c r="AL32" i="3" s="1"/>
  <c r="AK33" i="3"/>
  <c r="AI32" i="3" s="1"/>
  <c r="AH33" i="3"/>
  <c r="AF32" i="3" s="1"/>
  <c r="AE33" i="3"/>
  <c r="AC32" i="3" s="1"/>
  <c r="AB33" i="3"/>
  <c r="Z32" i="3" s="1"/>
  <c r="AU32" i="3"/>
  <c r="AW30" i="3"/>
  <c r="AT30" i="3"/>
  <c r="AQ30" i="3"/>
  <c r="AN30" i="3"/>
  <c r="AK30" i="3"/>
  <c r="AH30" i="3"/>
  <c r="AE30" i="3"/>
  <c r="AB30" i="3"/>
  <c r="AW29" i="3"/>
  <c r="AT29" i="3"/>
  <c r="AQ29" i="3"/>
  <c r="AN29" i="3"/>
  <c r="AK29" i="3"/>
  <c r="AH29" i="3"/>
  <c r="AE29" i="3"/>
  <c r="AB29" i="3"/>
  <c r="AW28" i="3"/>
  <c r="AT28" i="3"/>
  <c r="AQ28" i="3"/>
  <c r="AN28" i="3"/>
  <c r="AK28" i="3"/>
  <c r="AH28" i="3"/>
  <c r="AE28" i="3"/>
  <c r="AB28" i="3"/>
  <c r="AW27" i="3"/>
  <c r="AT27" i="3"/>
  <c r="AQ27" i="3"/>
  <c r="AN27" i="3"/>
  <c r="AK27" i="3"/>
  <c r="AH27" i="3"/>
  <c r="AE27" i="3"/>
  <c r="AB27" i="3"/>
  <c r="AW26" i="3"/>
  <c r="AT26" i="3"/>
  <c r="AQ26" i="3"/>
  <c r="AN26" i="3"/>
  <c r="AK26" i="3"/>
  <c r="AH26" i="3"/>
  <c r="AE26" i="3"/>
  <c r="AB26" i="3"/>
  <c r="AW25" i="3"/>
  <c r="AT25" i="3"/>
  <c r="AQ25" i="3"/>
  <c r="AN25" i="3"/>
  <c r="AK25" i="3"/>
  <c r="AH25" i="3"/>
  <c r="AE25" i="3"/>
  <c r="AB25" i="3"/>
  <c r="AW24" i="3"/>
  <c r="AT24" i="3"/>
  <c r="AQ24" i="3"/>
  <c r="AN24" i="3"/>
  <c r="AK24" i="3"/>
  <c r="AH24" i="3"/>
  <c r="AE24" i="3"/>
  <c r="AB24" i="3"/>
  <c r="AW23" i="3"/>
  <c r="AT23" i="3"/>
  <c r="AQ23" i="3"/>
  <c r="AN23" i="3"/>
  <c r="AK23" i="3"/>
  <c r="AH23" i="3"/>
  <c r="AE23" i="3"/>
  <c r="AB23" i="3"/>
  <c r="AW22" i="3"/>
  <c r="AT22" i="3"/>
  <c r="AQ22" i="3"/>
  <c r="AN22" i="3"/>
  <c r="AK22" i="3"/>
  <c r="AH22" i="3"/>
  <c r="AE22" i="3"/>
  <c r="AB22" i="3"/>
  <c r="AW21" i="3"/>
  <c r="AU20" i="3" s="1"/>
  <c r="AT21" i="3"/>
  <c r="AR20" i="3" s="1"/>
  <c r="AQ21" i="3"/>
  <c r="AO20" i="3" s="1"/>
  <c r="AN21" i="3"/>
  <c r="AL20" i="3" s="1"/>
  <c r="AK21" i="3"/>
  <c r="AI20" i="3" s="1"/>
  <c r="AH21" i="3"/>
  <c r="AF20" i="3" s="1"/>
  <c r="AE21" i="3"/>
  <c r="AC20" i="3" s="1"/>
  <c r="AB21" i="3"/>
  <c r="Z20" i="3" s="1"/>
  <c r="AW18" i="3"/>
  <c r="AT18" i="3"/>
  <c r="AQ18" i="3"/>
  <c r="AN18" i="3"/>
  <c r="AK18" i="3"/>
  <c r="AH18" i="3"/>
  <c r="AE18" i="3"/>
  <c r="AB18" i="3"/>
  <c r="AW17" i="3"/>
  <c r="AT17" i="3"/>
  <c r="AQ17" i="3"/>
  <c r="AN17" i="3"/>
  <c r="AK17" i="3"/>
  <c r="AH17" i="3"/>
  <c r="AE17" i="3"/>
  <c r="AB17" i="3"/>
  <c r="AW16" i="3"/>
  <c r="AT16" i="3"/>
  <c r="AQ16" i="3"/>
  <c r="AN16" i="3"/>
  <c r="AK16" i="3"/>
  <c r="AH16" i="3"/>
  <c r="AE16" i="3"/>
  <c r="AB16" i="3"/>
  <c r="AW15" i="3"/>
  <c r="AT15" i="3"/>
  <c r="AQ15" i="3"/>
  <c r="AN15" i="3"/>
  <c r="AK15" i="3"/>
  <c r="AH15" i="3"/>
  <c r="AE15" i="3"/>
  <c r="AB15" i="3"/>
  <c r="AW14" i="3"/>
  <c r="AT14" i="3"/>
  <c r="AQ14" i="3"/>
  <c r="AN14" i="3"/>
  <c r="AK14" i="3"/>
  <c r="AH14" i="3"/>
  <c r="AE14" i="3"/>
  <c r="AB14" i="3"/>
  <c r="AW13" i="3"/>
  <c r="AT13" i="3"/>
  <c r="AQ13" i="3"/>
  <c r="AN13" i="3"/>
  <c r="AK13" i="3"/>
  <c r="AH13" i="3"/>
  <c r="AE13" i="3"/>
  <c r="AB13" i="3"/>
  <c r="AW12" i="3"/>
  <c r="AT12" i="3"/>
  <c r="AQ12" i="3"/>
  <c r="AN12" i="3"/>
  <c r="AK12" i="3"/>
  <c r="AH12" i="3"/>
  <c r="AE12" i="3"/>
  <c r="AB12" i="3"/>
  <c r="AW11" i="3"/>
  <c r="AT11" i="3"/>
  <c r="AQ11" i="3"/>
  <c r="AN11" i="3"/>
  <c r="AK11" i="3"/>
  <c r="AH11" i="3"/>
  <c r="AE11" i="3"/>
  <c r="AB11" i="3"/>
  <c r="AW10" i="3"/>
  <c r="AT10" i="3"/>
  <c r="AQ10" i="3"/>
  <c r="AN10" i="3"/>
  <c r="AK10" i="3"/>
  <c r="AH10" i="3"/>
  <c r="AE10" i="3"/>
  <c r="AB10" i="3"/>
  <c r="AW9" i="3"/>
  <c r="AT9" i="3"/>
  <c r="AQ9" i="3"/>
  <c r="AN9" i="3"/>
  <c r="AK9" i="3"/>
  <c r="AH9" i="3"/>
  <c r="AE9" i="3"/>
  <c r="AB9" i="3"/>
  <c r="AW8" i="3"/>
  <c r="AT8" i="3"/>
  <c r="AQ8" i="3"/>
  <c r="AN8" i="3"/>
  <c r="AK8" i="3"/>
  <c r="AH8" i="3"/>
  <c r="AE8" i="3"/>
  <c r="AB8" i="3"/>
  <c r="AW7" i="3"/>
  <c r="AT7" i="3"/>
  <c r="AQ7" i="3"/>
  <c r="AN7" i="3"/>
  <c r="AK7" i="3"/>
  <c r="AH7" i="3"/>
  <c r="AE7" i="3"/>
  <c r="AB7" i="3"/>
  <c r="AW6" i="3"/>
  <c r="AT6" i="3"/>
  <c r="AQ6" i="3"/>
  <c r="AN6" i="3"/>
  <c r="AK6" i="3"/>
  <c r="AH6" i="3"/>
  <c r="AE6" i="3"/>
  <c r="AB6" i="3"/>
  <c r="AW5" i="3"/>
  <c r="AT5" i="3"/>
  <c r="AQ5" i="3"/>
  <c r="AN5" i="3"/>
  <c r="AK5" i="3"/>
  <c r="AH5" i="3"/>
  <c r="AE5" i="3"/>
  <c r="AB5" i="3"/>
  <c r="AW4" i="3"/>
  <c r="AT4" i="3"/>
  <c r="AQ4" i="3"/>
  <c r="AN4" i="3"/>
  <c r="AK4" i="3"/>
  <c r="AH4" i="3"/>
  <c r="AE4" i="3"/>
  <c r="AB4" i="3"/>
  <c r="AW3" i="3"/>
  <c r="AT3" i="3"/>
  <c r="AR2" i="3" s="1"/>
  <c r="AQ3" i="3"/>
  <c r="AO2" i="3" s="1"/>
  <c r="AN3" i="3"/>
  <c r="AL2" i="3" s="1"/>
  <c r="AK3" i="3"/>
  <c r="AH3" i="3"/>
  <c r="AF2" i="3" s="1"/>
  <c r="AE3" i="3"/>
  <c r="AB3" i="3"/>
  <c r="AU2" i="3"/>
  <c r="AR57" i="1"/>
  <c r="AL57" i="1"/>
  <c r="AF57" i="1"/>
  <c r="Z57" i="1"/>
  <c r="AU45" i="1"/>
  <c r="AR45" i="1"/>
  <c r="AF45" i="1"/>
  <c r="Z45" i="1"/>
  <c r="AU32" i="1"/>
  <c r="AR32" i="1"/>
  <c r="AL32" i="1"/>
  <c r="AF32" i="1"/>
  <c r="Z32" i="1"/>
  <c r="AR23" i="1"/>
  <c r="AL23" i="1"/>
  <c r="AU23" i="1"/>
  <c r="AU18" i="1"/>
  <c r="AR18" i="1"/>
  <c r="AL18" i="1"/>
  <c r="Z18" i="1"/>
  <c r="AU12" i="1"/>
  <c r="AO12" i="1"/>
  <c r="AC12" i="1"/>
  <c r="AU2" i="1"/>
  <c r="AZ13" i="2"/>
  <c r="AW13" i="2"/>
  <c r="AT13" i="2"/>
  <c r="AQ13" i="2"/>
  <c r="AN13" i="2"/>
  <c r="AK13" i="2"/>
  <c r="AH13" i="2"/>
  <c r="AE13" i="2"/>
  <c r="AB13" i="2"/>
  <c r="AL2" i="6" l="1"/>
  <c r="Z13" i="6"/>
  <c r="AF2" i="6"/>
  <c r="T40" i="6"/>
  <c r="AL13" i="6"/>
  <c r="AF18" i="1"/>
  <c r="AI12" i="1"/>
  <c r="AF23" i="1"/>
  <c r="AI2" i="3"/>
  <c r="Z2" i="3"/>
  <c r="AI2" i="1"/>
  <c r="AO2" i="1"/>
  <c r="AC2" i="1"/>
  <c r="AO21" i="5"/>
  <c r="AL17" i="5"/>
  <c r="T2" i="6"/>
  <c r="T13" i="6"/>
  <c r="T18" i="6"/>
  <c r="Z12" i="1"/>
  <c r="AL45" i="1"/>
  <c r="AU36" i="2"/>
  <c r="AC21" i="5"/>
  <c r="AI21" i="5"/>
  <c r="AF18" i="6"/>
  <c r="AR17" i="5"/>
  <c r="AX15" i="2"/>
  <c r="AI36" i="2"/>
  <c r="Z2" i="2"/>
  <c r="AX2" i="2"/>
  <c r="AC15" i="2"/>
  <c r="AI15" i="2"/>
  <c r="AO15" i="2"/>
  <c r="AU15" i="2"/>
  <c r="Z15" i="2"/>
  <c r="AF15" i="2"/>
  <c r="AL15" i="2"/>
  <c r="AR15" i="2"/>
  <c r="Z21" i="5"/>
  <c r="W38" i="5"/>
  <c r="AC2" i="2"/>
  <c r="AI2" i="2"/>
  <c r="AO2" i="2"/>
  <c r="AU2" i="2"/>
  <c r="AF2" i="2"/>
  <c r="AL2" i="2"/>
  <c r="AR2" i="2"/>
  <c r="AC36" i="2"/>
  <c r="AO36" i="2"/>
  <c r="Z36" i="2"/>
  <c r="AF36" i="2"/>
  <c r="AL36" i="2"/>
  <c r="AR36" i="2"/>
  <c r="AX36" i="2"/>
  <c r="AC2" i="3"/>
  <c r="W21" i="5"/>
  <c r="W2" i="5"/>
  <c r="W17" i="5"/>
  <c r="AC23" i="1"/>
  <c r="AI23" i="1"/>
  <c r="AO23" i="1"/>
  <c r="AC45" i="1"/>
  <c r="AI45" i="1"/>
  <c r="AO45" i="1"/>
  <c r="AF12" i="1"/>
  <c r="AL12" i="1"/>
  <c r="AR12" i="1"/>
  <c r="AC18" i="1"/>
  <c r="AI18" i="1"/>
  <c r="AO18" i="1"/>
  <c r="AC32" i="1"/>
  <c r="AI32" i="1"/>
  <c r="AO32" i="1"/>
  <c r="Z23" i="1"/>
  <c r="AF20" i="4"/>
  <c r="AC12" i="4"/>
  <c r="AF2" i="4"/>
  <c r="AL2" i="4"/>
  <c r="AR2" i="4"/>
  <c r="AR20" i="4"/>
  <c r="AC32" i="4"/>
  <c r="AI32" i="4"/>
  <c r="AO32" i="4"/>
  <c r="AU32" i="4"/>
  <c r="AF32" i="4"/>
  <c r="AL32" i="4"/>
  <c r="AR32" i="4"/>
  <c r="AI12" i="4"/>
  <c r="AU12" i="4"/>
  <c r="Z20" i="4"/>
  <c r="AL20" i="4"/>
  <c r="AC2" i="4"/>
  <c r="AI2" i="4"/>
  <c r="AO2" i="4"/>
  <c r="Z12" i="4"/>
  <c r="AF12" i="4"/>
  <c r="AL12" i="4"/>
  <c r="AR12" i="4"/>
  <c r="AC20" i="4"/>
  <c r="AI20" i="4"/>
  <c r="AO20" i="4"/>
  <c r="AU20" i="4"/>
  <c r="Z24" i="4"/>
  <c r="AF24" i="4"/>
  <c r="AL24" i="4"/>
  <c r="AR24" i="4"/>
  <c r="AC37" i="4"/>
  <c r="AI37" i="4"/>
  <c r="AO37" i="4"/>
  <c r="AU37" i="4"/>
  <c r="Z2" i="6"/>
  <c r="Z2" i="1"/>
  <c r="AF2" i="1"/>
  <c r="AL2" i="1"/>
  <c r="AR2" i="1"/>
  <c r="AC57" i="1"/>
  <c r="AI57" i="1"/>
  <c r="AO57" i="1"/>
  <c r="AU57" i="1"/>
  <c r="AQ65" i="3" l="1" a="1"/>
  <c r="AE63" i="3" a="1"/>
  <c r="AT29" i="6" a="1"/>
  <c r="AW60" i="3" a="1"/>
  <c r="AK13" i="5"/>
  <c r="AH57" i="3"/>
  <c r="AE66" i="3" a="1"/>
  <c r="AT17" i="4" a="1"/>
  <c r="AK58" i="3" a="1"/>
  <c r="V31" i="6" a="1"/>
  <c r="AH59" i="3" a="1"/>
  <c r="AB64" i="3" a="1"/>
  <c r="V28" i="6" a="1"/>
  <c r="AN60" i="3"/>
  <c r="AT64" i="3" a="1"/>
  <c r="V26" i="6" a="1"/>
  <c r="AN31" i="6" a="1"/>
  <c r="AB62" i="3" a="1"/>
  <c r="AQ50" i="3" a="1"/>
  <c r="AT25" i="6" a="1"/>
  <c r="AB56" i="3" a="1"/>
  <c r="AT65" i="3" a="1"/>
  <c r="AN50" i="3" a="1"/>
  <c r="AT31" i="6" a="1"/>
  <c r="Y27" i="6" a="1"/>
  <c r="AH29" i="6" a="1"/>
  <c r="AE50" i="3" a="1"/>
  <c r="AW64" i="3" a="1"/>
  <c r="AE61" i="3" a="1"/>
  <c r="AN27" i="6" a="1"/>
  <c r="AH67" i="3" a="1"/>
  <c r="AQ17" i="4" a="1"/>
  <c r="AN64" i="3" a="1"/>
  <c r="Y29" i="6" a="1"/>
  <c r="AW13" i="5" a="1"/>
  <c r="AK28" i="6" a="1"/>
  <c r="AK17" i="4" a="1"/>
  <c r="AN28" i="6" a="1"/>
  <c r="AB50" i="3" a="1"/>
  <c r="AE90" i="3" a="1"/>
  <c r="AT58" i="3" a="1"/>
  <c r="AE17" i="4" a="1"/>
  <c r="AN67" i="3" a="1"/>
  <c r="AH25" i="6" a="1"/>
  <c r="AH58" i="3" a="1"/>
  <c r="AQ49" i="3" a="1"/>
  <c r="AT28" i="6" a="1"/>
  <c r="AW17" i="4" a="1"/>
  <c r="AB27" i="6" a="1"/>
  <c r="AE29" i="6" a="1"/>
  <c r="AE58" i="3" a="1"/>
  <c r="AN58" i="3" a="1"/>
  <c r="AW57" i="3" a="1"/>
  <c r="AH28" i="6" a="1"/>
  <c r="AQ62" i="3" a="1"/>
  <c r="AH13" i="5"/>
  <c r="Y26" i="6" a="1"/>
  <c r="AK59" i="3" a="1"/>
  <c r="AN26" i="6" a="1"/>
  <c r="AT66" i="3" a="1"/>
  <c r="AQ58" i="3" a="1"/>
  <c r="AW61" i="3" a="1"/>
  <c r="AT13" i="5"/>
  <c r="AW59" i="3" a="1"/>
  <c r="AQ63" i="3" a="1"/>
  <c r="AH60" i="3"/>
  <c r="AH56" i="3" a="1"/>
  <c r="AQ31" i="6" a="1"/>
  <c r="AT63" i="3" a="1"/>
  <c r="AK62" i="3" a="1"/>
  <c r="Y31" i="6" a="1"/>
  <c r="AW66" i="3" a="1"/>
  <c r="AK49" i="3" a="1"/>
  <c r="AB49" i="3" a="1"/>
  <c r="AB13" i="5"/>
  <c r="AQ66" i="3" a="1"/>
  <c r="AE13" i="5"/>
  <c r="AE62" i="3" a="1"/>
  <c r="AQ67" i="3" a="1"/>
  <c r="AN13" i="5"/>
  <c r="AQ29" i="6" a="1"/>
  <c r="AQ61" i="3" a="1"/>
  <c r="AN66" i="3" a="1"/>
  <c r="AB29" i="6" a="1"/>
  <c r="AT61" i="3" a="1"/>
  <c r="AT50" i="3" a="1"/>
  <c r="AB61" i="3" a="1"/>
  <c r="AH65" i="3" a="1"/>
  <c r="AN59" i="3" a="1"/>
  <c r="AW63" i="3" a="1"/>
  <c r="AT27" i="6" a="1"/>
  <c r="AH90" i="3" a="1"/>
  <c r="AQ57" i="3"/>
  <c r="V25" i="6" a="1"/>
  <c r="AH62" i="3" a="1"/>
  <c r="AK66" i="3" a="1"/>
  <c r="AE59" i="3" a="1"/>
  <c r="AE65" i="3" a="1"/>
  <c r="AT56" i="3" a="1"/>
  <c r="AB90" i="3" a="1"/>
  <c r="AK90" i="3" a="1"/>
  <c r="AQ25" i="6" a="1"/>
  <c r="AW49" i="3" a="1"/>
  <c r="AB25" i="6" a="1"/>
  <c r="AB58" i="3" a="1"/>
  <c r="AH64" i="3" a="1"/>
  <c r="AB31" i="6" a="1"/>
  <c r="AK61" i="3" a="1"/>
  <c r="AE25" i="6" a="1"/>
  <c r="AE49" i="3" a="1"/>
  <c r="AN65" i="3" a="1"/>
  <c r="AK65" i="3" a="1"/>
  <c r="AQ28" i="6" a="1"/>
  <c r="AE60" i="3"/>
  <c r="Y13" i="5"/>
  <c r="AB59" i="3" a="1"/>
  <c r="AT62" i="3" a="1"/>
  <c r="AH66" i="3" a="1"/>
  <c r="AE64" i="3" a="1"/>
  <c r="AB67" i="3" a="1"/>
  <c r="V27" i="6" a="1"/>
  <c r="AW90" i="3" a="1"/>
  <c r="AE56" i="3" a="1"/>
  <c r="V29" i="6" a="1"/>
  <c r="AB26" i="6" a="1"/>
  <c r="AK60" i="3"/>
  <c r="AQ27" i="6" a="1"/>
  <c r="AQ56" i="3" a="1"/>
  <c r="AN56" i="3" a="1"/>
  <c r="AN62" i="3" a="1"/>
  <c r="AK50" i="3" a="1"/>
  <c r="AB60" i="3"/>
  <c r="AQ60" i="3" a="1"/>
  <c r="AQ59" i="3" a="1"/>
  <c r="AN17" i="4" a="1"/>
  <c r="Y28" i="6" a="1"/>
  <c r="AH63" i="3" a="1"/>
  <c r="AK27" i="6" a="1"/>
  <c r="AB65" i="3" a="1"/>
  <c r="AE27" i="6" a="1"/>
  <c r="AK29" i="6" a="1"/>
  <c r="AH50" i="3" a="1"/>
  <c r="AT26" i="6" a="1"/>
  <c r="AH27" i="6" a="1"/>
  <c r="AH61" i="3" a="1"/>
  <c r="AK56" i="3" a="1"/>
  <c r="AE28" i="6" a="1"/>
  <c r="AK31" i="6" a="1"/>
  <c r="AN29" i="6" a="1"/>
  <c r="AW67" i="3" a="1"/>
  <c r="AK25" i="6" a="1"/>
  <c r="AN61" i="3" a="1"/>
  <c r="AE67" i="3" a="1"/>
  <c r="AN57" i="3"/>
  <c r="AH49" i="3" a="1"/>
  <c r="AT60" i="3" a="1"/>
  <c r="AT49" i="3" a="1"/>
  <c r="AT59" i="3" a="1"/>
  <c r="AH26" i="6" a="1"/>
  <c r="AW65" i="3" a="1"/>
  <c r="AT90" i="3" a="1"/>
  <c r="AT67" i="3" a="1"/>
  <c r="AK63" i="3" a="1"/>
  <c r="AQ64" i="3" a="1"/>
  <c r="AN49" i="3" a="1"/>
  <c r="AQ26" i="6" a="1"/>
  <c r="Y25" i="6" a="1"/>
  <c r="AH31" i="6" a="1"/>
  <c r="AN90" i="3" a="1"/>
  <c r="AK26" i="6" a="1"/>
  <c r="AN25" i="6" a="1"/>
  <c r="AH17" i="4" a="1"/>
  <c r="AW62" i="3" a="1"/>
  <c r="AB57" i="3"/>
  <c r="AW56" i="3" a="1"/>
  <c r="AE26" i="6" a="1"/>
  <c r="AQ90" i="3" a="1"/>
  <c r="AB63" i="3" a="1"/>
  <c r="AW58" i="3" a="1"/>
  <c r="AB28" i="6" a="1"/>
  <c r="AK64" i="3" a="1"/>
  <c r="AE57" i="3"/>
  <c r="AK67" i="3" a="1"/>
  <c r="AB17" i="4" a="1"/>
  <c r="AW50" i="3" a="1"/>
  <c r="AT57" i="3" a="1"/>
  <c r="AB66" i="3" a="1"/>
  <c r="AK57" i="3"/>
  <c r="AE31" i="6" a="1"/>
  <c r="AN63" i="3" a="1"/>
  <c r="AQ13" i="5"/>
  <c r="AO12" i="5" l="1"/>
  <c r="AN63" i="3"/>
  <c r="AE31" i="6"/>
  <c r="AB66" i="3"/>
  <c r="AT57" i="3"/>
  <c r="AW50" i="3"/>
  <c r="AB17" i="4"/>
  <c r="Z16" i="4" s="1"/>
  <c r="AK67" i="3"/>
  <c r="AK64" i="3"/>
  <c r="AB28" i="6"/>
  <c r="AW58" i="3"/>
  <c r="AB63" i="3"/>
  <c r="AQ90" i="3"/>
  <c r="AO89" i="3" s="1"/>
  <c r="AE26" i="6"/>
  <c r="AW56" i="3"/>
  <c r="AW62" i="3"/>
  <c r="AH17" i="4"/>
  <c r="AF16" i="4" s="1"/>
  <c r="AN25" i="6"/>
  <c r="AK26" i="6"/>
  <c r="AN90" i="3"/>
  <c r="AL89" i="3" s="1"/>
  <c r="AH31" i="6"/>
  <c r="Y25" i="6"/>
  <c r="AQ26" i="6"/>
  <c r="AN49" i="3"/>
  <c r="AQ64" i="3"/>
  <c r="AK63" i="3"/>
  <c r="AT67" i="3"/>
  <c r="AT90" i="3"/>
  <c r="AR89" i="3" s="1"/>
  <c r="AW65" i="3"/>
  <c r="AH26" i="6"/>
  <c r="AT59" i="3"/>
  <c r="AT49" i="3"/>
  <c r="AT60" i="3"/>
  <c r="AH49" i="3"/>
  <c r="AR23" i="2"/>
  <c r="Z23" i="2"/>
  <c r="AE67" i="3"/>
  <c r="AN61" i="3"/>
  <c r="AK25" i="6"/>
  <c r="AC23" i="2"/>
  <c r="AW67" i="3"/>
  <c r="AN29" i="6"/>
  <c r="AK31" i="6"/>
  <c r="AE28" i="6"/>
  <c r="AK56" i="3"/>
  <c r="AH61" i="3"/>
  <c r="AH27" i="6"/>
  <c r="AT26" i="6"/>
  <c r="AH50" i="3"/>
  <c r="AK29" i="6"/>
  <c r="AE27" i="6"/>
  <c r="AB65" i="3"/>
  <c r="AK27" i="6"/>
  <c r="AC83" i="2"/>
  <c r="AH63" i="3"/>
  <c r="Y28" i="6"/>
  <c r="AN17" i="4"/>
  <c r="AL16" i="4" s="1"/>
  <c r="AQ59" i="3"/>
  <c r="AQ60" i="3"/>
  <c r="AK50" i="3"/>
  <c r="AN62" i="3"/>
  <c r="AN56" i="3"/>
  <c r="AQ56" i="3"/>
  <c r="AQ27" i="6"/>
  <c r="AB26" i="6"/>
  <c r="V29" i="6"/>
  <c r="AE56" i="3"/>
  <c r="AW90" i="3"/>
  <c r="AU89" i="3" s="1"/>
  <c r="V27" i="6"/>
  <c r="AB67" i="3"/>
  <c r="AE64" i="3"/>
  <c r="AH66" i="3"/>
  <c r="AT62" i="3"/>
  <c r="AB59" i="3"/>
  <c r="W12" i="5"/>
  <c r="AQ28" i="6"/>
  <c r="AK65" i="3"/>
  <c r="AN65" i="3"/>
  <c r="AE49" i="3"/>
  <c r="AE25" i="6"/>
  <c r="AK61" i="3"/>
  <c r="AB31" i="6"/>
  <c r="AX23" i="2"/>
  <c r="AH64" i="3"/>
  <c r="AB58" i="3"/>
  <c r="AB25" i="6"/>
  <c r="AW49" i="3"/>
  <c r="AQ25" i="6"/>
  <c r="AK90" i="3"/>
  <c r="AI89" i="3" s="1"/>
  <c r="AB90" i="3"/>
  <c r="Z89" i="3" s="1"/>
  <c r="AT56" i="3"/>
  <c r="AE65" i="3"/>
  <c r="AE59" i="3"/>
  <c r="AK66" i="3"/>
  <c r="AH62" i="3"/>
  <c r="V25" i="6"/>
  <c r="AH90" i="3"/>
  <c r="AF89" i="3" s="1"/>
  <c r="AT27" i="6"/>
  <c r="AW63" i="3"/>
  <c r="AN59" i="3"/>
  <c r="AH65" i="3"/>
  <c r="AO23" i="2"/>
  <c r="AB61" i="3"/>
  <c r="AT50" i="3"/>
  <c r="AT61" i="3"/>
  <c r="AB29" i="6"/>
  <c r="AN66" i="3"/>
  <c r="AQ61" i="3"/>
  <c r="AQ29" i="6"/>
  <c r="AL12" i="5"/>
  <c r="AQ67" i="3"/>
  <c r="AE62" i="3"/>
  <c r="AC12" i="5"/>
  <c r="AQ66" i="3"/>
  <c r="Z12" i="5"/>
  <c r="AB49" i="3"/>
  <c r="AK49" i="3"/>
  <c r="Z83" i="2"/>
  <c r="AW66" i="3"/>
  <c r="Y31" i="6"/>
  <c r="AK62" i="3"/>
  <c r="AT63" i="3"/>
  <c r="AQ31" i="6"/>
  <c r="AH56" i="3"/>
  <c r="AQ63" i="3"/>
  <c r="AW59" i="3"/>
  <c r="AR12" i="5"/>
  <c r="AW61" i="3"/>
  <c r="AQ58" i="3"/>
  <c r="AT66" i="3"/>
  <c r="AN26" i="6"/>
  <c r="AK59" i="3"/>
  <c r="Y26" i="6"/>
  <c r="AI23" i="2"/>
  <c r="AF12" i="5"/>
  <c r="AQ62" i="3"/>
  <c r="AH28" i="6"/>
  <c r="AW57" i="3"/>
  <c r="AN58" i="3"/>
  <c r="AE58" i="3"/>
  <c r="AE29" i="6"/>
  <c r="AB27" i="6"/>
  <c r="AU23" i="2"/>
  <c r="AW17" i="4"/>
  <c r="AU16" i="4" s="1"/>
  <c r="AT28" i="6"/>
  <c r="AQ49" i="3"/>
  <c r="AH58" i="3"/>
  <c r="AH25" i="6"/>
  <c r="AN67" i="3"/>
  <c r="AE17" i="4"/>
  <c r="AC16" i="4" s="1"/>
  <c r="AT58" i="3"/>
  <c r="AE90" i="3"/>
  <c r="AC89" i="3" s="1"/>
  <c r="AL71" i="2"/>
  <c r="AB50" i="3"/>
  <c r="AN28" i="6"/>
  <c r="AK17" i="4"/>
  <c r="AI16" i="4" s="1"/>
  <c r="AK28" i="6"/>
  <c r="AW13" i="5"/>
  <c r="AU12" i="5" s="1"/>
  <c r="Y29" i="6"/>
  <c r="AN64" i="3"/>
  <c r="AQ17" i="4"/>
  <c r="AO16" i="4" s="1"/>
  <c r="AH67" i="3"/>
  <c r="AN27" i="6"/>
  <c r="AE61" i="3"/>
  <c r="AW64" i="3"/>
  <c r="AE50" i="3"/>
  <c r="AH29" i="6"/>
  <c r="Y27" i="6"/>
  <c r="AT31" i="6"/>
  <c r="AN50" i="3"/>
  <c r="AT65" i="3"/>
  <c r="AB56" i="3"/>
  <c r="AT25" i="6"/>
  <c r="AQ50" i="3"/>
  <c r="AB62" i="3"/>
  <c r="AN31" i="6"/>
  <c r="V26" i="6"/>
  <c r="AT64" i="3"/>
  <c r="V28" i="6"/>
  <c r="AB64" i="3"/>
  <c r="AH59" i="3"/>
  <c r="V31" i="6"/>
  <c r="AK58" i="3"/>
  <c r="AT17" i="4"/>
  <c r="AR16" i="4" s="1"/>
  <c r="AE66" i="3"/>
  <c r="AF23" i="2"/>
  <c r="AL23" i="2"/>
  <c r="AI83" i="2"/>
  <c r="AI12" i="5"/>
  <c r="AW60" i="3"/>
  <c r="AT29" i="6"/>
  <c r="AE63" i="3"/>
  <c r="AQ65" i="3"/>
  <c r="AC71" i="2" l="1"/>
  <c r="AF48" i="2"/>
  <c r="AU83" i="2"/>
  <c r="Z71" i="2"/>
  <c r="AF24" i="6"/>
  <c r="AO46" i="3"/>
  <c r="AI46" i="3"/>
  <c r="AU46" i="3"/>
  <c r="AL48" i="2"/>
  <c r="AF55" i="3"/>
  <c r="Z46" i="3"/>
  <c r="AX48" i="2"/>
  <c r="T24" i="6"/>
  <c r="AR55" i="3"/>
  <c r="AC48" i="2"/>
  <c r="Z24" i="6"/>
  <c r="AC46" i="3"/>
  <c r="AX83" i="2"/>
  <c r="AO55" i="3"/>
  <c r="AL55" i="3"/>
  <c r="AO71" i="2"/>
  <c r="AR83" i="2"/>
  <c r="AI55" i="3"/>
  <c r="AU48" i="2"/>
  <c r="AI48" i="2"/>
  <c r="AR46" i="3"/>
  <c r="AL24" i="6"/>
  <c r="AR71" i="2"/>
  <c r="AU71" i="2"/>
  <c r="AR48" i="2"/>
  <c r="AF83" i="2"/>
  <c r="AR24" i="6"/>
  <c r="Z55" i="3"/>
  <c r="AI71" i="2"/>
  <c r="AO24" i="6"/>
  <c r="AC24" i="6"/>
  <c r="AO83" i="2"/>
  <c r="AC55" i="3"/>
  <c r="Z48" i="2"/>
  <c r="AX71" i="2"/>
  <c r="AF71" i="2"/>
  <c r="AI24" i="6"/>
  <c r="AF46" i="3"/>
  <c r="AL46" i="3"/>
  <c r="W24" i="6"/>
  <c r="AU55" i="3"/>
  <c r="AL83" i="2"/>
  <c r="AO48" i="2"/>
</calcChain>
</file>

<file path=xl/sharedStrings.xml><?xml version="1.0" encoding="utf-8"?>
<sst xmlns="http://schemas.openxmlformats.org/spreadsheetml/2006/main" count="363" uniqueCount="299">
  <si>
    <t>BCE</t>
  </si>
  <si>
    <t>INFLACIÓN</t>
  </si>
  <si>
    <t>Ger prelim CPI m/m</t>
  </si>
  <si>
    <t>Ger Final CPI m/m</t>
  </si>
  <si>
    <t>EZ CPI Flash Estimate y/y</t>
  </si>
  <si>
    <t>EZ Core CPI Flash Estimate y/y</t>
  </si>
  <si>
    <t>EZ Final CPI y/y</t>
  </si>
  <si>
    <t>EZ Final Core CPI y/y</t>
  </si>
  <si>
    <t>EZ PPI m/m</t>
  </si>
  <si>
    <t>Ger PPI m/m</t>
  </si>
  <si>
    <t>EZ PPI y/y</t>
  </si>
  <si>
    <t>Ger WPI m/m</t>
  </si>
  <si>
    <t>Fra Prelim CPI m/m</t>
  </si>
  <si>
    <t>Fra Final CPI m/m</t>
  </si>
  <si>
    <t>Ita Prelim CPI m/m</t>
  </si>
  <si>
    <t>Spa Flash CPI y/y</t>
  </si>
  <si>
    <t>Ger Import Prices m/m</t>
  </si>
  <si>
    <t>M3 Money Supply y/y</t>
  </si>
  <si>
    <t>CRECIMIENTO</t>
  </si>
  <si>
    <t>Ger Prelim Flash GDP q/q</t>
  </si>
  <si>
    <t>Ger Final GDP q/q</t>
  </si>
  <si>
    <t>Ger prelim GDP Q/q</t>
  </si>
  <si>
    <t>EZ Prelim Flash GDP q/q</t>
  </si>
  <si>
    <t>Ez Flash GDP q/q</t>
  </si>
  <si>
    <t>Ez revised GDP q/q</t>
  </si>
  <si>
    <t>Fra Prelim GDP q/q</t>
  </si>
  <si>
    <t>Fra flash GDP q/q</t>
  </si>
  <si>
    <t>Spa Flash GDP q/q</t>
  </si>
  <si>
    <t>Ita Prelim GDP q/q</t>
  </si>
  <si>
    <t>EMPLEO</t>
  </si>
  <si>
    <t>Ger Unemployment Change</t>
  </si>
  <si>
    <t>Ez Flash Employmemt Change q/q</t>
  </si>
  <si>
    <t>Ez Final Employment Change q/q</t>
  </si>
  <si>
    <t>Ez Unemployment Rate</t>
  </si>
  <si>
    <t>Fra Prelim Private Payrolls q/q</t>
  </si>
  <si>
    <t>Fran Final Private Payrolls q/Q</t>
  </si>
  <si>
    <t>Spa Unemployment Change</t>
  </si>
  <si>
    <t>Spa Unemployment Rate m/m</t>
  </si>
  <si>
    <t>Ita Unemployment Rate m/m</t>
  </si>
  <si>
    <t>Ita unemploymet rate q/q</t>
  </si>
  <si>
    <t>Ita monthly unemployment rate</t>
  </si>
  <si>
    <t>Italian quarterly unemloyment Rate</t>
  </si>
  <si>
    <t>CONSUMO</t>
  </si>
  <si>
    <t>Ger Retail Sales m/m</t>
  </si>
  <si>
    <t>Ez Retail Sales m/m</t>
  </si>
  <si>
    <t>Ger GfK Consumer Climate</t>
  </si>
  <si>
    <t>EZ Consumer Spending</t>
  </si>
  <si>
    <t>Fra consumer Spending m/m</t>
  </si>
  <si>
    <t>Ita Retail Sales m/m</t>
  </si>
  <si>
    <t>Consumer confidence</t>
  </si>
  <si>
    <t>ACTIVIDAD ECÓNOMICA</t>
  </si>
  <si>
    <t>Ger Flas Manufacturing PMI</t>
  </si>
  <si>
    <t>Ger final Manufacturing PMI</t>
  </si>
  <si>
    <t>Ger Flash Services PMI</t>
  </si>
  <si>
    <t>Ger Final Services PMI</t>
  </si>
  <si>
    <t>EZ Flash Manufacturing PMI</t>
  </si>
  <si>
    <t>EZ Final manufacturing PMI</t>
  </si>
  <si>
    <t>EZ Flash Services PMI</t>
  </si>
  <si>
    <t>EZ Final Services PMI</t>
  </si>
  <si>
    <t>Ger ZEW Economic Sentiment</t>
  </si>
  <si>
    <t>EZ ZEW Economic Sentiment</t>
  </si>
  <si>
    <t>Ger Trade Balance</t>
  </si>
  <si>
    <t>EZ Trade balance</t>
  </si>
  <si>
    <t>Fra Flash Manufacturing PMI</t>
  </si>
  <si>
    <t>Fra Final Manufacturing PMI</t>
  </si>
  <si>
    <t>Fra Flash Service PMI</t>
  </si>
  <si>
    <t>French Final Services PMI</t>
  </si>
  <si>
    <t>Spa Manufacturing PMI</t>
  </si>
  <si>
    <t>Spa Services PMI</t>
  </si>
  <si>
    <t>Ita Manufactoring PMI</t>
  </si>
  <si>
    <t>Ita Services PMI</t>
  </si>
  <si>
    <t>Ger Trade balance</t>
  </si>
  <si>
    <t>Fra Trade Balance</t>
  </si>
  <si>
    <t>Ita Trade balance</t>
  </si>
  <si>
    <t>Private Loans y/y</t>
  </si>
  <si>
    <t>Ger ifo Businnes Climate</t>
  </si>
  <si>
    <t>sentix Investor Confidence</t>
  </si>
  <si>
    <t>Bel NBB Business Climate</t>
  </si>
  <si>
    <t>Ez Industrial Production m/m</t>
  </si>
  <si>
    <t>Ger Industrial Production m/m</t>
  </si>
  <si>
    <t>Fra Industrial Production m/m</t>
  </si>
  <si>
    <t>Ita Industrial Production m/m</t>
  </si>
  <si>
    <t>Ger Factory Orders m/m</t>
  </si>
  <si>
    <t>MERCADOS</t>
  </si>
  <si>
    <t>DAX</t>
  </si>
  <si>
    <t>German 10Y Bond yield</t>
  </si>
  <si>
    <t>FED</t>
  </si>
  <si>
    <t>CPI m/m</t>
  </si>
  <si>
    <t>CPI Y/Y</t>
  </si>
  <si>
    <t>Core CPI m/m</t>
  </si>
  <si>
    <t>PPI m/m</t>
  </si>
  <si>
    <t>CORE PPI m/m</t>
  </si>
  <si>
    <t>Core PCE Price Index m/m</t>
  </si>
  <si>
    <t>Import Prices m/m</t>
  </si>
  <si>
    <t>ISM Manufacturing prices</t>
  </si>
  <si>
    <t>Prelim UoM Inflation Expectations</t>
  </si>
  <si>
    <t>Revised UoM Inflation Exectations</t>
  </si>
  <si>
    <t>Employement Cost Index q/q</t>
  </si>
  <si>
    <t>Prelim GDP q/q</t>
  </si>
  <si>
    <t>Advanced GDP q/q</t>
  </si>
  <si>
    <t>FinaL GDP q/q</t>
  </si>
  <si>
    <t>Prelim GDP Price Index q/q</t>
  </si>
  <si>
    <t>Advanced GDP Price Index q/q</t>
  </si>
  <si>
    <t>Final GDP Price Index q/q</t>
  </si>
  <si>
    <t>Non-Farm Employment Change</t>
  </si>
  <si>
    <t>Unemployment Rate</t>
  </si>
  <si>
    <t>Average Hourly Earnings m/m</t>
  </si>
  <si>
    <t>Uneemployment Claims</t>
  </si>
  <si>
    <t>ADP Non-Farm Employment Change</t>
  </si>
  <si>
    <t>Prelim Nonfarm Productivity q/q</t>
  </si>
  <si>
    <t>Revised Nonfarm Productivity q/q</t>
  </si>
  <si>
    <t>Prelim Unit Labor Costs q/q</t>
  </si>
  <si>
    <t>Revised Unit Labor Costs q/q</t>
  </si>
  <si>
    <t>JOLTS Job Openings</t>
  </si>
  <si>
    <t>Challenger Jobs Cuts y/y</t>
  </si>
  <si>
    <t>Retail Sales m/m</t>
  </si>
  <si>
    <t>Core Retails Sales m/m</t>
  </si>
  <si>
    <t>Prelim UoM Consumer Sentiment</t>
  </si>
  <si>
    <t>Revised UoM Consumer Sentiment</t>
  </si>
  <si>
    <t>CB Consumer Confndence</t>
  </si>
  <si>
    <t>Personal Income m/m</t>
  </si>
  <si>
    <t>Personal Spending m/m</t>
  </si>
  <si>
    <t>Consumer Credit m/m</t>
  </si>
  <si>
    <t>Wards Total Vehicle Sales</t>
  </si>
  <si>
    <t>RCM/TIPP Economics Optimism</t>
  </si>
  <si>
    <t>Flash Manufacturing PMI</t>
  </si>
  <si>
    <t>Flash Services PMI</t>
  </si>
  <si>
    <t>Final Manufacturing PMI</t>
  </si>
  <si>
    <t>Final Services PMI</t>
  </si>
  <si>
    <t>ISM Manufacturing PMI</t>
  </si>
  <si>
    <t>ISM Non-manifacturing PMI</t>
  </si>
  <si>
    <t>ISM services PMI</t>
  </si>
  <si>
    <t>Chicago PMI</t>
  </si>
  <si>
    <t>Trade balance</t>
  </si>
  <si>
    <t>Industrial Production m/m</t>
  </si>
  <si>
    <t>Goods Trade balance</t>
  </si>
  <si>
    <t>Durable Good Orders m/m</t>
  </si>
  <si>
    <t>Core Durable Goods Orders m/m</t>
  </si>
  <si>
    <t>Factory Orders m/m</t>
  </si>
  <si>
    <t>Businnes Inventories</t>
  </si>
  <si>
    <t>Prelim Wholesales Inventories m/m</t>
  </si>
  <si>
    <t>Final Wholesales Inventories m/m</t>
  </si>
  <si>
    <t>Philly Fed Manufactoring Index</t>
  </si>
  <si>
    <t>Richmond Manufactoring Index</t>
  </si>
  <si>
    <t>NFIB Small Business Index</t>
  </si>
  <si>
    <t>Empire State manufacturing index</t>
  </si>
  <si>
    <t>INMOBILIARIO</t>
  </si>
  <si>
    <t>Existing Home Sales</t>
  </si>
  <si>
    <t>Pending Home Sales</t>
  </si>
  <si>
    <t>New Home Sales</t>
  </si>
  <si>
    <t>Housing Starts</t>
  </si>
  <si>
    <t>Building Permits</t>
  </si>
  <si>
    <t>NAHB Housing Maeket Index</t>
  </si>
  <si>
    <t>HPI m/m</t>
  </si>
  <si>
    <t>S&amp;P/CS Composite-20 HPI y/y</t>
  </si>
  <si>
    <t>Construction Spending m/m</t>
  </si>
  <si>
    <t>Mortgage Delinquencies</t>
  </si>
  <si>
    <t>S&amp;P 500</t>
  </si>
  <si>
    <t>10Y Treausuries</t>
  </si>
  <si>
    <t>BOE</t>
  </si>
  <si>
    <t>CPI y/y</t>
  </si>
  <si>
    <t>Core CPI y/y</t>
  </si>
  <si>
    <t>PPI input m/m</t>
  </si>
  <si>
    <t>PPI Output m/m</t>
  </si>
  <si>
    <t>RPI y/y</t>
  </si>
  <si>
    <t>Consumer Inflation Expectations</t>
  </si>
  <si>
    <t>BRC Shop Price Index y/y</t>
  </si>
  <si>
    <t>M4 Money Supply m/m</t>
  </si>
  <si>
    <t>GDP m/m</t>
  </si>
  <si>
    <t>PRELIM GDP q/q</t>
  </si>
  <si>
    <t>Final GDP q/q</t>
  </si>
  <si>
    <t>NIESR GDP Estimate</t>
  </si>
  <si>
    <t>Average Earnigs Index 3m/y</t>
  </si>
  <si>
    <t>Claimant Count Change</t>
  </si>
  <si>
    <t>Gfk Consumer Confidence</t>
  </si>
  <si>
    <t>Net Lending to Individyals m/m</t>
  </si>
  <si>
    <t>BRC, Retai Sales Monitor m/m</t>
  </si>
  <si>
    <t>CBI Realized SALES</t>
  </si>
  <si>
    <t>Net Lending to Individuals m/m</t>
  </si>
  <si>
    <t>Manufacturing Production m/m</t>
  </si>
  <si>
    <t>Prelim Business Investment q/q</t>
  </si>
  <si>
    <t>Revised Business Investment q/q</t>
  </si>
  <si>
    <t>CBI Industrial Order Expectations</t>
  </si>
  <si>
    <t>index of services 3m/3m</t>
  </si>
  <si>
    <t>Construction PMI</t>
  </si>
  <si>
    <t>Mortage Approvals</t>
  </si>
  <si>
    <t>HPI Y/Y</t>
  </si>
  <si>
    <t>Haliflax HPI m/m</t>
  </si>
  <si>
    <t>Nationwide HPI m/m</t>
  </si>
  <si>
    <t>Rightmove HPI m/m</t>
  </si>
  <si>
    <t>Construction Ouput m/m</t>
  </si>
  <si>
    <t>High Street Lending</t>
  </si>
  <si>
    <t>Housins Equity Withdrawal q/q</t>
  </si>
  <si>
    <t>RICS House Price Balance</t>
  </si>
  <si>
    <t>FTSE 100 Index</t>
  </si>
  <si>
    <t>10 YUK Gilt</t>
  </si>
  <si>
    <t>7.19</t>
  </si>
  <si>
    <t>7.76</t>
  </si>
  <si>
    <t>7.74</t>
  </si>
  <si>
    <t>8.16</t>
  </si>
  <si>
    <t>8.1</t>
  </si>
  <si>
    <t>7.84</t>
  </si>
  <si>
    <t>7.37</t>
  </si>
  <si>
    <t>7.44</t>
  </si>
  <si>
    <t>7.86</t>
  </si>
  <si>
    <t>7.67</t>
  </si>
  <si>
    <t>7.91</t>
  </si>
  <si>
    <t>8.18</t>
  </si>
  <si>
    <t>8.23</t>
  </si>
  <si>
    <t>8.488</t>
  </si>
  <si>
    <t>8.813</t>
  </si>
  <si>
    <t>8.49</t>
  </si>
  <si>
    <t>8.75</t>
  </si>
  <si>
    <t>BOC</t>
  </si>
  <si>
    <t>Common CPI y/y</t>
  </si>
  <si>
    <t>Median CPI y/y</t>
  </si>
  <si>
    <t>Trimmed CPI y/y</t>
  </si>
  <si>
    <t>IPPI m/m</t>
  </si>
  <si>
    <t>RMPI m/m</t>
  </si>
  <si>
    <t>Labor productivity q/q</t>
  </si>
  <si>
    <t>GDP q/q</t>
  </si>
  <si>
    <t>Employment Change</t>
  </si>
  <si>
    <t>Manufacturing PMI</t>
  </si>
  <si>
    <t>Ivey PMI</t>
  </si>
  <si>
    <t>Wholesale Sales m/m</t>
  </si>
  <si>
    <t>Manufacturing Sales m/m</t>
  </si>
  <si>
    <t>Foreign Securities Purchases</t>
  </si>
  <si>
    <t>NHPI m/m</t>
  </si>
  <si>
    <t>Housing stars</t>
  </si>
  <si>
    <t>USOIL</t>
  </si>
  <si>
    <t>RBA</t>
  </si>
  <si>
    <t>CPI q/q</t>
  </si>
  <si>
    <t>PPI q/q</t>
  </si>
  <si>
    <t>Trimmed Mean CPI q/q</t>
  </si>
  <si>
    <t>MI Inflation Expectations</t>
  </si>
  <si>
    <t>MI Inflation Gauge m/m</t>
  </si>
  <si>
    <t>Import Prices q/q</t>
  </si>
  <si>
    <t>Wage Price Index q/q</t>
  </si>
  <si>
    <t>ANZ Jobs Advertisements m/m</t>
  </si>
  <si>
    <t>Retail sales</t>
  </si>
  <si>
    <t>Westpac Consumer Sentiment</t>
  </si>
  <si>
    <t>Private Sector Credit m/m</t>
  </si>
  <si>
    <t>AIG Manufacturing Index</t>
  </si>
  <si>
    <t>AIG Services index</t>
  </si>
  <si>
    <t>flash manufacturing PMI</t>
  </si>
  <si>
    <t>Trade Balance</t>
  </si>
  <si>
    <t>Goods trade balance</t>
  </si>
  <si>
    <t>NAB Businnes Confidence</t>
  </si>
  <si>
    <t>NAB Quarterly Business Confidence</t>
  </si>
  <si>
    <t>Westpac Buiness Confidence</t>
  </si>
  <si>
    <t>Private Capital Expenditure</t>
  </si>
  <si>
    <t>Company Operating Profits q/q</t>
  </si>
  <si>
    <t>AIG Construction Index</t>
  </si>
  <si>
    <t>Buillding Approvals</t>
  </si>
  <si>
    <t>Construction Work Done q/q</t>
  </si>
  <si>
    <t>ASX Index</t>
  </si>
  <si>
    <t>Shangai Composite index</t>
  </si>
  <si>
    <t>10y au Bonds Yield</t>
  </si>
  <si>
    <t>Iron Ore</t>
  </si>
  <si>
    <t>RBNZ</t>
  </si>
  <si>
    <t>PPI input q/q</t>
  </si>
  <si>
    <t>PPI output q/q</t>
  </si>
  <si>
    <t>FPI m/m</t>
  </si>
  <si>
    <t>Inflation expectation q/q</t>
  </si>
  <si>
    <t>ANZ commodity prices</t>
  </si>
  <si>
    <t>Employment change q/q</t>
  </si>
  <si>
    <t>Unemployment rate</t>
  </si>
  <si>
    <t>Labor Cost Index q/q</t>
  </si>
  <si>
    <t>Retail Sales q/q</t>
  </si>
  <si>
    <t>Core retail sales m/m</t>
  </si>
  <si>
    <t>Westpac consumer sentiment</t>
  </si>
  <si>
    <t>Credit Card Spending y/y</t>
  </si>
  <si>
    <t>Business NZ Manufactoring index</t>
  </si>
  <si>
    <t>ANZ Business confidence</t>
  </si>
  <si>
    <t>Prelim ANZ Business Confidence</t>
  </si>
  <si>
    <t>Final ANZ Business Confidence</t>
  </si>
  <si>
    <t>GDT Price index</t>
  </si>
  <si>
    <t>BusinessNZ Services Index</t>
  </si>
  <si>
    <t>Visitor Arrivals m/m</t>
  </si>
  <si>
    <t>Overseas trade index q/q</t>
  </si>
  <si>
    <t>Manufacturing Sales q/q</t>
  </si>
  <si>
    <t>NZIER Business Confidence</t>
  </si>
  <si>
    <t>Building Consents m/m</t>
  </si>
  <si>
    <t>NZX 50</t>
  </si>
  <si>
    <t>10Y gov. bond</t>
  </si>
  <si>
    <t>7.39</t>
  </si>
  <si>
    <t>7.2</t>
  </si>
  <si>
    <t>7.77</t>
  </si>
  <si>
    <t>7.4</t>
  </si>
  <si>
    <t>7.71</t>
  </si>
  <si>
    <t>7.18</t>
  </si>
  <si>
    <t>7.23</t>
  </si>
  <si>
    <t>7.21</t>
  </si>
  <si>
    <t>Household Spending m/m</t>
  </si>
  <si>
    <t>MPC Rate Votes</t>
  </si>
  <si>
    <t>0-4-5</t>
  </si>
  <si>
    <t>0-5-4</t>
  </si>
  <si>
    <t>6.54</t>
  </si>
  <si>
    <t>−0.20%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</si>
</sst>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0.0%"/>
    <numFmt numFmtId="166" formatCode="0.0"/>
    <numFmt numFmtId="167" formatCode="0.000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9"/>
      <name val="Avenir Next LT Pro Light"/>
      <family val="2"/>
    </font>
    <font>
      <b/>
      <sz val="9"/>
      <color theme="0"/>
      <name val="Avenir Next LT Pro Light"/>
      <family val="2"/>
    </font>
    <font>
      <b/>
      <sz val="9"/>
      <color rgb="FFFFFFFF"/>
      <name val="Avenir Next LT Pro Light"/>
      <family val="2"/>
    </font>
    <font>
      <sz val="9"/>
      <color theme="0"/>
      <name val="Avenir Next LT Pro Light"/>
      <family val="2"/>
    </font>
    <font>
      <sz val="9"/>
      <color rgb="FF000000"/>
      <name val="Avenir Next LT Pro Light"/>
      <family val="2"/>
    </font>
    <font>
      <sz val="9"/>
      <color theme="1"/>
      <name val="Avenir Next LT Pro Light"/>
      <family val="2"/>
    </font>
    <font>
      <b/>
      <sz val="9"/>
      <color rgb="FFFFFF00"/>
      <name val="Avenir Next LT Pro Light"/>
      <family val="2"/>
    </font>
    <font>
      <sz val="10"/>
      <name val="Arial"/>
      <family val="2"/>
    </font>
    <font>
      <b/>
      <sz val="9"/>
      <name val="Avenir Next LT Pro Light"/>
      <family val="2"/>
    </font>
    <font>
      <b/>
      <sz val="9"/>
      <color theme="1"/>
      <name val="Avenir Next LT Pro Light"/>
      <family val="2"/>
    </font>
    <font>
      <sz val="9"/>
      <name val="Avenir Next LT Pro Light"/>
      <family val="2"/>
    </font>
    <font>
      <b/>
      <sz val="9"/>
      <color rgb="FF000000"/>
      <name val="Avenir Next LT Pro Light"/>
      <family val="2"/>
    </font>
    <font>
      <sz val="9"/>
      <color theme="0" tint="-4.9989318521683403E-2"/>
      <name val="Avenir Next LT Pro Light"/>
      <family val="2"/>
    </font>
    <font>
      <b/>
      <sz val="9"/>
      <color theme="1"/>
      <name val="Avenir Next LT Pro Light"/>
      <family val="2"/>
    </font>
    <font>
      <b/>
      <sz val="9"/>
      <color theme="0"/>
      <name val="Avenir Next LT Pro Light"/>
      <family val="2"/>
    </font>
    <font>
      <b/>
      <sz val="9"/>
      <color rgb="FF000000"/>
      <name val="Avenir Next LT Pro Light"/>
      <family val="2"/>
    </font>
    <font>
      <sz val="9"/>
      <name val="Avenir Next LT Pro"/>
      <family val="2"/>
    </font>
    <font>
      <sz val="10"/>
      <color theme="1"/>
      <name val="Arial"/>
      <family val="2"/>
    </font>
    <font>
      <sz val="8"/>
      <color rgb="FF000000"/>
      <name val="Verdana"/>
      <family val="2"/>
    </font>
    <font>
      <b/>
      <sz val="9"/>
      <name val="Avenir Next LT Pro Light"/>
      <family val="2"/>
    </font>
    <font>
      <sz val="11"/>
      <color rgb="FF000000"/>
      <name val="Calibri"/>
      <family val="2"/>
    </font>
    <font>
      <sz val="1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/>
        <bgColor rgb="FFFF0000"/>
      </patternFill>
    </fill>
    <fill>
      <patternFill patternType="solid">
        <fgColor rgb="FFFF0000"/>
        <bgColor rgb="FFFF0000"/>
      </patternFill>
    </fill>
    <fill>
      <patternFill patternType="solid">
        <fgColor theme="9"/>
        <bgColor rgb="FFD9D9D9"/>
      </patternFill>
    </fill>
    <fill>
      <patternFill patternType="solid">
        <fgColor theme="9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rgb="FF000000"/>
      </patternFill>
    </fill>
    <fill>
      <patternFill patternType="solid">
        <fgColor theme="9"/>
        <bgColor rgb="FFE7E6E6"/>
      </patternFill>
    </fill>
    <fill>
      <patternFill patternType="solid">
        <fgColor theme="9"/>
        <bgColor rgb="FFBFBFBF"/>
      </patternFill>
    </fill>
    <fill>
      <patternFill patternType="solid">
        <fgColor theme="9"/>
        <bgColor rgb="FFD0CECE"/>
      </patternFill>
    </fill>
    <fill>
      <patternFill patternType="solid">
        <fgColor rgb="FF000000"/>
        <bgColor rgb="FF000000"/>
      </patternFill>
    </fill>
    <fill>
      <patternFill patternType="solid">
        <fgColor theme="9"/>
        <bgColor rgb="FFB7B7B7"/>
      </patternFill>
    </fill>
    <fill>
      <patternFill patternType="solid">
        <fgColor rgb="FFFFFF00"/>
        <bgColor rgb="FF000000"/>
      </patternFill>
    </fill>
  </fills>
  <borders count="2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rgb="FF505050"/>
      </left>
      <right/>
      <top style="thin">
        <color rgb="FF505050"/>
      </top>
      <bottom/>
      <diagonal/>
    </border>
    <border>
      <left style="thin">
        <color rgb="FF505050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rgb="FF505050"/>
      </left>
      <right/>
      <top/>
      <bottom style="thin">
        <color rgb="FF505050"/>
      </bottom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</cellStyleXfs>
  <cellXfs count="393">
    <xf numFmtId="0" fontId="0" fillId="0" borderId="0" xfId="0"/>
    <xf numFmtId="10" fontId="3" fillId="0" borderId="3" xfId="3" applyNumberFormat="1" applyFont="1" applyBorder="1" applyAlignment="1">
      <alignment horizontal="center" vertical="center"/>
    </xf>
    <xf numFmtId="0" fontId="4" fillId="3" borderId="4" xfId="3" applyFont="1" applyFill="1" applyBorder="1" applyAlignment="1">
      <alignment horizontal="center" vertical="center"/>
    </xf>
    <xf numFmtId="10" fontId="6" fillId="6" borderId="7" xfId="2" applyNumberFormat="1" applyFont="1" applyFill="1" applyBorder="1" applyAlignment="1">
      <alignment horizontal="center"/>
    </xf>
    <xf numFmtId="10" fontId="7" fillId="8" borderId="7" xfId="2" applyNumberFormat="1" applyFont="1" applyFill="1" applyBorder="1" applyAlignment="1">
      <alignment horizontal="center"/>
    </xf>
    <xf numFmtId="0" fontId="7" fillId="0" borderId="0" xfId="3" applyFont="1" applyAlignment="1">
      <alignment horizontal="center"/>
    </xf>
    <xf numFmtId="166" fontId="6" fillId="6" borderId="7" xfId="2" applyNumberFormat="1" applyFont="1" applyFill="1" applyBorder="1" applyAlignment="1">
      <alignment horizontal="center"/>
    </xf>
    <xf numFmtId="165" fontId="7" fillId="0" borderId="7" xfId="2" applyNumberFormat="1" applyFont="1" applyFill="1" applyBorder="1" applyAlignment="1">
      <alignment horizontal="center"/>
    </xf>
    <xf numFmtId="10" fontId="6" fillId="6" borderId="12" xfId="2" applyNumberFormat="1" applyFont="1" applyFill="1" applyBorder="1" applyAlignment="1">
      <alignment horizontal="center"/>
    </xf>
    <xf numFmtId="2" fontId="6" fillId="6" borderId="7" xfId="3" applyNumberFormat="1" applyFont="1" applyFill="1" applyBorder="1" applyAlignment="1">
      <alignment horizontal="center"/>
    </xf>
    <xf numFmtId="2" fontId="7" fillId="0" borderId="7" xfId="3" applyNumberFormat="1" applyFont="1" applyBorder="1" applyAlignment="1">
      <alignment horizontal="center"/>
    </xf>
    <xf numFmtId="2" fontId="6" fillId="6" borderId="12" xfId="3" applyNumberFormat="1" applyFont="1" applyFill="1" applyBorder="1" applyAlignment="1">
      <alignment horizontal="center"/>
    </xf>
    <xf numFmtId="0" fontId="7" fillId="0" borderId="0" xfId="3" applyFont="1"/>
    <xf numFmtId="2" fontId="7" fillId="0" borderId="0" xfId="3" applyNumberFormat="1" applyFont="1" applyAlignment="1">
      <alignment horizontal="center"/>
    </xf>
    <xf numFmtId="10" fontId="10" fillId="0" borderId="3" xfId="3" applyNumberFormat="1" applyFont="1" applyBorder="1" applyAlignment="1">
      <alignment horizontal="center" vertical="center"/>
    </xf>
    <xf numFmtId="0" fontId="6" fillId="11" borderId="15" xfId="3" applyFont="1" applyFill="1" applyBorder="1" applyAlignment="1">
      <alignment horizontal="left"/>
    </xf>
    <xf numFmtId="10" fontId="6" fillId="11" borderId="0" xfId="3" applyNumberFormat="1" applyFont="1" applyFill="1" applyAlignment="1">
      <alignment horizontal="center"/>
    </xf>
    <xf numFmtId="0" fontId="6" fillId="11" borderId="0" xfId="3" applyFont="1" applyFill="1" applyAlignment="1">
      <alignment horizontal="center"/>
    </xf>
    <xf numFmtId="10" fontId="7" fillId="0" borderId="0" xfId="3" applyNumberFormat="1" applyFont="1" applyAlignment="1">
      <alignment horizontal="center" vertical="center"/>
    </xf>
    <xf numFmtId="0" fontId="7" fillId="0" borderId="0" xfId="3" applyFont="1" applyAlignment="1">
      <alignment horizontal="center" vertical="center"/>
    </xf>
    <xf numFmtId="0" fontId="7" fillId="0" borderId="8" xfId="3" applyFont="1" applyBorder="1" applyAlignment="1">
      <alignment horizontal="center" vertical="center"/>
    </xf>
    <xf numFmtId="0" fontId="6" fillId="11" borderId="0" xfId="3" applyFont="1" applyFill="1" applyAlignment="1">
      <alignment horizontal="center" vertical="center"/>
    </xf>
    <xf numFmtId="0" fontId="7" fillId="0" borderId="15" xfId="3" applyFont="1" applyBorder="1" applyAlignment="1">
      <alignment horizontal="left"/>
    </xf>
    <xf numFmtId="1" fontId="7" fillId="0" borderId="7" xfId="2" applyNumberFormat="1" applyFont="1" applyFill="1" applyBorder="1" applyAlignment="1">
      <alignment horizontal="center"/>
    </xf>
    <xf numFmtId="10" fontId="7" fillId="0" borderId="0" xfId="3" applyNumberFormat="1" applyFont="1" applyAlignment="1">
      <alignment horizontal="center"/>
    </xf>
    <xf numFmtId="1" fontId="6" fillId="6" borderId="7" xfId="3" applyNumberFormat="1" applyFont="1" applyFill="1" applyBorder="1" applyAlignment="1">
      <alignment horizontal="center"/>
    </xf>
    <xf numFmtId="0" fontId="6" fillId="11" borderId="10" xfId="3" applyFont="1" applyFill="1" applyBorder="1" applyAlignment="1">
      <alignment horizontal="left"/>
    </xf>
    <xf numFmtId="0" fontId="6" fillId="11" borderId="4" xfId="3" applyFont="1" applyFill="1" applyBorder="1" applyAlignment="1">
      <alignment horizontal="center"/>
    </xf>
    <xf numFmtId="0" fontId="6" fillId="11" borderId="13" xfId="3" applyFont="1" applyFill="1" applyBorder="1" applyAlignment="1">
      <alignment horizontal="left"/>
    </xf>
    <xf numFmtId="0" fontId="6" fillId="11" borderId="2" xfId="3" applyFont="1" applyFill="1" applyBorder="1" applyAlignment="1">
      <alignment horizontal="center"/>
    </xf>
    <xf numFmtId="10" fontId="8" fillId="0" borderId="11" xfId="3" applyNumberFormat="1" applyFont="1" applyBorder="1" applyAlignment="1">
      <alignment horizontal="center" vertical="center"/>
    </xf>
    <xf numFmtId="14" fontId="12" fillId="8" borderId="0" xfId="3" applyNumberFormat="1" applyFont="1" applyFill="1" applyAlignment="1">
      <alignment horizontal="center" vertical="center"/>
    </xf>
    <xf numFmtId="0" fontId="6" fillId="12" borderId="17" xfId="3" applyFont="1" applyFill="1" applyBorder="1" applyAlignment="1">
      <alignment horizontal="left" vertical="top"/>
    </xf>
    <xf numFmtId="10" fontId="6" fillId="12" borderId="0" xfId="3" applyNumberFormat="1" applyFont="1" applyFill="1" applyAlignment="1">
      <alignment horizontal="center" vertical="top"/>
    </xf>
    <xf numFmtId="10" fontId="6" fillId="6" borderId="7" xfId="2" applyNumberFormat="1" applyFont="1" applyFill="1" applyBorder="1" applyAlignment="1">
      <alignment horizontal="center" wrapText="1"/>
    </xf>
    <xf numFmtId="9" fontId="6" fillId="12" borderId="0" xfId="3" applyNumberFormat="1" applyFont="1" applyFill="1" applyAlignment="1">
      <alignment horizontal="center" vertical="top"/>
    </xf>
    <xf numFmtId="0" fontId="6" fillId="12" borderId="15" xfId="3" applyFont="1" applyFill="1" applyBorder="1" applyAlignment="1">
      <alignment horizontal="center" vertical="top"/>
    </xf>
    <xf numFmtId="0" fontId="6" fillId="12" borderId="0" xfId="3" applyFont="1" applyFill="1" applyAlignment="1">
      <alignment horizontal="center" vertical="top"/>
    </xf>
    <xf numFmtId="0" fontId="7" fillId="0" borderId="17" xfId="3" applyFont="1" applyBorder="1" applyAlignment="1">
      <alignment horizontal="left" vertical="top"/>
    </xf>
    <xf numFmtId="10" fontId="7" fillId="0" borderId="0" xfId="3" applyNumberFormat="1" applyFont="1" applyAlignment="1">
      <alignment horizontal="center" vertical="top"/>
    </xf>
    <xf numFmtId="9" fontId="7" fillId="0" borderId="0" xfId="3" applyNumberFormat="1" applyFont="1" applyAlignment="1">
      <alignment horizontal="center" vertical="top"/>
    </xf>
    <xf numFmtId="0" fontId="7" fillId="0" borderId="15" xfId="3" applyFont="1" applyBorder="1" applyAlignment="1">
      <alignment horizontal="center" vertical="top"/>
    </xf>
    <xf numFmtId="0" fontId="7" fillId="0" borderId="0" xfId="3" applyFont="1" applyAlignment="1">
      <alignment horizontal="center" vertical="top"/>
    </xf>
    <xf numFmtId="0" fontId="14" fillId="0" borderId="17" xfId="3" applyFont="1" applyBorder="1" applyAlignment="1">
      <alignment horizontal="left" vertical="top"/>
    </xf>
    <xf numFmtId="0" fontId="14" fillId="0" borderId="0" xfId="3" applyFont="1" applyAlignment="1">
      <alignment horizontal="center" vertical="top"/>
    </xf>
    <xf numFmtId="0" fontId="14" fillId="0" borderId="8" xfId="3" applyFont="1" applyBorder="1" applyAlignment="1">
      <alignment horizontal="center" vertical="center"/>
    </xf>
    <xf numFmtId="0" fontId="14" fillId="0" borderId="15" xfId="3" applyFont="1" applyBorder="1" applyAlignment="1">
      <alignment horizontal="center" vertical="top"/>
    </xf>
    <xf numFmtId="10" fontId="6" fillId="12" borderId="15" xfId="3" applyNumberFormat="1" applyFont="1" applyFill="1" applyBorder="1" applyAlignment="1">
      <alignment horizontal="center" vertical="top"/>
    </xf>
    <xf numFmtId="10" fontId="7" fillId="0" borderId="15" xfId="3" applyNumberFormat="1" applyFont="1" applyBorder="1" applyAlignment="1">
      <alignment horizontal="center" vertical="top"/>
    </xf>
    <xf numFmtId="10" fontId="15" fillId="6" borderId="7" xfId="2" applyNumberFormat="1" applyFont="1" applyFill="1" applyBorder="1" applyAlignment="1">
      <alignment horizontal="center"/>
    </xf>
    <xf numFmtId="1" fontId="6" fillId="6" borderId="7" xfId="2" applyNumberFormat="1" applyFont="1" applyFill="1" applyBorder="1" applyAlignment="1">
      <alignment horizontal="center"/>
    </xf>
    <xf numFmtId="0" fontId="7" fillId="0" borderId="0" xfId="3" applyFont="1" applyAlignment="1">
      <alignment horizontal="left" vertical="top"/>
    </xf>
    <xf numFmtId="1" fontId="7" fillId="0" borderId="8" xfId="2" applyNumberFormat="1" applyFont="1" applyFill="1" applyBorder="1" applyAlignment="1">
      <alignment horizontal="center"/>
    </xf>
    <xf numFmtId="10" fontId="6" fillId="6" borderId="12" xfId="2" applyNumberFormat="1" applyFont="1" applyFill="1" applyBorder="1" applyAlignment="1">
      <alignment horizontal="center" wrapText="1"/>
    </xf>
    <xf numFmtId="166" fontId="6" fillId="6" borderId="7" xfId="2" applyNumberFormat="1" applyFont="1" applyFill="1" applyBorder="1" applyAlignment="1">
      <alignment horizontal="center" wrapText="1"/>
    </xf>
    <xf numFmtId="0" fontId="8" fillId="0" borderId="17" xfId="3" applyFont="1" applyBorder="1" applyAlignment="1">
      <alignment horizontal="left" vertical="top"/>
    </xf>
    <xf numFmtId="0" fontId="8" fillId="0" borderId="0" xfId="3" applyFont="1" applyAlignment="1">
      <alignment horizontal="center" vertical="top"/>
    </xf>
    <xf numFmtId="0" fontId="8" fillId="0" borderId="15" xfId="3" applyFont="1" applyBorder="1" applyAlignment="1">
      <alignment horizontal="center" vertical="top"/>
    </xf>
    <xf numFmtId="10" fontId="8" fillId="0" borderId="0" xfId="3" applyNumberFormat="1" applyFont="1" applyAlignment="1">
      <alignment horizontal="center" vertical="top"/>
    </xf>
    <xf numFmtId="10" fontId="16" fillId="0" borderId="0" xfId="3" applyNumberFormat="1" applyFont="1" applyAlignment="1">
      <alignment horizontal="center" vertical="top"/>
    </xf>
    <xf numFmtId="0" fontId="6" fillId="13" borderId="17" xfId="3" applyFont="1" applyFill="1" applyBorder="1" applyAlignment="1">
      <alignment horizontal="left" vertical="top"/>
    </xf>
    <xf numFmtId="0" fontId="6" fillId="13" borderId="0" xfId="3" applyFont="1" applyFill="1" applyAlignment="1">
      <alignment horizontal="center" vertical="top"/>
    </xf>
    <xf numFmtId="166" fontId="6" fillId="6" borderId="12" xfId="2" applyNumberFormat="1" applyFont="1" applyFill="1" applyBorder="1" applyAlignment="1">
      <alignment horizontal="center" wrapText="1"/>
    </xf>
    <xf numFmtId="0" fontId="6" fillId="13" borderId="15" xfId="3" applyFont="1" applyFill="1" applyBorder="1" applyAlignment="1">
      <alignment horizontal="center" vertical="top"/>
    </xf>
    <xf numFmtId="0" fontId="17" fillId="13" borderId="0" xfId="3" applyFont="1" applyFill="1" applyAlignment="1">
      <alignment horizontal="center" vertical="top"/>
    </xf>
    <xf numFmtId="165" fontId="7" fillId="0" borderId="7" xfId="2" applyNumberFormat="1" applyFont="1" applyBorder="1" applyAlignment="1">
      <alignment horizontal="center"/>
    </xf>
    <xf numFmtId="1" fontId="7" fillId="0" borderId="7" xfId="2" applyNumberFormat="1" applyFont="1" applyBorder="1" applyAlignment="1">
      <alignment horizontal="center"/>
    </xf>
    <xf numFmtId="0" fontId="6" fillId="5" borderId="17" xfId="3" applyFont="1" applyFill="1" applyBorder="1" applyAlignment="1">
      <alignment horizontal="left" vertical="top"/>
    </xf>
    <xf numFmtId="0" fontId="6" fillId="5" borderId="0" xfId="3" applyFont="1" applyFill="1" applyAlignment="1">
      <alignment horizontal="center" vertical="top"/>
    </xf>
    <xf numFmtId="0" fontId="17" fillId="5" borderId="0" xfId="3" applyFont="1" applyFill="1" applyAlignment="1">
      <alignment horizontal="center" vertical="top"/>
    </xf>
    <xf numFmtId="0" fontId="6" fillId="5" borderId="15" xfId="3" applyFont="1" applyFill="1" applyBorder="1" applyAlignment="1">
      <alignment horizontal="center" vertical="top"/>
    </xf>
    <xf numFmtId="10" fontId="6" fillId="5" borderId="0" xfId="3" applyNumberFormat="1" applyFont="1" applyFill="1" applyAlignment="1">
      <alignment horizontal="center" vertical="top"/>
    </xf>
    <xf numFmtId="10" fontId="18" fillId="0" borderId="0" xfId="3" applyNumberFormat="1" applyFont="1" applyAlignment="1">
      <alignment horizontal="center" vertical="top"/>
    </xf>
    <xf numFmtId="0" fontId="6" fillId="12" borderId="10" xfId="3" applyFont="1" applyFill="1" applyBorder="1" applyAlignment="1">
      <alignment horizontal="left" vertical="top"/>
    </xf>
    <xf numFmtId="0" fontId="6" fillId="12" borderId="10" xfId="3" applyFont="1" applyFill="1" applyBorder="1" applyAlignment="1">
      <alignment horizontal="center" vertical="top"/>
    </xf>
    <xf numFmtId="0" fontId="6" fillId="12" borderId="4" xfId="3" applyFont="1" applyFill="1" applyBorder="1" applyAlignment="1">
      <alignment horizontal="center" vertical="top"/>
    </xf>
    <xf numFmtId="0" fontId="6" fillId="12" borderId="13" xfId="3" applyFont="1" applyFill="1" applyBorder="1" applyAlignment="1">
      <alignment horizontal="left" vertical="top"/>
    </xf>
    <xf numFmtId="0" fontId="6" fillId="12" borderId="13" xfId="3" applyFont="1" applyFill="1" applyBorder="1" applyAlignment="1">
      <alignment horizontal="center" vertical="top"/>
    </xf>
    <xf numFmtId="166" fontId="6" fillId="6" borderId="8" xfId="2" applyNumberFormat="1" applyFont="1" applyFill="1" applyBorder="1" applyAlignment="1">
      <alignment horizontal="center" wrapText="1"/>
    </xf>
    <xf numFmtId="0" fontId="6" fillId="12" borderId="2" xfId="3" applyFont="1" applyFill="1" applyBorder="1" applyAlignment="1">
      <alignment horizontal="center" vertical="top"/>
    </xf>
    <xf numFmtId="10" fontId="7" fillId="0" borderId="7" xfId="2" applyNumberFormat="1" applyFont="1" applyFill="1" applyBorder="1" applyAlignment="1">
      <alignment horizontal="center"/>
    </xf>
    <xf numFmtId="10" fontId="20" fillId="0" borderId="3" xfId="3" applyNumberFormat="1" applyFont="1" applyBorder="1" applyAlignment="1">
      <alignment horizontal="center" vertical="center"/>
    </xf>
    <xf numFmtId="9" fontId="6" fillId="11" borderId="0" xfId="3" applyNumberFormat="1" applyFont="1" applyFill="1" applyAlignment="1">
      <alignment horizontal="center"/>
    </xf>
    <xf numFmtId="10" fontId="6" fillId="6" borderId="0" xfId="3" applyNumberFormat="1" applyFont="1" applyFill="1" applyAlignment="1">
      <alignment horizontal="center" vertical="center"/>
    </xf>
    <xf numFmtId="9" fontId="6" fillId="6" borderId="0" xfId="2" applyFont="1" applyFill="1" applyBorder="1" applyAlignment="1">
      <alignment horizontal="center" vertical="center"/>
    </xf>
    <xf numFmtId="10" fontId="4" fillId="6" borderId="0" xfId="3" applyNumberFormat="1" applyFont="1" applyFill="1" applyAlignment="1">
      <alignment horizontal="center" vertical="center"/>
    </xf>
    <xf numFmtId="0" fontId="14" fillId="0" borderId="0" xfId="3" applyFont="1" applyAlignment="1">
      <alignment horizontal="center" vertical="center"/>
    </xf>
    <xf numFmtId="9" fontId="7" fillId="0" borderId="0" xfId="3" applyNumberFormat="1" applyFont="1" applyAlignment="1">
      <alignment horizontal="center" vertical="center"/>
    </xf>
    <xf numFmtId="10" fontId="14" fillId="0" borderId="0" xfId="3" applyNumberFormat="1" applyFont="1" applyAlignment="1">
      <alignment horizontal="center" vertical="center"/>
    </xf>
    <xf numFmtId="10" fontId="6" fillId="11" borderId="0" xfId="3" applyNumberFormat="1" applyFont="1" applyFill="1" applyAlignment="1">
      <alignment horizontal="center" vertical="center"/>
    </xf>
    <xf numFmtId="9" fontId="6" fillId="11" borderId="0" xfId="3" applyNumberFormat="1" applyFont="1" applyFill="1" applyAlignment="1">
      <alignment horizontal="center" vertical="center"/>
    </xf>
    <xf numFmtId="2" fontId="6" fillId="11" borderId="0" xfId="3" applyNumberFormat="1" applyFont="1" applyFill="1" applyAlignment="1">
      <alignment horizontal="center" vertical="center"/>
    </xf>
    <xf numFmtId="0" fontId="17" fillId="11" borderId="0" xfId="3" applyFont="1" applyFill="1" applyAlignment="1">
      <alignment horizontal="center" vertical="center"/>
    </xf>
    <xf numFmtId="0" fontId="14" fillId="0" borderId="0" xfId="3" applyFont="1" applyAlignment="1">
      <alignment horizontal="center"/>
    </xf>
    <xf numFmtId="9" fontId="7" fillId="0" borderId="0" xfId="3" applyNumberFormat="1" applyFont="1" applyAlignment="1">
      <alignment horizontal="center"/>
    </xf>
    <xf numFmtId="0" fontId="4" fillId="11" borderId="0" xfId="3" applyFont="1" applyFill="1" applyAlignment="1">
      <alignment horizontal="center"/>
    </xf>
    <xf numFmtId="9" fontId="7" fillId="0" borderId="0" xfId="2" applyFont="1" applyBorder="1" applyAlignment="1">
      <alignment horizontal="center"/>
    </xf>
    <xf numFmtId="10" fontId="14" fillId="0" borderId="0" xfId="3" applyNumberFormat="1" applyFont="1" applyAlignment="1">
      <alignment horizontal="center"/>
    </xf>
    <xf numFmtId="10" fontId="4" fillId="11" borderId="0" xfId="3" applyNumberFormat="1" applyFont="1" applyFill="1" applyAlignment="1">
      <alignment horizontal="center"/>
    </xf>
    <xf numFmtId="10" fontId="6" fillId="11" borderId="4" xfId="3" applyNumberFormat="1" applyFont="1" applyFill="1" applyBorder="1" applyAlignment="1">
      <alignment horizontal="center"/>
    </xf>
    <xf numFmtId="165" fontId="8" fillId="0" borderId="14" xfId="2" applyNumberFormat="1" applyFont="1" applyFill="1" applyBorder="1" applyAlignment="1">
      <alignment horizontal="center" wrapText="1"/>
    </xf>
    <xf numFmtId="9" fontId="8" fillId="0" borderId="14" xfId="2" applyFont="1" applyFill="1" applyBorder="1" applyAlignment="1">
      <alignment horizontal="center" wrapText="1"/>
    </xf>
    <xf numFmtId="0" fontId="4" fillId="3" borderId="11" xfId="3" applyFont="1" applyFill="1" applyBorder="1" applyAlignment="1">
      <alignment horizontal="center" vertical="center" wrapText="1"/>
    </xf>
    <xf numFmtId="0" fontId="6" fillId="6" borderId="7" xfId="3" applyFont="1" applyFill="1" applyBorder="1" applyAlignment="1">
      <alignment wrapText="1"/>
    </xf>
    <xf numFmtId="10" fontId="6" fillId="6" borderId="0" xfId="3" applyNumberFormat="1" applyFont="1" applyFill="1" applyAlignment="1">
      <alignment horizontal="center" wrapText="1"/>
    </xf>
    <xf numFmtId="0" fontId="6" fillId="6" borderId="0" xfId="3" applyFont="1" applyFill="1" applyAlignment="1">
      <alignment horizontal="center" wrapText="1"/>
    </xf>
    <xf numFmtId="0" fontId="6" fillId="6" borderId="7" xfId="3" applyFont="1" applyFill="1" applyBorder="1" applyAlignment="1">
      <alignment horizontal="left" wrapText="1"/>
    </xf>
    <xf numFmtId="9" fontId="6" fillId="6" borderId="0" xfId="3" applyNumberFormat="1" applyFont="1" applyFill="1" applyAlignment="1">
      <alignment horizontal="center" wrapText="1"/>
    </xf>
    <xf numFmtId="0" fontId="7" fillId="0" borderId="7" xfId="3" applyFont="1" applyBorder="1" applyAlignment="1">
      <alignment wrapText="1"/>
    </xf>
    <xf numFmtId="10" fontId="7" fillId="0" borderId="0" xfId="3" applyNumberFormat="1" applyFont="1" applyAlignment="1">
      <alignment horizontal="center" wrapText="1"/>
    </xf>
    <xf numFmtId="10" fontId="7" fillId="8" borderId="7" xfId="2" applyNumberFormat="1" applyFont="1" applyFill="1" applyBorder="1" applyAlignment="1">
      <alignment horizontal="center" wrapText="1"/>
    </xf>
    <xf numFmtId="0" fontId="7" fillId="0" borderId="0" xfId="3" applyFont="1" applyAlignment="1">
      <alignment horizontal="center" wrapText="1"/>
    </xf>
    <xf numFmtId="9" fontId="7" fillId="0" borderId="0" xfId="3" applyNumberFormat="1" applyFont="1" applyAlignment="1">
      <alignment horizontal="center" wrapText="1"/>
    </xf>
    <xf numFmtId="165" fontId="7" fillId="0" borderId="7" xfId="2" applyNumberFormat="1" applyFont="1" applyFill="1" applyBorder="1" applyAlignment="1">
      <alignment horizontal="center" wrapText="1"/>
    </xf>
    <xf numFmtId="2" fontId="7" fillId="0" borderId="8" xfId="3" applyNumberFormat="1" applyFont="1" applyBorder="1" applyAlignment="1">
      <alignment horizontal="center" wrapText="1"/>
    </xf>
    <xf numFmtId="0" fontId="6" fillId="5" borderId="7" xfId="3" applyFont="1" applyFill="1" applyBorder="1" applyAlignment="1">
      <alignment wrapText="1"/>
    </xf>
    <xf numFmtId="0" fontId="6" fillId="5" borderId="0" xfId="3" applyFont="1" applyFill="1" applyAlignment="1">
      <alignment horizontal="center" wrapText="1"/>
    </xf>
    <xf numFmtId="10" fontId="6" fillId="5" borderId="0" xfId="3" applyNumberFormat="1" applyFont="1" applyFill="1" applyAlignment="1">
      <alignment horizontal="center" wrapText="1"/>
    </xf>
    <xf numFmtId="9" fontId="6" fillId="5" borderId="0" xfId="3" applyNumberFormat="1" applyFont="1" applyFill="1" applyAlignment="1">
      <alignment horizontal="center" wrapText="1"/>
    </xf>
    <xf numFmtId="10" fontId="7" fillId="0" borderId="8" xfId="2" applyNumberFormat="1" applyFont="1" applyBorder="1" applyAlignment="1">
      <alignment horizontal="center" wrapText="1"/>
    </xf>
    <xf numFmtId="0" fontId="15" fillId="6" borderId="7" xfId="3" applyFont="1" applyFill="1" applyBorder="1" applyAlignment="1">
      <alignment horizontal="center"/>
    </xf>
    <xf numFmtId="10" fontId="17" fillId="5" borderId="0" xfId="3" applyNumberFormat="1" applyFont="1" applyFill="1" applyAlignment="1">
      <alignment horizontal="center" wrapText="1"/>
    </xf>
    <xf numFmtId="0" fontId="6" fillId="5" borderId="12" xfId="3" applyFont="1" applyFill="1" applyBorder="1" applyAlignment="1">
      <alignment wrapText="1"/>
    </xf>
    <xf numFmtId="0" fontId="6" fillId="5" borderId="4" xfId="3" applyFont="1" applyFill="1" applyBorder="1" applyAlignment="1">
      <alignment horizontal="center" wrapText="1"/>
    </xf>
    <xf numFmtId="0" fontId="6" fillId="5" borderId="8" xfId="3" applyFont="1" applyFill="1" applyBorder="1" applyAlignment="1">
      <alignment wrapText="1"/>
    </xf>
    <xf numFmtId="0" fontId="6" fillId="5" borderId="2" xfId="3" applyFont="1" applyFill="1" applyBorder="1" applyAlignment="1">
      <alignment horizontal="center" wrapText="1"/>
    </xf>
    <xf numFmtId="2" fontId="7" fillId="0" borderId="7" xfId="3" applyNumberFormat="1" applyFont="1" applyBorder="1" applyAlignment="1">
      <alignment horizontal="center" wrapText="1"/>
    </xf>
    <xf numFmtId="2" fontId="7" fillId="0" borderId="7" xfId="2" applyNumberFormat="1" applyFont="1" applyFill="1" applyBorder="1" applyAlignment="1">
      <alignment horizontal="center" wrapText="1"/>
    </xf>
    <xf numFmtId="2" fontId="7" fillId="0" borderId="0" xfId="2" applyNumberFormat="1" applyFont="1" applyAlignment="1">
      <alignment horizontal="center" wrapText="1"/>
    </xf>
    <xf numFmtId="0" fontId="7" fillId="0" borderId="9" xfId="3" applyFont="1" applyBorder="1" applyAlignment="1">
      <alignment wrapText="1"/>
    </xf>
    <xf numFmtId="2" fontId="7" fillId="0" borderId="8" xfId="2" applyNumberFormat="1" applyFont="1" applyFill="1" applyBorder="1" applyAlignment="1">
      <alignment horizontal="center" wrapText="1"/>
    </xf>
    <xf numFmtId="10" fontId="6" fillId="5" borderId="4" xfId="3" applyNumberFormat="1" applyFont="1" applyFill="1" applyBorder="1" applyAlignment="1">
      <alignment horizontal="center" wrapText="1"/>
    </xf>
    <xf numFmtId="9" fontId="6" fillId="5" borderId="4" xfId="3" applyNumberFormat="1" applyFont="1" applyFill="1" applyBorder="1" applyAlignment="1">
      <alignment horizontal="center" wrapText="1"/>
    </xf>
    <xf numFmtId="2" fontId="7" fillId="0" borderId="0" xfId="3" applyNumberFormat="1" applyFont="1" applyAlignment="1">
      <alignment horizontal="center" wrapText="1"/>
    </xf>
    <xf numFmtId="10" fontId="6" fillId="11" borderId="10" xfId="3" applyNumberFormat="1" applyFont="1" applyFill="1" applyBorder="1" applyAlignment="1">
      <alignment horizontal="center"/>
    </xf>
    <xf numFmtId="0" fontId="6" fillId="11" borderId="10" xfId="3" applyFont="1" applyFill="1" applyBorder="1" applyAlignment="1">
      <alignment horizontal="center"/>
    </xf>
    <xf numFmtId="9" fontId="6" fillId="11" borderId="10" xfId="3" applyNumberFormat="1" applyFont="1" applyFill="1" applyBorder="1" applyAlignment="1">
      <alignment horizontal="center"/>
    </xf>
    <xf numFmtId="10" fontId="6" fillId="11" borderId="15" xfId="3" applyNumberFormat="1" applyFont="1" applyFill="1" applyBorder="1" applyAlignment="1">
      <alignment horizontal="center"/>
    </xf>
    <xf numFmtId="0" fontId="6" fillId="11" borderId="15" xfId="3" applyFont="1" applyFill="1" applyBorder="1" applyAlignment="1">
      <alignment horizontal="center"/>
    </xf>
    <xf numFmtId="9" fontId="6" fillId="11" borderId="15" xfId="3" applyNumberFormat="1" applyFont="1" applyFill="1" applyBorder="1" applyAlignment="1">
      <alignment horizontal="center"/>
    </xf>
    <xf numFmtId="0" fontId="3" fillId="8" borderId="15" xfId="3" applyFont="1" applyFill="1" applyBorder="1" applyAlignment="1">
      <alignment horizontal="left"/>
    </xf>
    <xf numFmtId="10" fontId="3" fillId="8" borderId="15" xfId="3" applyNumberFormat="1" applyFont="1" applyFill="1" applyBorder="1" applyAlignment="1">
      <alignment horizontal="center"/>
    </xf>
    <xf numFmtId="10" fontId="3" fillId="8" borderId="7" xfId="2" applyNumberFormat="1" applyFont="1" applyFill="1" applyBorder="1" applyAlignment="1">
      <alignment horizontal="center"/>
    </xf>
    <xf numFmtId="0" fontId="3" fillId="8" borderId="15" xfId="3" applyFont="1" applyFill="1" applyBorder="1" applyAlignment="1">
      <alignment horizontal="center"/>
    </xf>
    <xf numFmtId="9" fontId="3" fillId="8" borderId="15" xfId="3" applyNumberFormat="1" applyFont="1" applyFill="1" applyBorder="1" applyAlignment="1">
      <alignment horizontal="center"/>
    </xf>
    <xf numFmtId="0" fontId="3" fillId="8" borderId="13" xfId="3" applyFont="1" applyFill="1" applyBorder="1" applyAlignment="1">
      <alignment horizontal="left"/>
    </xf>
    <xf numFmtId="10" fontId="3" fillId="8" borderId="13" xfId="3" applyNumberFormat="1" applyFont="1" applyFill="1" applyBorder="1" applyAlignment="1">
      <alignment horizontal="center"/>
    </xf>
    <xf numFmtId="10" fontId="3" fillId="8" borderId="8" xfId="2" applyNumberFormat="1" applyFont="1" applyFill="1" applyBorder="1" applyAlignment="1">
      <alignment horizontal="center"/>
    </xf>
    <xf numFmtId="0" fontId="3" fillId="8" borderId="13" xfId="3" applyFont="1" applyFill="1" applyBorder="1" applyAlignment="1">
      <alignment horizontal="center"/>
    </xf>
    <xf numFmtId="9" fontId="3" fillId="8" borderId="13" xfId="3" applyNumberFormat="1" applyFont="1" applyFill="1" applyBorder="1" applyAlignment="1">
      <alignment horizontal="center"/>
    </xf>
    <xf numFmtId="0" fontId="4" fillId="3" borderId="0" xfId="3" applyFont="1" applyFill="1" applyAlignment="1">
      <alignment horizontal="center" vertical="center"/>
    </xf>
    <xf numFmtId="0" fontId="15" fillId="11" borderId="5" xfId="3" applyFont="1" applyFill="1" applyBorder="1" applyAlignment="1">
      <alignment horizontal="left"/>
    </xf>
    <xf numFmtId="0" fontId="15" fillId="11" borderId="5" xfId="3" applyFont="1" applyFill="1" applyBorder="1" applyAlignment="1">
      <alignment horizontal="center"/>
    </xf>
    <xf numFmtId="10" fontId="15" fillId="6" borderId="14" xfId="2" applyNumberFormat="1" applyFont="1" applyFill="1" applyBorder="1" applyAlignment="1">
      <alignment horizontal="center"/>
    </xf>
    <xf numFmtId="10" fontId="15" fillId="11" borderId="5" xfId="3" applyNumberFormat="1" applyFont="1" applyFill="1" applyBorder="1" applyAlignment="1">
      <alignment horizontal="center"/>
    </xf>
    <xf numFmtId="0" fontId="15" fillId="11" borderId="10" xfId="3" applyFont="1" applyFill="1" applyBorder="1" applyAlignment="1">
      <alignment horizontal="left"/>
    </xf>
    <xf numFmtId="0" fontId="15" fillId="11" borderId="10" xfId="3" applyFont="1" applyFill="1" applyBorder="1" applyAlignment="1">
      <alignment horizontal="center"/>
    </xf>
    <xf numFmtId="0" fontId="15" fillId="6" borderId="12" xfId="3" applyFont="1" applyFill="1" applyBorder="1" applyAlignment="1">
      <alignment horizontal="center"/>
    </xf>
    <xf numFmtId="0" fontId="15" fillId="11" borderId="15" xfId="3" applyFont="1" applyFill="1" applyBorder="1" applyAlignment="1">
      <alignment horizontal="left"/>
    </xf>
    <xf numFmtId="10" fontId="15" fillId="11" borderId="15" xfId="3" applyNumberFormat="1" applyFont="1" applyFill="1" applyBorder="1" applyAlignment="1">
      <alignment horizontal="center"/>
    </xf>
    <xf numFmtId="9" fontId="15" fillId="11" borderId="15" xfId="3" applyNumberFormat="1" applyFont="1" applyFill="1" applyBorder="1" applyAlignment="1">
      <alignment horizontal="center"/>
    </xf>
    <xf numFmtId="0" fontId="15" fillId="11" borderId="15" xfId="3" applyFont="1" applyFill="1" applyBorder="1" applyAlignment="1">
      <alignment horizontal="center"/>
    </xf>
    <xf numFmtId="0" fontId="15" fillId="6" borderId="15" xfId="3" applyFont="1" applyFill="1" applyBorder="1" applyAlignment="1">
      <alignment horizontal="left"/>
    </xf>
    <xf numFmtId="10" fontId="15" fillId="6" borderId="15" xfId="3" applyNumberFormat="1" applyFont="1" applyFill="1" applyBorder="1" applyAlignment="1">
      <alignment horizontal="center"/>
    </xf>
    <xf numFmtId="0" fontId="15" fillId="6" borderId="15" xfId="3" applyFont="1" applyFill="1" applyBorder="1" applyAlignment="1">
      <alignment horizontal="center"/>
    </xf>
    <xf numFmtId="0" fontId="7" fillId="8" borderId="13" xfId="3" applyFont="1" applyFill="1" applyBorder="1" applyAlignment="1">
      <alignment horizontal="left"/>
    </xf>
    <xf numFmtId="10" fontId="7" fillId="8" borderId="13" xfId="3" applyNumberFormat="1" applyFont="1" applyFill="1" applyBorder="1" applyAlignment="1">
      <alignment horizontal="center"/>
    </xf>
    <xf numFmtId="9" fontId="7" fillId="8" borderId="8" xfId="2" applyFont="1" applyFill="1" applyBorder="1" applyAlignment="1">
      <alignment horizontal="center"/>
    </xf>
    <xf numFmtId="9" fontId="7" fillId="8" borderId="13" xfId="3" applyNumberFormat="1" applyFont="1" applyFill="1" applyBorder="1" applyAlignment="1">
      <alignment horizontal="center"/>
    </xf>
    <xf numFmtId="0" fontId="7" fillId="8" borderId="13" xfId="3" applyFont="1" applyFill="1" applyBorder="1" applyAlignment="1">
      <alignment horizontal="center"/>
    </xf>
    <xf numFmtId="10" fontId="7" fillId="8" borderId="8" xfId="2" applyNumberFormat="1" applyFont="1" applyFill="1" applyBorder="1" applyAlignment="1">
      <alignment horizontal="center"/>
    </xf>
    <xf numFmtId="1" fontId="6" fillId="6" borderId="12" xfId="3" applyNumberFormat="1" applyFont="1" applyFill="1" applyBorder="1" applyAlignment="1">
      <alignment horizontal="center"/>
    </xf>
    <xf numFmtId="0" fontId="7" fillId="8" borderId="15" xfId="3" applyFont="1" applyFill="1" applyBorder="1" applyAlignment="1">
      <alignment horizontal="left"/>
    </xf>
    <xf numFmtId="0" fontId="7" fillId="8" borderId="15" xfId="3" applyFont="1" applyFill="1" applyBorder="1" applyAlignment="1">
      <alignment horizontal="center"/>
    </xf>
    <xf numFmtId="1" fontId="7" fillId="8" borderId="7" xfId="3" applyNumberFormat="1" applyFont="1" applyFill="1" applyBorder="1" applyAlignment="1">
      <alignment horizontal="center"/>
    </xf>
    <xf numFmtId="10" fontId="7" fillId="8" borderId="15" xfId="3" applyNumberFormat="1" applyFont="1" applyFill="1" applyBorder="1" applyAlignment="1">
      <alignment horizontal="center"/>
    </xf>
    <xf numFmtId="9" fontId="6" fillId="6" borderId="7" xfId="2" applyFont="1" applyFill="1" applyBorder="1" applyAlignment="1">
      <alignment horizontal="center"/>
    </xf>
    <xf numFmtId="0" fontId="7" fillId="0" borderId="15" xfId="3" applyFont="1" applyBorder="1" applyAlignment="1">
      <alignment horizontal="center"/>
    </xf>
    <xf numFmtId="10" fontId="7" fillId="0" borderId="8" xfId="2" applyNumberFormat="1" applyFont="1" applyFill="1" applyBorder="1" applyAlignment="1">
      <alignment horizontal="center"/>
    </xf>
    <xf numFmtId="10" fontId="7" fillId="0" borderId="15" xfId="3" applyNumberFormat="1" applyFont="1" applyBorder="1" applyAlignment="1">
      <alignment horizontal="center"/>
    </xf>
    <xf numFmtId="9" fontId="7" fillId="0" borderId="15" xfId="3" applyNumberFormat="1" applyFont="1" applyBorder="1" applyAlignment="1">
      <alignment horizontal="center"/>
    </xf>
    <xf numFmtId="167" fontId="6" fillId="6" borderId="12" xfId="3" applyNumberFormat="1" applyFont="1" applyFill="1" applyBorder="1" applyAlignment="1">
      <alignment horizontal="center"/>
    </xf>
    <xf numFmtId="0" fontId="6" fillId="11" borderId="13" xfId="3" applyFont="1" applyFill="1" applyBorder="1" applyAlignment="1">
      <alignment horizontal="center"/>
    </xf>
    <xf numFmtId="167" fontId="6" fillId="6" borderId="8" xfId="3" applyNumberFormat="1" applyFont="1" applyFill="1" applyBorder="1" applyAlignment="1">
      <alignment horizontal="center"/>
    </xf>
    <xf numFmtId="10" fontId="8" fillId="0" borderId="3" xfId="3" applyNumberFormat="1" applyFont="1" applyBorder="1" applyAlignment="1">
      <alignment horizontal="center"/>
    </xf>
    <xf numFmtId="0" fontId="6" fillId="6" borderId="17" xfId="3" applyFont="1" applyFill="1" applyBorder="1" applyAlignment="1">
      <alignment horizontal="left"/>
    </xf>
    <xf numFmtId="10" fontId="6" fillId="6" borderId="0" xfId="3" applyNumberFormat="1" applyFont="1" applyFill="1" applyAlignment="1">
      <alignment horizontal="center"/>
    </xf>
    <xf numFmtId="0" fontId="6" fillId="6" borderId="0" xfId="3" applyFont="1" applyFill="1" applyAlignment="1">
      <alignment horizontal="center"/>
    </xf>
    <xf numFmtId="0" fontId="8" fillId="0" borderId="17" xfId="3" applyFont="1" applyBorder="1" applyAlignment="1">
      <alignment horizontal="left"/>
    </xf>
    <xf numFmtId="10" fontId="8" fillId="0" borderId="0" xfId="3" applyNumberFormat="1" applyFont="1" applyAlignment="1">
      <alignment horizontal="center"/>
    </xf>
    <xf numFmtId="9" fontId="8" fillId="0" borderId="0" xfId="3" applyNumberFormat="1" applyFont="1" applyAlignment="1">
      <alignment horizontal="center"/>
    </xf>
    <xf numFmtId="0" fontId="8" fillId="0" borderId="0" xfId="3" applyFont="1" applyAlignment="1">
      <alignment horizontal="center"/>
    </xf>
    <xf numFmtId="0" fontId="8" fillId="0" borderId="17" xfId="3" applyFont="1" applyBorder="1" applyAlignment="1">
      <alignment horizontal="center"/>
    </xf>
    <xf numFmtId="0" fontId="8" fillId="0" borderId="8" xfId="3" applyFont="1" applyBorder="1" applyAlignment="1">
      <alignment horizontal="center"/>
    </xf>
    <xf numFmtId="0" fontId="6" fillId="15" borderId="17" xfId="3" applyFont="1" applyFill="1" applyBorder="1" applyAlignment="1">
      <alignment horizontal="left"/>
    </xf>
    <xf numFmtId="10" fontId="6" fillId="15" borderId="0" xfId="3" applyNumberFormat="1" applyFont="1" applyFill="1" applyAlignment="1">
      <alignment horizontal="center"/>
    </xf>
    <xf numFmtId="0" fontId="6" fillId="15" borderId="0" xfId="3" applyFont="1" applyFill="1" applyAlignment="1">
      <alignment horizontal="center"/>
    </xf>
    <xf numFmtId="9" fontId="6" fillId="15" borderId="0" xfId="3" applyNumberFormat="1" applyFont="1" applyFill="1" applyAlignment="1">
      <alignment horizontal="center"/>
    </xf>
    <xf numFmtId="0" fontId="6" fillId="15" borderId="10" xfId="3" applyFont="1" applyFill="1" applyBorder="1" applyAlignment="1">
      <alignment horizontal="left"/>
    </xf>
    <xf numFmtId="0" fontId="6" fillId="15" borderId="4" xfId="3" applyFont="1" applyFill="1" applyBorder="1" applyAlignment="1">
      <alignment horizontal="center"/>
    </xf>
    <xf numFmtId="0" fontId="6" fillId="15" borderId="15" xfId="3" applyFont="1" applyFill="1" applyBorder="1" applyAlignment="1">
      <alignment horizontal="left"/>
    </xf>
    <xf numFmtId="10" fontId="4" fillId="15" borderId="0" xfId="3" applyNumberFormat="1" applyFont="1" applyFill="1" applyAlignment="1">
      <alignment horizontal="center"/>
    </xf>
    <xf numFmtId="0" fontId="8" fillId="0" borderId="15" xfId="3" applyFont="1" applyBorder="1" applyAlignment="1">
      <alignment horizontal="left"/>
    </xf>
    <xf numFmtId="0" fontId="8" fillId="0" borderId="13" xfId="3" applyFont="1" applyBorder="1" applyAlignment="1">
      <alignment horizontal="center"/>
    </xf>
    <xf numFmtId="0" fontId="8" fillId="0" borderId="2" xfId="3" applyFont="1" applyBorder="1" applyAlignment="1">
      <alignment horizontal="center"/>
    </xf>
    <xf numFmtId="0" fontId="6" fillId="15" borderId="10" xfId="3" applyFont="1" applyFill="1" applyBorder="1" applyAlignment="1">
      <alignment horizontal="center"/>
    </xf>
    <xf numFmtId="0" fontId="6" fillId="15" borderId="21" xfId="3" applyFont="1" applyFill="1" applyBorder="1" applyAlignment="1">
      <alignment horizontal="left"/>
    </xf>
    <xf numFmtId="0" fontId="6" fillId="15" borderId="13" xfId="3" applyFont="1" applyFill="1" applyBorder="1" applyAlignment="1">
      <alignment horizontal="center"/>
    </xf>
    <xf numFmtId="0" fontId="6" fillId="15" borderId="2" xfId="3" applyFont="1" applyFill="1" applyBorder="1" applyAlignment="1">
      <alignment horizontal="center"/>
    </xf>
    <xf numFmtId="9" fontId="6" fillId="5" borderId="0" xfId="3" applyNumberFormat="1" applyFont="1" applyFill="1" applyAlignment="1">
      <alignment horizontal="center" vertical="top"/>
    </xf>
    <xf numFmtId="10" fontId="10" fillId="0" borderId="14" xfId="3" applyNumberFormat="1" applyFont="1" applyBorder="1" applyAlignment="1">
      <alignment horizontal="center" vertical="center"/>
    </xf>
    <xf numFmtId="10" fontId="6" fillId="11" borderId="14" xfId="3" applyNumberFormat="1" applyFont="1" applyFill="1" applyBorder="1" applyAlignment="1">
      <alignment horizontal="center"/>
    </xf>
    <xf numFmtId="10" fontId="6" fillId="6" borderId="14" xfId="2" applyNumberFormat="1" applyFont="1" applyFill="1" applyBorder="1" applyAlignment="1">
      <alignment horizontal="center"/>
    </xf>
    <xf numFmtId="10" fontId="6" fillId="6" borderId="14" xfId="3" applyNumberFormat="1" applyFont="1" applyFill="1" applyBorder="1" applyAlignment="1">
      <alignment horizontal="center" vertical="center"/>
    </xf>
    <xf numFmtId="10" fontId="7" fillId="0" borderId="14" xfId="3" applyNumberFormat="1" applyFont="1" applyBorder="1" applyAlignment="1">
      <alignment horizontal="center" vertical="center"/>
    </xf>
    <xf numFmtId="10" fontId="7" fillId="8" borderId="14" xfId="2" applyNumberFormat="1" applyFont="1" applyFill="1" applyBorder="1" applyAlignment="1">
      <alignment horizontal="center"/>
    </xf>
    <xf numFmtId="0" fontId="3" fillId="0" borderId="14" xfId="3" applyFont="1" applyBorder="1" applyAlignment="1">
      <alignment horizontal="center"/>
    </xf>
    <xf numFmtId="2" fontId="7" fillId="0" borderId="14" xfId="3" applyNumberFormat="1" applyFont="1" applyBorder="1" applyAlignment="1">
      <alignment horizontal="center"/>
    </xf>
    <xf numFmtId="0" fontId="7" fillId="0" borderId="14" xfId="3" applyFont="1" applyBorder="1" applyAlignment="1">
      <alignment horizontal="center" vertical="center"/>
    </xf>
    <xf numFmtId="10" fontId="6" fillId="11" borderId="14" xfId="3" applyNumberFormat="1" applyFont="1" applyFill="1" applyBorder="1" applyAlignment="1">
      <alignment horizontal="center" vertical="center"/>
    </xf>
    <xf numFmtId="0" fontId="6" fillId="11" borderId="14" xfId="3" applyFont="1" applyFill="1" applyBorder="1" applyAlignment="1">
      <alignment horizontal="center" vertical="center"/>
    </xf>
    <xf numFmtId="2" fontId="6" fillId="6" borderId="14" xfId="3" applyNumberFormat="1" applyFont="1" applyFill="1" applyBorder="1" applyAlignment="1">
      <alignment horizontal="center"/>
    </xf>
    <xf numFmtId="166" fontId="6" fillId="6" borderId="14" xfId="2" applyNumberFormat="1" applyFont="1" applyFill="1" applyBorder="1" applyAlignment="1">
      <alignment horizontal="center"/>
    </xf>
    <xf numFmtId="0" fontId="7" fillId="0" borderId="14" xfId="3" applyFont="1" applyBorder="1" applyAlignment="1">
      <alignment horizontal="center"/>
    </xf>
    <xf numFmtId="1" fontId="7" fillId="0" borderId="14" xfId="2" applyNumberFormat="1" applyFont="1" applyFill="1" applyBorder="1" applyAlignment="1">
      <alignment horizontal="center"/>
    </xf>
    <xf numFmtId="10" fontId="7" fillId="0" borderId="14" xfId="3" applyNumberFormat="1" applyFont="1" applyBorder="1" applyAlignment="1">
      <alignment horizontal="center"/>
    </xf>
    <xf numFmtId="165" fontId="7" fillId="0" borderId="14" xfId="2" applyNumberFormat="1" applyFont="1" applyFill="1" applyBorder="1" applyAlignment="1">
      <alignment horizontal="center"/>
    </xf>
    <xf numFmtId="166" fontId="7" fillId="0" borderId="14" xfId="2" applyNumberFormat="1" applyFont="1" applyFill="1" applyBorder="1" applyAlignment="1">
      <alignment horizontal="center"/>
    </xf>
    <xf numFmtId="9" fontId="7" fillId="0" borderId="14" xfId="3" applyNumberFormat="1" applyFont="1" applyBorder="1" applyAlignment="1">
      <alignment horizontal="center"/>
    </xf>
    <xf numFmtId="0" fontId="6" fillId="11" borderId="14" xfId="3" applyFont="1" applyFill="1" applyBorder="1" applyAlignment="1">
      <alignment horizontal="center"/>
    </xf>
    <xf numFmtId="1" fontId="6" fillId="6" borderId="14" xfId="3" applyNumberFormat="1" applyFont="1" applyFill="1" applyBorder="1" applyAlignment="1">
      <alignment horizontal="center"/>
    </xf>
    <xf numFmtId="9" fontId="6" fillId="11" borderId="14" xfId="3" applyNumberFormat="1" applyFont="1" applyFill="1" applyBorder="1" applyAlignment="1">
      <alignment horizontal="center"/>
    </xf>
    <xf numFmtId="9" fontId="7" fillId="0" borderId="14" xfId="3" applyNumberFormat="1" applyFont="1" applyBorder="1" applyAlignment="1">
      <alignment horizontal="center" vertical="center"/>
    </xf>
    <xf numFmtId="2" fontId="6" fillId="11" borderId="14" xfId="3" applyNumberFormat="1" applyFont="1" applyFill="1" applyBorder="1" applyAlignment="1">
      <alignment horizontal="center"/>
    </xf>
    <xf numFmtId="9" fontId="6" fillId="11" borderId="14" xfId="3" applyNumberFormat="1" applyFont="1" applyFill="1" applyBorder="1" applyAlignment="1">
      <alignment horizontal="center" vertical="center"/>
    </xf>
    <xf numFmtId="0" fontId="9" fillId="10" borderId="14" xfId="3" applyFont="1" applyFill="1" applyBorder="1" applyAlignment="1">
      <alignment horizontal="left" vertical="center"/>
    </xf>
    <xf numFmtId="0" fontId="4" fillId="3" borderId="14" xfId="3" applyFont="1" applyFill="1" applyBorder="1" applyAlignment="1">
      <alignment horizontal="center" vertical="center"/>
    </xf>
    <xf numFmtId="0" fontId="6" fillId="11" borderId="14" xfId="3" applyFont="1" applyFill="1" applyBorder="1" applyAlignment="1">
      <alignment horizontal="left"/>
    </xf>
    <xf numFmtId="0" fontId="6" fillId="6" borderId="14" xfId="3" applyFont="1" applyFill="1" applyBorder="1" applyAlignment="1">
      <alignment horizontal="left" vertical="center"/>
    </xf>
    <xf numFmtId="0" fontId="7" fillId="0" borderId="14" xfId="3" applyFont="1" applyBorder="1" applyAlignment="1">
      <alignment horizontal="left" vertical="center"/>
    </xf>
    <xf numFmtId="0" fontId="6" fillId="11" borderId="14" xfId="3" applyFont="1" applyFill="1" applyBorder="1" applyAlignment="1">
      <alignment horizontal="left" vertical="center"/>
    </xf>
    <xf numFmtId="0" fontId="7" fillId="0" borderId="14" xfId="3" applyFont="1" applyBorder="1" applyAlignment="1">
      <alignment horizontal="left"/>
    </xf>
    <xf numFmtId="165" fontId="6" fillId="5" borderId="4" xfId="3" applyNumberFormat="1" applyFont="1" applyFill="1" applyBorder="1" applyAlignment="1">
      <alignment horizontal="center" wrapText="1"/>
    </xf>
    <xf numFmtId="9" fontId="8" fillId="0" borderId="0" xfId="3" applyNumberFormat="1" applyFont="1" applyAlignment="1">
      <alignment horizontal="center" vertical="top"/>
    </xf>
    <xf numFmtId="9" fontId="6" fillId="6" borderId="0" xfId="3" applyNumberFormat="1" applyFont="1" applyFill="1" applyAlignment="1">
      <alignment horizontal="center"/>
    </xf>
    <xf numFmtId="0" fontId="6" fillId="6" borderId="14" xfId="3" applyFont="1" applyFill="1" applyBorder="1" applyAlignment="1">
      <alignment horizontal="center" vertical="center"/>
    </xf>
    <xf numFmtId="0" fontId="11" fillId="2" borderId="1" xfId="3" applyFont="1" applyFill="1" applyBorder="1" applyAlignment="1">
      <alignment horizontal="left" vertical="center"/>
    </xf>
    <xf numFmtId="0" fontId="9" fillId="14" borderId="19" xfId="3" applyFont="1" applyFill="1" applyBorder="1" applyAlignment="1">
      <alignment horizontal="left"/>
    </xf>
    <xf numFmtId="0" fontId="9" fillId="10" borderId="12" xfId="3" applyFont="1" applyFill="1" applyBorder="1" applyAlignment="1">
      <alignment horizontal="left" wrapText="1"/>
    </xf>
    <xf numFmtId="9" fontId="7" fillId="8" borderId="15" xfId="3" applyNumberFormat="1" applyFont="1" applyFill="1" applyBorder="1" applyAlignment="1">
      <alignment horizontal="center"/>
    </xf>
    <xf numFmtId="9" fontId="6" fillId="11" borderId="14" xfId="2" applyFont="1" applyFill="1" applyBorder="1" applyAlignment="1">
      <alignment horizontal="center" vertical="center"/>
    </xf>
    <xf numFmtId="9" fontId="7" fillId="0" borderId="14" xfId="2" applyFont="1" applyBorder="1" applyAlignment="1">
      <alignment horizontal="center" vertical="center"/>
    </xf>
    <xf numFmtId="0" fontId="0" fillId="0" borderId="14" xfId="0" applyBorder="1"/>
    <xf numFmtId="2" fontId="6" fillId="15" borderId="15" xfId="3" applyNumberFormat="1" applyFont="1" applyFill="1" applyBorder="1" applyAlignment="1">
      <alignment horizontal="left"/>
    </xf>
    <xf numFmtId="2" fontId="6" fillId="15" borderId="0" xfId="3" applyNumberFormat="1" applyFont="1" applyFill="1" applyAlignment="1">
      <alignment horizontal="center"/>
    </xf>
    <xf numFmtId="2" fontId="0" fillId="0" borderId="0" xfId="0" applyNumberFormat="1"/>
    <xf numFmtId="10" fontId="3" fillId="0" borderId="11" xfId="3" applyNumberFormat="1" applyFont="1" applyBorder="1" applyAlignment="1">
      <alignment horizontal="center"/>
    </xf>
    <xf numFmtId="0" fontId="24" fillId="0" borderId="0" xfId="0" applyFont="1"/>
    <xf numFmtId="0" fontId="11" fillId="16" borderId="0" xfId="3" applyFont="1" applyFill="1" applyAlignment="1">
      <alignment horizontal="left"/>
    </xf>
    <xf numFmtId="0" fontId="12" fillId="0" borderId="0" xfId="3" applyFont="1" applyAlignment="1">
      <alignment horizontal="center" vertical="center"/>
    </xf>
    <xf numFmtId="0" fontId="1" fillId="0" borderId="0" xfId="0" applyFont="1"/>
    <xf numFmtId="0" fontId="12" fillId="16" borderId="16" xfId="3" applyFont="1" applyFill="1" applyBorder="1" applyAlignment="1">
      <alignment horizontal="left" vertical="center"/>
    </xf>
    <xf numFmtId="0" fontId="6" fillId="5" borderId="14" xfId="3" applyFont="1" applyFill="1" applyBorder="1" applyAlignment="1">
      <alignment horizontal="left"/>
    </xf>
    <xf numFmtId="10" fontId="6" fillId="5" borderId="14" xfId="3" applyNumberFormat="1" applyFont="1" applyFill="1" applyBorder="1" applyAlignment="1">
      <alignment horizontal="center"/>
    </xf>
    <xf numFmtId="0" fontId="6" fillId="5" borderId="14" xfId="3" applyFont="1" applyFill="1" applyBorder="1" applyAlignment="1">
      <alignment horizontal="center"/>
    </xf>
    <xf numFmtId="10" fontId="6" fillId="5" borderId="14" xfId="2" applyNumberFormat="1" applyFont="1" applyFill="1" applyBorder="1" applyAlignment="1">
      <alignment horizontal="center"/>
    </xf>
    <xf numFmtId="9" fontId="6" fillId="5" borderId="14" xfId="3" applyNumberFormat="1" applyFont="1" applyFill="1" applyBorder="1" applyAlignment="1">
      <alignment horizontal="center"/>
    </xf>
    <xf numFmtId="10" fontId="17" fillId="5" borderId="14" xfId="3" applyNumberFormat="1" applyFont="1" applyFill="1" applyBorder="1" applyAlignment="1">
      <alignment horizontal="center"/>
    </xf>
    <xf numFmtId="165" fontId="6" fillId="5" borderId="14" xfId="3" applyNumberFormat="1" applyFont="1" applyFill="1" applyBorder="1" applyAlignment="1">
      <alignment horizontal="center"/>
    </xf>
    <xf numFmtId="0" fontId="7" fillId="7" borderId="14" xfId="3" applyFont="1" applyFill="1" applyBorder="1" applyAlignment="1">
      <alignment horizontal="left"/>
    </xf>
    <xf numFmtId="0" fontId="7" fillId="7" borderId="14" xfId="3" applyFont="1" applyFill="1" applyBorder="1" applyAlignment="1">
      <alignment horizontal="center"/>
    </xf>
    <xf numFmtId="10" fontId="7" fillId="7" borderId="14" xfId="2" applyNumberFormat="1" applyFont="1" applyFill="1" applyBorder="1" applyAlignment="1">
      <alignment horizontal="center"/>
    </xf>
    <xf numFmtId="10" fontId="7" fillId="7" borderId="14" xfId="3" applyNumberFormat="1" applyFont="1" applyFill="1" applyBorder="1" applyAlignment="1">
      <alignment horizontal="center"/>
    </xf>
    <xf numFmtId="9" fontId="7" fillId="7" borderId="14" xfId="3" applyNumberFormat="1" applyFont="1" applyFill="1" applyBorder="1" applyAlignment="1">
      <alignment horizontal="center"/>
    </xf>
    <xf numFmtId="10" fontId="18" fillId="7" borderId="14" xfId="3" applyNumberFormat="1" applyFont="1" applyFill="1" applyBorder="1" applyAlignment="1">
      <alignment horizontal="center"/>
    </xf>
    <xf numFmtId="10" fontId="14" fillId="7" borderId="14" xfId="3" applyNumberFormat="1" applyFont="1" applyFill="1" applyBorder="1" applyAlignment="1">
      <alignment horizontal="center"/>
    </xf>
    <xf numFmtId="165" fontId="7" fillId="0" borderId="14" xfId="3" applyNumberFormat="1" applyFont="1" applyBorder="1" applyAlignment="1">
      <alignment horizontal="center"/>
    </xf>
    <xf numFmtId="10" fontId="7" fillId="0" borderId="14" xfId="4" applyNumberFormat="1" applyFont="1" applyFill="1" applyBorder="1" applyAlignment="1">
      <alignment horizontal="center"/>
    </xf>
    <xf numFmtId="9" fontId="6" fillId="6" borderId="14" xfId="2" applyFont="1" applyFill="1" applyBorder="1" applyAlignment="1">
      <alignment horizontal="center"/>
    </xf>
    <xf numFmtId="10" fontId="7" fillId="9" borderId="14" xfId="2" applyNumberFormat="1" applyFont="1" applyFill="1" applyBorder="1" applyAlignment="1">
      <alignment horizontal="center"/>
    </xf>
    <xf numFmtId="2" fontId="8" fillId="0" borderId="14" xfId="3" applyNumberFormat="1" applyFont="1" applyBorder="1" applyAlignment="1">
      <alignment horizontal="center"/>
    </xf>
    <xf numFmtId="2" fontId="7" fillId="0" borderId="14" xfId="2" applyNumberFormat="1" applyFont="1" applyFill="1" applyBorder="1" applyAlignment="1">
      <alignment horizontal="center"/>
    </xf>
    <xf numFmtId="0" fontId="18" fillId="7" borderId="14" xfId="3" applyFont="1" applyFill="1" applyBorder="1" applyAlignment="1">
      <alignment horizontal="center"/>
    </xf>
    <xf numFmtId="2" fontId="7" fillId="7" borderId="14" xfId="3" applyNumberFormat="1" applyFont="1" applyFill="1" applyBorder="1" applyAlignment="1">
      <alignment horizontal="left"/>
    </xf>
    <xf numFmtId="2" fontId="7" fillId="7" borderId="14" xfId="3" applyNumberFormat="1" applyFont="1" applyFill="1" applyBorder="1" applyAlignment="1">
      <alignment horizontal="center"/>
    </xf>
    <xf numFmtId="9" fontId="6" fillId="5" borderId="14" xfId="2" applyFont="1" applyFill="1" applyBorder="1" applyAlignment="1">
      <alignment horizontal="center"/>
    </xf>
    <xf numFmtId="9" fontId="7" fillId="7" borderId="14" xfId="2" applyFont="1" applyFill="1" applyBorder="1" applyAlignment="1">
      <alignment horizontal="center"/>
    </xf>
    <xf numFmtId="10" fontId="7" fillId="0" borderId="14" xfId="2" applyNumberFormat="1" applyFont="1" applyBorder="1" applyAlignment="1">
      <alignment horizontal="center"/>
    </xf>
    <xf numFmtId="10" fontId="7" fillId="0" borderId="0" xfId="2" applyNumberFormat="1" applyFont="1" applyAlignment="1">
      <alignment horizontal="center"/>
    </xf>
    <xf numFmtId="2" fontId="6" fillId="5" borderId="14" xfId="3" applyNumberFormat="1" applyFont="1" applyFill="1" applyBorder="1" applyAlignment="1">
      <alignment horizontal="left"/>
    </xf>
    <xf numFmtId="2" fontId="6" fillId="5" borderId="14" xfId="2" applyNumberFormat="1" applyFont="1" applyFill="1" applyBorder="1" applyAlignment="1">
      <alignment horizontal="center"/>
    </xf>
    <xf numFmtId="2" fontId="6" fillId="5" borderId="14" xfId="3" applyNumberFormat="1" applyFont="1" applyFill="1" applyBorder="1" applyAlignment="1">
      <alignment horizontal="center"/>
    </xf>
    <xf numFmtId="2" fontId="17" fillId="5" borderId="14" xfId="3" applyNumberFormat="1" applyFont="1" applyFill="1" applyBorder="1" applyAlignment="1">
      <alignment horizontal="center"/>
    </xf>
    <xf numFmtId="2" fontId="0" fillId="0" borderId="14" xfId="0" applyNumberFormat="1" applyBorder="1"/>
    <xf numFmtId="2" fontId="6" fillId="5" borderId="14" xfId="1" applyNumberFormat="1" applyFont="1" applyFill="1" applyBorder="1" applyAlignment="1">
      <alignment horizontal="center"/>
    </xf>
    <xf numFmtId="2" fontId="7" fillId="7" borderId="14" xfId="2" applyNumberFormat="1" applyFont="1" applyFill="1" applyBorder="1" applyAlignment="1">
      <alignment horizontal="center"/>
    </xf>
    <xf numFmtId="2" fontId="7" fillId="0" borderId="14" xfId="3" applyNumberFormat="1" applyFont="1" applyBorder="1" applyAlignment="1">
      <alignment horizontal="left"/>
    </xf>
    <xf numFmtId="2" fontId="7" fillId="0" borderId="14" xfId="2" applyNumberFormat="1" applyFont="1" applyBorder="1" applyAlignment="1">
      <alignment horizontal="center"/>
    </xf>
    <xf numFmtId="2" fontId="18" fillId="7" borderId="14" xfId="3" applyNumberFormat="1" applyFont="1" applyFill="1" applyBorder="1" applyAlignment="1">
      <alignment horizontal="center"/>
    </xf>
    <xf numFmtId="10" fontId="7" fillId="7" borderId="14" xfId="2" applyNumberFormat="1" applyFont="1" applyFill="1" applyBorder="1" applyAlignment="1">
      <alignment horizontal="left"/>
    </xf>
    <xf numFmtId="10" fontId="7" fillId="0" borderId="14" xfId="2" applyNumberFormat="1" applyFont="1" applyFill="1" applyBorder="1" applyAlignment="1">
      <alignment horizontal="center"/>
    </xf>
    <xf numFmtId="10" fontId="0" fillId="0" borderId="14" xfId="2" applyNumberFormat="1" applyFont="1" applyBorder="1"/>
    <xf numFmtId="10" fontId="18" fillId="7" borderId="14" xfId="2" applyNumberFormat="1" applyFont="1" applyFill="1" applyBorder="1" applyAlignment="1">
      <alignment horizontal="center"/>
    </xf>
    <xf numFmtId="2" fontId="6" fillId="5" borderId="10" xfId="3" applyNumberFormat="1" applyFont="1" applyFill="1" applyBorder="1" applyAlignment="1">
      <alignment horizontal="left"/>
    </xf>
    <xf numFmtId="2" fontId="6" fillId="5" borderId="10" xfId="2" applyNumberFormat="1" applyFont="1" applyFill="1" applyBorder="1" applyAlignment="1">
      <alignment horizontal="center"/>
    </xf>
    <xf numFmtId="2" fontId="6" fillId="5" borderId="10" xfId="3" applyNumberFormat="1" applyFont="1" applyFill="1" applyBorder="1" applyAlignment="1">
      <alignment horizontal="center"/>
    </xf>
    <xf numFmtId="2" fontId="6" fillId="5" borderId="13" xfId="3" applyNumberFormat="1" applyFont="1" applyFill="1" applyBorder="1" applyAlignment="1">
      <alignment horizontal="left"/>
    </xf>
    <xf numFmtId="2" fontId="6" fillId="5" borderId="0" xfId="2" applyNumberFormat="1" applyFont="1" applyFill="1" applyBorder="1" applyAlignment="1">
      <alignment horizontal="center"/>
    </xf>
    <xf numFmtId="2" fontId="6" fillId="6" borderId="8" xfId="2" applyNumberFormat="1" applyFont="1" applyFill="1" applyBorder="1" applyAlignment="1">
      <alignment horizontal="center"/>
    </xf>
    <xf numFmtId="2" fontId="6" fillId="5" borderId="0" xfId="3" applyNumberFormat="1" applyFont="1" applyFill="1" applyAlignment="1">
      <alignment horizontal="center"/>
    </xf>
    <xf numFmtId="2" fontId="21" fillId="0" borderId="0" xfId="0" applyNumberFormat="1" applyFont="1" applyAlignment="1">
      <alignment horizontal="center"/>
    </xf>
    <xf numFmtId="2" fontId="21" fillId="0" borderId="0" xfId="0" applyNumberFormat="1" applyFont="1"/>
    <xf numFmtId="2" fontId="6" fillId="5" borderId="13" xfId="3" applyNumberFormat="1" applyFont="1" applyFill="1" applyBorder="1" applyAlignment="1">
      <alignment horizontal="center"/>
    </xf>
    <xf numFmtId="2" fontId="6" fillId="6" borderId="14" xfId="2" applyNumberFormat="1" applyFont="1" applyFill="1" applyBorder="1" applyAlignment="1">
      <alignment horizontal="center"/>
    </xf>
    <xf numFmtId="2" fontId="7" fillId="0" borderId="7" xfId="2" applyNumberFormat="1" applyFont="1" applyFill="1" applyBorder="1" applyAlignment="1">
      <alignment horizontal="center"/>
    </xf>
    <xf numFmtId="165" fontId="3" fillId="0" borderId="14" xfId="2" applyNumberFormat="1" applyFont="1" applyFill="1" applyBorder="1" applyAlignment="1">
      <alignment horizontal="center" wrapText="1"/>
    </xf>
    <xf numFmtId="0" fontId="5" fillId="4" borderId="5" xfId="3" applyFont="1" applyFill="1" applyBorder="1" applyAlignment="1">
      <alignment horizontal="center" vertical="center"/>
    </xf>
    <xf numFmtId="0" fontId="5" fillId="4" borderId="6" xfId="3" applyFont="1" applyFill="1" applyBorder="1" applyAlignment="1">
      <alignment horizontal="center" vertical="center"/>
    </xf>
    <xf numFmtId="0" fontId="5" fillId="4" borderId="3" xfId="3" applyFont="1" applyFill="1" applyBorder="1" applyAlignment="1">
      <alignment horizontal="center" vertical="center"/>
    </xf>
    <xf numFmtId="0" fontId="5" fillId="4" borderId="11" xfId="3" applyFont="1" applyFill="1" applyBorder="1" applyAlignment="1">
      <alignment horizontal="center" vertical="center"/>
    </xf>
    <xf numFmtId="0" fontId="5" fillId="4" borderId="10" xfId="3" applyFont="1" applyFill="1" applyBorder="1" applyAlignment="1">
      <alignment horizontal="center" vertical="center"/>
    </xf>
    <xf numFmtId="0" fontId="5" fillId="4" borderId="4" xfId="3" applyFont="1" applyFill="1" applyBorder="1" applyAlignment="1">
      <alignment horizontal="center" vertical="center"/>
    </xf>
    <xf numFmtId="16" fontId="12" fillId="0" borderId="2" xfId="3" applyNumberFormat="1" applyFont="1" applyBorder="1" applyAlignment="1">
      <alignment horizontal="center" vertical="center"/>
    </xf>
    <xf numFmtId="0" fontId="12" fillId="0" borderId="2" xfId="3" applyFont="1" applyBorder="1" applyAlignment="1">
      <alignment horizontal="center" vertical="center"/>
    </xf>
    <xf numFmtId="15" fontId="12" fillId="0" borderId="2" xfId="3" applyNumberFormat="1" applyFont="1" applyBorder="1" applyAlignment="1">
      <alignment horizontal="center" vertical="center"/>
    </xf>
    <xf numFmtId="14" fontId="8" fillId="0" borderId="2" xfId="3" applyNumberFormat="1" applyFont="1" applyBorder="1" applyAlignment="1">
      <alignment horizontal="center" vertical="center"/>
    </xf>
    <xf numFmtId="0" fontId="8" fillId="0" borderId="2" xfId="3" applyFont="1" applyBorder="1" applyAlignment="1">
      <alignment horizontal="center" vertical="center"/>
    </xf>
    <xf numFmtId="14" fontId="8" fillId="0" borderId="5" xfId="3" applyNumberFormat="1" applyFont="1" applyBorder="1" applyAlignment="1">
      <alignment horizontal="center" vertical="center"/>
    </xf>
    <xf numFmtId="14" fontId="8" fillId="0" borderId="3" xfId="3" applyNumberFormat="1" applyFont="1" applyBorder="1" applyAlignment="1">
      <alignment horizontal="center" vertical="center"/>
    </xf>
    <xf numFmtId="14" fontId="12" fillId="0" borderId="2" xfId="3" applyNumberFormat="1" applyFont="1" applyBorder="1" applyAlignment="1">
      <alignment horizontal="center" vertical="center"/>
    </xf>
    <xf numFmtId="16" fontId="12" fillId="0" borderId="5" xfId="3" applyNumberFormat="1" applyFont="1" applyBorder="1" applyAlignment="1">
      <alignment horizontal="center" vertical="center"/>
    </xf>
    <xf numFmtId="0" fontId="12" fillId="0" borderId="6" xfId="3" applyFont="1" applyBorder="1" applyAlignment="1">
      <alignment horizontal="center" vertical="center"/>
    </xf>
    <xf numFmtId="0" fontId="5" fillId="4" borderId="14" xfId="3" applyFont="1" applyFill="1" applyBorder="1" applyAlignment="1">
      <alignment horizontal="center" vertical="center"/>
    </xf>
    <xf numFmtId="14" fontId="12" fillId="0" borderId="5" xfId="3" applyNumberFormat="1" applyFont="1" applyBorder="1" applyAlignment="1">
      <alignment horizontal="center" vertical="center"/>
    </xf>
    <xf numFmtId="16" fontId="11" fillId="0" borderId="5" xfId="3" applyNumberFormat="1" applyFont="1" applyBorder="1" applyAlignment="1">
      <alignment horizontal="center" vertical="center"/>
    </xf>
    <xf numFmtId="0" fontId="11" fillId="0" borderId="6" xfId="3" applyFont="1" applyBorder="1" applyAlignment="1">
      <alignment horizontal="center" vertical="center"/>
    </xf>
    <xf numFmtId="0" fontId="11" fillId="0" borderId="3" xfId="3" applyFont="1" applyBorder="1" applyAlignment="1">
      <alignment horizontal="center" vertical="center"/>
    </xf>
    <xf numFmtId="16" fontId="12" fillId="0" borderId="14" xfId="3" applyNumberFormat="1" applyFont="1" applyBorder="1" applyAlignment="1">
      <alignment horizontal="center" vertical="center"/>
    </xf>
    <xf numFmtId="0" fontId="12" fillId="0" borderId="14" xfId="3" applyFont="1" applyBorder="1" applyAlignment="1">
      <alignment horizontal="center" vertical="center"/>
    </xf>
    <xf numFmtId="14" fontId="19" fillId="0" borderId="5" xfId="3" applyNumberFormat="1" applyFont="1" applyBorder="1" applyAlignment="1">
      <alignment horizontal="center" vertical="center"/>
    </xf>
    <xf numFmtId="0" fontId="19" fillId="0" borderId="3" xfId="3" applyFont="1" applyBorder="1" applyAlignment="1">
      <alignment horizontal="center" vertical="center"/>
    </xf>
    <xf numFmtId="16" fontId="13" fillId="0" borderId="5" xfId="3" applyNumberFormat="1" applyFont="1" applyBorder="1" applyAlignment="1">
      <alignment horizontal="center" vertical="center"/>
    </xf>
    <xf numFmtId="0" fontId="13" fillId="0" borderId="6" xfId="3" applyFont="1" applyBorder="1" applyAlignment="1">
      <alignment horizontal="center" vertical="center"/>
    </xf>
    <xf numFmtId="0" fontId="12" fillId="0" borderId="3" xfId="3" applyFont="1" applyBorder="1" applyAlignment="1">
      <alignment horizontal="center" vertical="center"/>
    </xf>
    <xf numFmtId="16" fontId="3" fillId="0" borderId="2" xfId="3" applyNumberFormat="1" applyFont="1" applyBorder="1" applyAlignment="1">
      <alignment horizontal="center" vertical="center"/>
    </xf>
    <xf numFmtId="0" fontId="3" fillId="0" borderId="2" xfId="3" applyFont="1" applyBorder="1" applyAlignment="1">
      <alignment horizontal="center" vertical="center"/>
    </xf>
    <xf numFmtId="16" fontId="22" fillId="0" borderId="2" xfId="3" applyNumberFormat="1" applyFont="1" applyBorder="1" applyAlignment="1">
      <alignment horizontal="center" vertical="center"/>
    </xf>
    <xf numFmtId="0" fontId="22" fillId="0" borderId="2" xfId="3" applyFont="1" applyBorder="1" applyAlignment="1">
      <alignment horizontal="center" vertical="center"/>
    </xf>
    <xf numFmtId="0" fontId="5" fillId="4" borderId="10" xfId="3" applyFont="1" applyFill="1" applyBorder="1" applyAlignment="1">
      <alignment horizontal="center" vertical="center" wrapText="1"/>
    </xf>
    <xf numFmtId="0" fontId="5" fillId="4" borderId="14" xfId="3" applyFont="1" applyFill="1" applyBorder="1" applyAlignment="1">
      <alignment horizontal="center" vertical="center" wrapText="1"/>
    </xf>
    <xf numFmtId="17" fontId="3" fillId="0" borderId="13" xfId="3" applyNumberFormat="1" applyFont="1" applyBorder="1" applyAlignment="1">
      <alignment horizontal="center" vertical="center"/>
    </xf>
    <xf numFmtId="17" fontId="3" fillId="0" borderId="2" xfId="3" applyNumberFormat="1" applyFont="1" applyBorder="1" applyAlignment="1">
      <alignment horizontal="center" vertical="center"/>
    </xf>
    <xf numFmtId="0" fontId="5" fillId="4" borderId="15" xfId="3" applyFont="1" applyFill="1" applyBorder="1" applyAlignment="1">
      <alignment horizontal="center" vertical="center"/>
    </xf>
    <xf numFmtId="0" fontId="5" fillId="4" borderId="0" xfId="3" applyFont="1" applyFill="1" applyAlignment="1">
      <alignment horizontal="center" vertical="center"/>
    </xf>
    <xf numFmtId="0" fontId="5" fillId="4" borderId="9" xfId="3" applyFont="1" applyFill="1" applyBorder="1" applyAlignment="1">
      <alignment horizontal="center" vertical="center"/>
    </xf>
    <xf numFmtId="16" fontId="3" fillId="0" borderId="13" xfId="3" applyNumberFormat="1" applyFont="1" applyBorder="1" applyAlignment="1">
      <alignment horizontal="center" vertical="center"/>
    </xf>
    <xf numFmtId="16" fontId="11" fillId="0" borderId="2" xfId="3" applyNumberFormat="1" applyFont="1" applyBorder="1" applyAlignment="1">
      <alignment horizontal="center" vertical="center"/>
    </xf>
    <xf numFmtId="0" fontId="11" fillId="0" borderId="2" xfId="3" applyFont="1" applyBorder="1" applyAlignment="1">
      <alignment horizontal="center" vertical="center"/>
    </xf>
    <xf numFmtId="16" fontId="11" fillId="0" borderId="2" xfId="2" applyNumberFormat="1" applyFont="1" applyFill="1" applyBorder="1" applyAlignment="1">
      <alignment horizontal="center" vertical="center"/>
    </xf>
    <xf numFmtId="10" fontId="11" fillId="0" borderId="2" xfId="2" applyNumberFormat="1" applyFont="1" applyFill="1" applyBorder="1" applyAlignment="1">
      <alignment horizontal="center" vertical="center"/>
    </xf>
    <xf numFmtId="16" fontId="11" fillId="0" borderId="5" xfId="3" applyNumberFormat="1" applyFont="1" applyBorder="1" applyAlignment="1">
      <alignment horizontal="center" wrapText="1"/>
    </xf>
    <xf numFmtId="0" fontId="11" fillId="0" borderId="3" xfId="3" applyFont="1" applyBorder="1" applyAlignment="1">
      <alignment horizontal="center" wrapText="1"/>
    </xf>
    <xf numFmtId="16" fontId="12" fillId="0" borderId="5" xfId="3" applyNumberFormat="1" applyFont="1" applyBorder="1" applyAlignment="1">
      <alignment horizontal="center" wrapText="1"/>
    </xf>
    <xf numFmtId="16" fontId="12" fillId="0" borderId="3" xfId="3" applyNumberFormat="1" applyFont="1" applyBorder="1" applyAlignment="1">
      <alignment horizontal="center" wrapText="1"/>
    </xf>
    <xf numFmtId="0" fontId="12" fillId="0" borderId="3" xfId="3" applyFont="1" applyBorder="1" applyAlignment="1">
      <alignment horizontal="center" wrapText="1"/>
    </xf>
    <xf numFmtId="14" fontId="12" fillId="0" borderId="5" xfId="3" applyNumberFormat="1" applyFont="1" applyBorder="1" applyAlignment="1">
      <alignment horizontal="center" wrapText="1"/>
    </xf>
    <xf numFmtId="14" fontId="12" fillId="0" borderId="3" xfId="3" applyNumberFormat="1" applyFont="1" applyBorder="1" applyAlignment="1">
      <alignment horizontal="center" wrapText="1"/>
    </xf>
    <xf numFmtId="14" fontId="3" fillId="0" borderId="5" xfId="3" applyNumberFormat="1" applyFont="1" applyBorder="1" applyAlignment="1">
      <alignment horizontal="center" wrapText="1"/>
    </xf>
    <xf numFmtId="0" fontId="3" fillId="0" borderId="3" xfId="3" applyFont="1" applyBorder="1" applyAlignment="1">
      <alignment horizontal="center" wrapText="1"/>
    </xf>
    <xf numFmtId="16" fontId="7" fillId="0" borderId="13" xfId="3" applyNumberFormat="1" applyFont="1" applyBorder="1" applyAlignment="1">
      <alignment horizontal="center" wrapText="1"/>
    </xf>
    <xf numFmtId="0" fontId="7" fillId="0" borderId="18" xfId="3" applyFont="1" applyBorder="1" applyAlignment="1">
      <alignment horizontal="center" wrapText="1"/>
    </xf>
    <xf numFmtId="0" fontId="5" fillId="4" borderId="13" xfId="3" applyFont="1" applyFill="1" applyBorder="1" applyAlignment="1">
      <alignment horizontal="center" vertical="center"/>
    </xf>
    <xf numFmtId="0" fontId="5" fillId="4" borderId="2" xfId="3" applyFont="1" applyFill="1" applyBorder="1" applyAlignment="1">
      <alignment horizontal="center" vertical="center"/>
    </xf>
    <xf numFmtId="0" fontId="5" fillId="4" borderId="18" xfId="3" applyFont="1" applyFill="1" applyBorder="1" applyAlignment="1">
      <alignment horizontal="center" vertical="center"/>
    </xf>
    <xf numFmtId="16" fontId="11" fillId="0" borderId="2" xfId="3" applyNumberFormat="1" applyFont="1" applyBorder="1" applyAlignment="1">
      <alignment horizontal="center"/>
    </xf>
    <xf numFmtId="0" fontId="11" fillId="0" borderId="2" xfId="3" applyFont="1" applyBorder="1" applyAlignment="1">
      <alignment horizontal="center"/>
    </xf>
    <xf numFmtId="14" fontId="11" fillId="0" borderId="2" xfId="3" applyNumberFormat="1" applyFont="1" applyBorder="1" applyAlignment="1">
      <alignment horizontal="center"/>
    </xf>
    <xf numFmtId="14" fontId="3" fillId="8" borderId="5" xfId="3" applyNumberFormat="1" applyFont="1" applyFill="1" applyBorder="1" applyAlignment="1">
      <alignment horizontal="center"/>
    </xf>
    <xf numFmtId="14" fontId="3" fillId="8" borderId="3" xfId="3" applyNumberFormat="1" applyFont="1" applyFill="1" applyBorder="1" applyAlignment="1">
      <alignment horizontal="center"/>
    </xf>
    <xf numFmtId="16" fontId="3" fillId="0" borderId="2" xfId="3" applyNumberFormat="1" applyFont="1" applyBorder="1" applyAlignment="1">
      <alignment horizontal="center"/>
    </xf>
    <xf numFmtId="0" fontId="3" fillId="0" borderId="2" xfId="3" applyFont="1" applyBorder="1" applyAlignment="1">
      <alignment horizontal="center"/>
    </xf>
    <xf numFmtId="0" fontId="13" fillId="4" borderId="4" xfId="3" applyFont="1" applyFill="1" applyBorder="1" applyAlignment="1">
      <alignment horizontal="center" vertical="center"/>
    </xf>
    <xf numFmtId="0" fontId="13" fillId="4" borderId="11" xfId="3" applyFont="1" applyFill="1" applyBorder="1" applyAlignment="1">
      <alignment horizontal="center" vertical="center"/>
    </xf>
    <xf numFmtId="16" fontId="3" fillId="0" borderId="20" xfId="3" applyNumberFormat="1" applyFont="1" applyBorder="1" applyAlignment="1">
      <alignment horizontal="center"/>
    </xf>
    <xf numFmtId="16" fontId="8" fillId="0" borderId="20" xfId="3" applyNumberFormat="1" applyFont="1" applyBorder="1" applyAlignment="1">
      <alignment horizontal="center"/>
    </xf>
    <xf numFmtId="0" fontId="8" fillId="0" borderId="2" xfId="3" applyFont="1" applyBorder="1" applyAlignment="1">
      <alignment horizontal="center"/>
    </xf>
    <xf numFmtId="14" fontId="3" fillId="0" borderId="20" xfId="3" applyNumberFormat="1" applyFont="1" applyBorder="1" applyAlignment="1">
      <alignment horizontal="center"/>
    </xf>
    <xf numFmtId="14" fontId="3" fillId="0" borderId="2" xfId="3" applyNumberFormat="1" applyFont="1" applyBorder="1" applyAlignment="1">
      <alignment horizontal="center"/>
    </xf>
    <xf numFmtId="14" fontId="8" fillId="0" borderId="20" xfId="3" applyNumberFormat="1" applyFont="1" applyBorder="1" applyAlignment="1">
      <alignment horizontal="center"/>
    </xf>
    <xf numFmtId="14" fontId="8" fillId="0" borderId="2" xfId="3" applyNumberFormat="1" applyFont="1" applyBorder="1" applyAlignment="1">
      <alignment horizontal="center"/>
    </xf>
    <xf numFmtId="16" fontId="22" fillId="0" borderId="20" xfId="3" applyNumberFormat="1" applyFont="1" applyBorder="1" applyAlignment="1">
      <alignment horizontal="center"/>
    </xf>
    <xf numFmtId="0" fontId="22" fillId="0" borderId="2" xfId="3" applyFont="1" applyBorder="1" applyAlignment="1">
      <alignment horizontal="center"/>
    </xf>
    <xf numFmtId="16" fontId="8" fillId="0" borderId="2" xfId="3" applyNumberFormat="1" applyFont="1" applyBorder="1" applyAlignment="1">
      <alignment horizontal="center"/>
    </xf>
  </cellXfs>
  <cellStyles count="5">
    <cellStyle name="Millares" xfId="1" builtinId="3"/>
    <cellStyle name="Normal" xfId="0" builtinId="0"/>
    <cellStyle name="Normal 3 2" xfId="3" xr:uid="{00000000-0005-0000-0000-000002000000}"/>
    <cellStyle name="Porcentaje" xfId="2" builtinId="5"/>
    <cellStyle name="Porcentaje 2" xfId="4" xr:uid="{00000000-0005-0000-0000-000004000000}"/>
  </cellStyles>
  <dxfs count="8310"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b/>
        <i val="0"/>
        <color rgb="FFFFFFFF"/>
      </font>
      <fill>
        <patternFill patternType="solid">
          <bgColor rgb="FFFF0000"/>
        </patternFill>
      </fill>
    </dxf>
    <dxf>
      <font>
        <b/>
        <i val="0"/>
        <color rgb="FFFFFFFF"/>
      </font>
      <fill>
        <patternFill patternType="solid">
          <bgColor rgb="FF002060"/>
        </patternFill>
      </fill>
    </dxf>
    <dxf>
      <font>
        <b/>
        <i val="0"/>
        <color rgb="FFFFFFFF"/>
      </font>
      <fill>
        <patternFill patternType="solid">
          <bgColor rgb="FF808080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b/>
        <i val="0"/>
        <color rgb="FFFFFFFF"/>
      </font>
      <fill>
        <patternFill patternType="solid">
          <bgColor rgb="FFFF0000"/>
        </patternFill>
      </fill>
    </dxf>
    <dxf>
      <font>
        <b/>
        <i val="0"/>
        <color rgb="FFFFFFFF"/>
      </font>
      <fill>
        <patternFill patternType="solid">
          <bgColor rgb="FF002060"/>
        </patternFill>
      </fill>
    </dxf>
    <dxf>
      <font>
        <b/>
        <i val="0"/>
        <color rgb="FFFFFFFF"/>
      </font>
      <fill>
        <patternFill patternType="solid">
          <bgColor rgb="FF808080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b/>
        <i val="0"/>
        <color rgb="FFFFFFFF"/>
      </font>
      <fill>
        <patternFill patternType="solid">
          <bgColor rgb="FFFF0000"/>
        </patternFill>
      </fill>
    </dxf>
    <dxf>
      <font>
        <b/>
        <i val="0"/>
        <color rgb="FFFFFFFF"/>
      </font>
      <fill>
        <patternFill patternType="solid">
          <bgColor rgb="FF002060"/>
        </patternFill>
      </fill>
    </dxf>
    <dxf>
      <font>
        <b/>
        <i val="0"/>
        <color rgb="FFFFFFFF"/>
      </font>
      <fill>
        <patternFill patternType="solid">
          <bgColor rgb="FF808080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b/>
        <i val="0"/>
        <color rgb="FFFFFFFF"/>
      </font>
      <fill>
        <patternFill patternType="solid">
          <bgColor rgb="FFFF0000"/>
        </patternFill>
      </fill>
    </dxf>
    <dxf>
      <font>
        <b/>
        <i val="0"/>
        <color rgb="FFFFFFFF"/>
      </font>
      <fill>
        <patternFill patternType="solid">
          <bgColor rgb="FF002060"/>
        </patternFill>
      </fill>
    </dxf>
    <dxf>
      <font>
        <b/>
        <i val="0"/>
        <color rgb="FFFFFFFF"/>
      </font>
      <fill>
        <patternFill patternType="solid">
          <bgColor rgb="FF808080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b/>
        <i val="0"/>
        <color rgb="FFFFFFFF"/>
      </font>
      <fill>
        <patternFill patternType="solid">
          <bgColor rgb="FFFF0000"/>
        </patternFill>
      </fill>
    </dxf>
    <dxf>
      <font>
        <b/>
        <i val="0"/>
        <color rgb="FFFFFFFF"/>
      </font>
      <fill>
        <patternFill patternType="solid">
          <bgColor rgb="FF002060"/>
        </patternFill>
      </fill>
    </dxf>
    <dxf>
      <font>
        <b/>
        <i val="0"/>
        <color rgb="FFFFFFFF"/>
      </font>
      <fill>
        <patternFill patternType="solid">
          <bgColor rgb="FF808080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b/>
        <i val="0"/>
        <color rgb="FFFFFFFF"/>
      </font>
      <fill>
        <patternFill patternType="solid">
          <bgColor rgb="FFFF0000"/>
        </patternFill>
      </fill>
    </dxf>
    <dxf>
      <font>
        <b/>
        <i val="0"/>
        <color rgb="FFFFFFFF"/>
      </font>
      <fill>
        <patternFill patternType="solid">
          <bgColor rgb="FF002060"/>
        </patternFill>
      </fill>
    </dxf>
    <dxf>
      <font>
        <b/>
        <i val="0"/>
        <color rgb="FFFFFFFF"/>
      </font>
      <fill>
        <patternFill patternType="solid">
          <bgColor rgb="FF808080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b/>
        <i val="0"/>
        <color rgb="FFFFFFFF"/>
      </font>
      <fill>
        <patternFill patternType="solid">
          <bgColor rgb="FFFF0000"/>
        </patternFill>
      </fill>
    </dxf>
    <dxf>
      <font>
        <b/>
        <i val="0"/>
        <color rgb="FFFFFFFF"/>
      </font>
      <fill>
        <patternFill patternType="solid">
          <bgColor rgb="FF002060"/>
        </patternFill>
      </fill>
    </dxf>
    <dxf>
      <font>
        <b/>
        <i val="0"/>
        <color rgb="FFFFFFFF"/>
      </font>
      <fill>
        <patternFill patternType="solid">
          <bgColor rgb="FF808080"/>
        </patternFill>
      </fill>
    </dxf>
    <dxf>
      <font>
        <color rgb="FFFFFFFF"/>
      </font>
      <fill>
        <patternFill patternType="solid">
          <bgColor rgb="FFFFFFFF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</dxf>
    <dxf>
      <font>
        <b/>
        <i val="0"/>
        <color rgb="FFFFFFFF"/>
      </font>
      <fill>
        <patternFill patternType="solid">
          <bgColor rgb="FF002060"/>
        </patternFill>
      </fill>
    </dxf>
    <dxf>
      <font>
        <b/>
        <i val="0"/>
        <color rgb="FFFFFFFF"/>
      </font>
      <fill>
        <patternFill patternType="solid">
          <bgColor rgb="FF808080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b/>
        <i val="0"/>
        <color rgb="FFFFFFFF"/>
      </font>
      <fill>
        <patternFill patternType="solid">
          <bgColor rgb="FFFF0000"/>
        </patternFill>
      </fill>
    </dxf>
    <dxf>
      <font>
        <b/>
        <i val="0"/>
        <color rgb="FFFFFFFF"/>
      </font>
      <fill>
        <patternFill patternType="solid">
          <bgColor rgb="FF002060"/>
        </patternFill>
      </fill>
    </dxf>
    <dxf>
      <font>
        <b/>
        <i val="0"/>
        <color rgb="FFFFFFFF"/>
      </font>
      <fill>
        <patternFill patternType="solid">
          <bgColor rgb="FF808080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b/>
        <i val="0"/>
        <color rgb="FFFFFFFF"/>
      </font>
      <fill>
        <patternFill patternType="solid">
          <bgColor rgb="FFFF0000"/>
        </patternFill>
      </fill>
    </dxf>
    <dxf>
      <font>
        <b/>
        <i val="0"/>
        <color rgb="FFFFFFFF"/>
      </font>
      <fill>
        <patternFill patternType="solid">
          <bgColor rgb="FF002060"/>
        </patternFill>
      </fill>
    </dxf>
    <dxf>
      <font>
        <b/>
        <i val="0"/>
        <color rgb="FFFFFFFF"/>
      </font>
      <fill>
        <patternFill patternType="solid">
          <bgColor rgb="FF808080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b/>
        <i val="0"/>
        <color rgb="FFFFFFFF"/>
      </font>
      <fill>
        <patternFill patternType="solid">
          <bgColor rgb="FFFF0000"/>
        </patternFill>
      </fill>
    </dxf>
    <dxf>
      <font>
        <b/>
        <i val="0"/>
        <color rgb="FFFFFFFF"/>
      </font>
      <fill>
        <patternFill patternType="solid">
          <bgColor rgb="FF002060"/>
        </patternFill>
      </fill>
    </dxf>
    <dxf>
      <font>
        <b/>
        <i val="0"/>
        <color rgb="FFFFFFFF"/>
      </font>
      <fill>
        <patternFill patternType="solid">
          <bgColor rgb="FF808080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b/>
        <i val="0"/>
        <color rgb="FFFFFFFF"/>
      </font>
      <fill>
        <patternFill patternType="solid">
          <bgColor rgb="FFFF0000"/>
        </patternFill>
      </fill>
    </dxf>
    <dxf>
      <font>
        <b/>
        <i val="0"/>
        <color rgb="FFFFFFFF"/>
      </font>
      <fill>
        <patternFill patternType="solid">
          <bgColor rgb="FF002060"/>
        </patternFill>
      </fill>
    </dxf>
    <dxf>
      <font>
        <b/>
        <i val="0"/>
        <color rgb="FFFFFFFF"/>
      </font>
      <fill>
        <patternFill patternType="solid">
          <bgColor rgb="FF808080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b/>
        <i val="0"/>
        <color rgb="FFFFFFFF"/>
      </font>
      <fill>
        <patternFill patternType="solid">
          <bgColor rgb="FFFF0000"/>
        </patternFill>
      </fill>
    </dxf>
    <dxf>
      <font>
        <b/>
        <i val="0"/>
        <color rgb="FFFFFFFF"/>
      </font>
      <fill>
        <patternFill patternType="solid">
          <bgColor rgb="FF002060"/>
        </patternFill>
      </fill>
    </dxf>
    <dxf>
      <font>
        <b/>
        <i val="0"/>
        <color rgb="FFFFFFFF"/>
      </font>
      <fill>
        <patternFill patternType="solid">
          <bgColor rgb="FF808080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b/>
        <i val="0"/>
        <color rgb="FFFFFFFF"/>
      </font>
      <fill>
        <patternFill patternType="solid">
          <bgColor rgb="FFFF0000"/>
        </patternFill>
      </fill>
    </dxf>
    <dxf>
      <font>
        <b/>
        <i val="0"/>
        <color rgb="FFFFFFFF"/>
      </font>
      <fill>
        <patternFill patternType="solid">
          <bgColor rgb="FF002060"/>
        </patternFill>
      </fill>
    </dxf>
    <dxf>
      <font>
        <b/>
        <i val="0"/>
        <color rgb="FFFFFFFF"/>
      </font>
      <fill>
        <patternFill patternType="solid">
          <bgColor rgb="FF808080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b/>
        <i val="0"/>
        <color rgb="FFFFFFFF"/>
      </font>
      <fill>
        <patternFill patternType="solid">
          <bgColor rgb="FFFF0000"/>
        </patternFill>
      </fill>
    </dxf>
    <dxf>
      <font>
        <b/>
        <i val="0"/>
        <color rgb="FFFFFFFF"/>
      </font>
      <fill>
        <patternFill patternType="solid">
          <bgColor rgb="FF002060"/>
        </patternFill>
      </fill>
    </dxf>
    <dxf>
      <font>
        <b/>
        <i val="0"/>
        <color rgb="FFFFFFFF"/>
      </font>
      <fill>
        <patternFill patternType="solid">
          <bgColor rgb="FF808080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b/>
        <i val="0"/>
        <color rgb="FFFFFFFF"/>
      </font>
      <fill>
        <patternFill patternType="solid">
          <bgColor rgb="FFFF0000"/>
        </patternFill>
      </fill>
    </dxf>
    <dxf>
      <font>
        <b/>
        <i val="0"/>
        <color rgb="FFFFFFFF"/>
      </font>
      <fill>
        <patternFill patternType="solid">
          <bgColor rgb="FF002060"/>
        </patternFill>
      </fill>
    </dxf>
    <dxf>
      <font>
        <b/>
        <i val="0"/>
        <color rgb="FFFFFFFF"/>
      </font>
      <fill>
        <patternFill patternType="solid">
          <bgColor rgb="FF808080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b/>
        <i val="0"/>
        <color rgb="FFFFFFFF"/>
      </font>
      <fill>
        <patternFill patternType="solid">
          <bgColor rgb="FFFF0000"/>
        </patternFill>
      </fill>
    </dxf>
    <dxf>
      <font>
        <b/>
        <i val="0"/>
        <color rgb="FFFFFFFF"/>
      </font>
      <fill>
        <patternFill patternType="solid">
          <bgColor rgb="FF002060"/>
        </patternFill>
      </fill>
    </dxf>
    <dxf>
      <font>
        <b/>
        <i val="0"/>
        <color rgb="FFFFFFFF"/>
      </font>
      <fill>
        <patternFill patternType="solid">
          <bgColor rgb="FF808080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b/>
        <i val="0"/>
        <color rgb="FFFFFFFF"/>
      </font>
      <fill>
        <patternFill patternType="solid">
          <bgColor rgb="FFFF0000"/>
        </patternFill>
      </fill>
    </dxf>
    <dxf>
      <font>
        <b/>
        <i val="0"/>
        <color rgb="FFFFFFFF"/>
      </font>
      <fill>
        <patternFill patternType="solid">
          <bgColor rgb="FF002060"/>
        </patternFill>
      </fill>
    </dxf>
    <dxf>
      <font>
        <b/>
        <i val="0"/>
        <color rgb="FFFFFFFF"/>
      </font>
      <fill>
        <patternFill patternType="solid">
          <bgColor rgb="FF808080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b/>
        <i val="0"/>
        <color rgb="FFFFFFFF"/>
      </font>
      <fill>
        <patternFill patternType="solid">
          <bgColor rgb="FFFF0000"/>
        </patternFill>
      </fill>
    </dxf>
    <dxf>
      <font>
        <b/>
        <i val="0"/>
        <color rgb="FFFFFFFF"/>
      </font>
      <fill>
        <patternFill patternType="solid">
          <bgColor rgb="FF002060"/>
        </patternFill>
      </fill>
    </dxf>
    <dxf>
      <font>
        <b/>
        <i val="0"/>
        <color rgb="FFFFFFFF"/>
      </font>
      <fill>
        <patternFill patternType="solid">
          <bgColor rgb="FF808080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b/>
        <i val="0"/>
        <color rgb="FFFFFFFF"/>
      </font>
      <fill>
        <patternFill patternType="solid">
          <bgColor rgb="FFFF0000"/>
        </patternFill>
      </fill>
    </dxf>
    <dxf>
      <font>
        <b/>
        <i val="0"/>
        <color rgb="FFFFFFFF"/>
      </font>
      <fill>
        <patternFill patternType="solid">
          <bgColor rgb="FF002060"/>
        </patternFill>
      </fill>
    </dxf>
    <dxf>
      <font>
        <b/>
        <i val="0"/>
        <color rgb="FFFFFFFF"/>
      </font>
      <fill>
        <patternFill patternType="solid">
          <bgColor rgb="FF808080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b/>
        <i val="0"/>
        <color rgb="FFFFFFFF"/>
      </font>
      <fill>
        <patternFill patternType="solid">
          <bgColor rgb="FFFF0000"/>
        </patternFill>
      </fill>
    </dxf>
    <dxf>
      <font>
        <b/>
        <i val="0"/>
        <color rgb="FFFFFFFF"/>
      </font>
      <fill>
        <patternFill patternType="solid">
          <bgColor rgb="FF002060"/>
        </patternFill>
      </fill>
    </dxf>
    <dxf>
      <font>
        <b/>
        <i val="0"/>
        <color rgb="FFFFFFFF"/>
      </font>
      <fill>
        <patternFill patternType="solid">
          <bgColor rgb="FF808080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b/>
        <i val="0"/>
        <color rgb="FFFFFFFF"/>
      </font>
      <fill>
        <patternFill patternType="solid">
          <bgColor rgb="FFFF0000"/>
        </patternFill>
      </fill>
    </dxf>
    <dxf>
      <font>
        <b/>
        <i val="0"/>
        <color rgb="FFFFFFFF"/>
      </font>
      <fill>
        <patternFill patternType="solid">
          <bgColor rgb="FF002060"/>
        </patternFill>
      </fill>
    </dxf>
    <dxf>
      <font>
        <b/>
        <i val="0"/>
        <color rgb="FFFFFFFF"/>
      </font>
      <fill>
        <patternFill patternType="solid">
          <bgColor rgb="FF808080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b/>
        <i val="0"/>
        <color rgb="FFFFFFFF"/>
      </font>
      <fill>
        <patternFill patternType="solid">
          <bgColor rgb="FFFF0000"/>
        </patternFill>
      </fill>
    </dxf>
    <dxf>
      <font>
        <b/>
        <i val="0"/>
        <color rgb="FFFFFFFF"/>
      </font>
      <fill>
        <patternFill patternType="solid">
          <bgColor rgb="FF002060"/>
        </patternFill>
      </fill>
    </dxf>
    <dxf>
      <font>
        <b/>
        <i val="0"/>
        <color rgb="FFFFFFFF"/>
      </font>
      <fill>
        <patternFill patternType="solid">
          <bgColor rgb="FF808080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b/>
        <i val="0"/>
        <color rgb="FFFFFFFF"/>
      </font>
      <fill>
        <patternFill patternType="solid">
          <bgColor rgb="FFFF0000"/>
        </patternFill>
      </fill>
    </dxf>
    <dxf>
      <font>
        <b/>
        <i val="0"/>
        <color rgb="FFFFFFFF"/>
      </font>
      <fill>
        <patternFill patternType="solid">
          <bgColor rgb="FF002060"/>
        </patternFill>
      </fill>
    </dxf>
    <dxf>
      <font>
        <b/>
        <i val="0"/>
        <color rgb="FFFFFFFF"/>
      </font>
      <fill>
        <patternFill patternType="solid">
          <bgColor rgb="FF808080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b/>
        <i val="0"/>
        <color rgb="FFFFFFFF"/>
      </font>
      <fill>
        <patternFill patternType="solid">
          <bgColor rgb="FFFF0000"/>
        </patternFill>
      </fill>
    </dxf>
    <dxf>
      <font>
        <b/>
        <i val="0"/>
        <color rgb="FFFFFFFF"/>
      </font>
      <fill>
        <patternFill patternType="solid">
          <bgColor rgb="FF002060"/>
        </patternFill>
      </fill>
    </dxf>
    <dxf>
      <font>
        <b/>
        <i val="0"/>
        <color rgb="FFFFFFFF"/>
      </font>
      <fill>
        <patternFill patternType="solid">
          <bgColor rgb="FF808080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b/>
        <i val="0"/>
        <color rgb="FFFFFFFF"/>
      </font>
      <fill>
        <patternFill patternType="solid">
          <bgColor rgb="FFFF0000"/>
        </patternFill>
      </fill>
    </dxf>
    <dxf>
      <font>
        <b/>
        <i val="0"/>
        <color rgb="FFFFFFFF"/>
      </font>
      <fill>
        <patternFill patternType="solid">
          <bgColor rgb="FF002060"/>
        </patternFill>
      </fill>
    </dxf>
    <dxf>
      <font>
        <b/>
        <i val="0"/>
        <color rgb="FFFFFFFF"/>
      </font>
      <fill>
        <patternFill patternType="solid">
          <bgColor rgb="FF808080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b/>
        <i val="0"/>
        <color rgb="FFFFFFFF"/>
      </font>
      <fill>
        <patternFill patternType="solid">
          <bgColor rgb="FFFF0000"/>
        </patternFill>
      </fill>
    </dxf>
    <dxf>
      <font>
        <b/>
        <i val="0"/>
        <color rgb="FFFFFFFF"/>
      </font>
      <fill>
        <patternFill patternType="solid">
          <bgColor rgb="FF002060"/>
        </patternFill>
      </fill>
    </dxf>
    <dxf>
      <font>
        <b/>
        <i val="0"/>
        <color rgb="FFFFFFFF"/>
      </font>
      <fill>
        <patternFill patternType="solid">
          <bgColor rgb="FF808080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</dxf>
    <dxf>
      <font>
        <b/>
        <i val="0"/>
        <color rgb="FFFFFFFF"/>
      </font>
      <fill>
        <patternFill patternType="solid">
          <bgColor rgb="FF002060"/>
        </patternFill>
      </fill>
    </dxf>
    <dxf>
      <font>
        <b/>
        <i val="0"/>
        <color rgb="FFFFFFFF"/>
      </font>
      <fill>
        <patternFill patternType="solid">
          <bgColor rgb="FF808080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b/>
        <i val="0"/>
        <color rgb="FFFFFFFF"/>
      </font>
      <fill>
        <patternFill patternType="solid">
          <bgColor rgb="FFFF0000"/>
        </patternFill>
      </fill>
    </dxf>
    <dxf>
      <font>
        <b/>
        <i val="0"/>
        <color rgb="FFFFFFFF"/>
      </font>
      <fill>
        <patternFill patternType="solid">
          <bgColor rgb="FF002060"/>
        </patternFill>
      </fill>
    </dxf>
    <dxf>
      <font>
        <b/>
        <i val="0"/>
        <color rgb="FFFFFFFF"/>
      </font>
      <fill>
        <patternFill patternType="solid">
          <bgColor rgb="FF808080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b/>
        <i val="0"/>
        <color rgb="FFFFFFFF"/>
      </font>
      <fill>
        <patternFill patternType="solid">
          <bgColor rgb="FFFF0000"/>
        </patternFill>
      </fill>
    </dxf>
    <dxf>
      <font>
        <b/>
        <i val="0"/>
        <color rgb="FFFFFFFF"/>
      </font>
      <fill>
        <patternFill patternType="solid">
          <bgColor rgb="FF002060"/>
        </patternFill>
      </fill>
    </dxf>
    <dxf>
      <font>
        <b/>
        <i val="0"/>
        <color rgb="FFFFFFFF"/>
      </font>
      <fill>
        <patternFill patternType="solid">
          <bgColor rgb="FF808080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b/>
        <i val="0"/>
        <color rgb="FFFFFFFF"/>
      </font>
      <fill>
        <patternFill patternType="solid">
          <bgColor rgb="FFFF0000"/>
        </patternFill>
      </fill>
    </dxf>
    <dxf>
      <font>
        <b/>
        <i val="0"/>
        <color rgb="FFFFFFFF"/>
      </font>
      <fill>
        <patternFill patternType="solid">
          <bgColor rgb="FF002060"/>
        </patternFill>
      </fill>
    </dxf>
    <dxf>
      <font>
        <b/>
        <i val="0"/>
        <color rgb="FFFFFFFF"/>
      </font>
      <fill>
        <patternFill patternType="solid">
          <bgColor rgb="FF808080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b/>
        <i val="0"/>
        <color rgb="FFFFFFFF"/>
      </font>
      <fill>
        <patternFill patternType="solid">
          <bgColor rgb="FFFF0000"/>
        </patternFill>
      </fill>
    </dxf>
    <dxf>
      <font>
        <b/>
        <i val="0"/>
        <color rgb="FFFFFFFF"/>
      </font>
      <fill>
        <patternFill patternType="solid">
          <bgColor rgb="FF002060"/>
        </patternFill>
      </fill>
    </dxf>
    <dxf>
      <font>
        <b/>
        <i val="0"/>
        <color rgb="FFFFFFFF"/>
      </font>
      <fill>
        <patternFill patternType="solid">
          <bgColor rgb="FF808080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b/>
        <i val="0"/>
        <color rgb="FFFFFFFF"/>
      </font>
      <fill>
        <patternFill patternType="solid">
          <bgColor rgb="FFFF0000"/>
        </patternFill>
      </fill>
    </dxf>
    <dxf>
      <font>
        <b/>
        <i val="0"/>
        <color rgb="FFFFFFFF"/>
      </font>
      <fill>
        <patternFill patternType="solid">
          <bgColor rgb="FF002060"/>
        </patternFill>
      </fill>
    </dxf>
    <dxf>
      <font>
        <b/>
        <i val="0"/>
        <color rgb="FFFFFFFF"/>
      </font>
      <fill>
        <patternFill patternType="solid">
          <bgColor rgb="FF808080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b/>
        <i val="0"/>
        <color rgb="FFFFFFFF"/>
      </font>
      <fill>
        <patternFill patternType="solid">
          <bgColor rgb="FFFF0000"/>
        </patternFill>
      </fill>
    </dxf>
    <dxf>
      <font>
        <b/>
        <i val="0"/>
        <color rgb="FFFFFFFF"/>
      </font>
      <fill>
        <patternFill patternType="solid">
          <bgColor rgb="FF002060"/>
        </patternFill>
      </fill>
    </dxf>
    <dxf>
      <font>
        <b/>
        <i val="0"/>
        <color rgb="FFFFFFFF"/>
      </font>
      <fill>
        <patternFill patternType="solid">
          <bgColor rgb="FF808080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ont>
        <color rgb="FFFFFFFF"/>
      </font>
      <fill>
        <patternFill patternType="solid">
          <bgColor rgb="FFFFFF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FFFFFF"/>
      </font>
      <fill>
        <patternFill patternType="solid">
          <bgColor rgb="FF80808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9"/>
        </patternFill>
      </fill>
    </dxf>
    <dxf>
      <font>
        <b/>
        <i val="0"/>
        <color rgb="FFFFFFFF"/>
      </font>
      <fill>
        <patternFill patternType="solid">
          <bgColor rgb="FFFF0000"/>
        </patternFill>
      </fill>
    </dxf>
    <dxf>
      <font>
        <b/>
        <i val="0"/>
        <color rgb="FFFFFFFF"/>
      </font>
      <fill>
        <patternFill patternType="solid">
          <bgColor rgb="FF002060"/>
        </patternFill>
      </fill>
    </dxf>
    <dxf>
      <font>
        <b/>
        <i val="0"/>
        <color rgb="FFFFFFFF"/>
      </font>
      <fill>
        <patternFill patternType="solid">
          <bgColor rgb="FF808080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b/>
        <i val="0"/>
        <color rgb="FFFFFFFF"/>
      </font>
      <fill>
        <patternFill patternType="solid">
          <bgColor rgb="FFFF0000"/>
        </patternFill>
      </fill>
    </dxf>
    <dxf>
      <font>
        <b/>
        <i val="0"/>
        <color rgb="FFFFFFFF"/>
      </font>
      <fill>
        <patternFill patternType="solid">
          <bgColor rgb="FF002060"/>
        </patternFill>
      </fill>
    </dxf>
    <dxf>
      <font>
        <b/>
        <i val="0"/>
        <color rgb="FFFFFFFF"/>
      </font>
      <fill>
        <patternFill patternType="solid">
          <bgColor rgb="FF808080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b/>
        <i val="0"/>
        <color rgb="FFFFFFFF"/>
      </font>
      <fill>
        <patternFill patternType="solid">
          <bgColor rgb="FFFF0000"/>
        </patternFill>
      </fill>
    </dxf>
    <dxf>
      <font>
        <b/>
        <i val="0"/>
        <color rgb="FFFFFFFF"/>
      </font>
      <fill>
        <patternFill patternType="solid">
          <bgColor rgb="FF002060"/>
        </patternFill>
      </fill>
    </dxf>
    <dxf>
      <font>
        <b/>
        <i val="0"/>
        <color rgb="FFFFFFFF"/>
      </font>
      <fill>
        <patternFill patternType="solid">
          <bgColor rgb="FF808080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b/>
        <i val="0"/>
        <color rgb="FFFFFFFF"/>
      </font>
      <fill>
        <patternFill patternType="solid">
          <bgColor rgb="FFFF0000"/>
        </patternFill>
      </fill>
    </dxf>
    <dxf>
      <font>
        <b/>
        <i val="0"/>
        <color rgb="FFFFFFFF"/>
      </font>
      <fill>
        <patternFill patternType="solid">
          <bgColor rgb="FF002060"/>
        </patternFill>
      </fill>
    </dxf>
    <dxf>
      <font>
        <b/>
        <i val="0"/>
        <color rgb="FFFFFFFF"/>
      </font>
      <fill>
        <patternFill patternType="solid">
          <bgColor rgb="FF808080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b/>
        <i val="0"/>
        <color rgb="FFFFFFFF"/>
      </font>
      <fill>
        <patternFill patternType="solid">
          <bgColor rgb="FFFF0000"/>
        </patternFill>
      </fill>
    </dxf>
    <dxf>
      <font>
        <b/>
        <i val="0"/>
        <color rgb="FFFFFFFF"/>
      </font>
      <fill>
        <patternFill patternType="solid">
          <bgColor rgb="FF002060"/>
        </patternFill>
      </fill>
    </dxf>
    <dxf>
      <font>
        <b/>
        <i val="0"/>
        <color rgb="FFFFFFFF"/>
      </font>
      <fill>
        <patternFill patternType="solid">
          <bgColor rgb="FF808080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b/>
        <i val="0"/>
        <color rgb="FFFFFFFF"/>
      </font>
      <fill>
        <patternFill patternType="solid">
          <bgColor rgb="FFFF0000"/>
        </patternFill>
      </fill>
    </dxf>
    <dxf>
      <font>
        <b/>
        <i val="0"/>
        <color rgb="FFFFFFFF"/>
      </font>
      <fill>
        <patternFill patternType="solid">
          <bgColor rgb="FF002060"/>
        </patternFill>
      </fill>
    </dxf>
    <dxf>
      <font>
        <b/>
        <i val="0"/>
        <color rgb="FFFFFFFF"/>
      </font>
      <fill>
        <patternFill patternType="solid">
          <bgColor rgb="FF808080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b/>
        <i val="0"/>
        <color rgb="FFFFFFFF"/>
      </font>
      <fill>
        <patternFill patternType="solid">
          <bgColor rgb="FFFF0000"/>
        </patternFill>
      </fill>
    </dxf>
    <dxf>
      <font>
        <b/>
        <i val="0"/>
        <color rgb="FFFFFFFF"/>
      </font>
      <fill>
        <patternFill patternType="solid">
          <bgColor rgb="FF002060"/>
        </patternFill>
      </fill>
    </dxf>
    <dxf>
      <font>
        <b/>
        <i val="0"/>
        <color rgb="FFFFFFFF"/>
      </font>
      <fill>
        <patternFill patternType="solid">
          <bgColor rgb="FF808080"/>
        </patternFill>
      </fill>
    </dxf>
    <dxf>
      <font>
        <color rgb="FFFFFFFF"/>
      </font>
      <fill>
        <patternFill patternType="solid">
          <bgColor rgb="FFFFFFFF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</xdr:colOff>
          <xdr:row>0</xdr:row>
          <xdr:rowOff>38100</xdr:rowOff>
        </xdr:from>
        <xdr:to>
          <xdr:col>0</xdr:col>
          <xdr:colOff>1609725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Nueva Reunión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533400</xdr:colOff>
          <xdr:row>0</xdr:row>
          <xdr:rowOff>28575</xdr:rowOff>
        </xdr:from>
        <xdr:to>
          <xdr:col>1</xdr:col>
          <xdr:colOff>0</xdr:colOff>
          <xdr:row>0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Nueva Reunion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904875</xdr:colOff>
          <xdr:row>0</xdr:row>
          <xdr:rowOff>0</xdr:rowOff>
        </xdr:from>
        <xdr:to>
          <xdr:col>0</xdr:col>
          <xdr:colOff>2228850</xdr:colOff>
          <xdr:row>1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Nueva Reunion</a:t>
              </a:r>
            </a:p>
            <a:p>
              <a:pPr algn="ctr" rtl="0">
                <a:defRPr sz="1000"/>
              </a:pPr>
              <a:endParaRPr lang="es-MX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0</xdr:row>
          <xdr:rowOff>19050</xdr:rowOff>
        </xdr:from>
        <xdr:to>
          <xdr:col>0</xdr:col>
          <xdr:colOff>1647825</xdr:colOff>
          <xdr:row>1</xdr:row>
          <xdr:rowOff>9525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Nueva Reunion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0</xdr:row>
          <xdr:rowOff>0</xdr:rowOff>
        </xdr:from>
        <xdr:to>
          <xdr:col>0</xdr:col>
          <xdr:colOff>1876425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Nueva Reunion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676275</xdr:colOff>
          <xdr:row>0</xdr:row>
          <xdr:rowOff>0</xdr:rowOff>
        </xdr:from>
        <xdr:to>
          <xdr:col>0</xdr:col>
          <xdr:colOff>1771650</xdr:colOff>
          <xdr:row>1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Nueva Reunion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0F7DAA89-C704-4B32-972A-68986CE83529}">
  <we:reference id="wa104380955" version="3.16.2.1" store="es-ES" storeType="OMEX"/>
  <we:alternateReferences>
    <we:reference id="WA104380955" version="3.16.2.1" store="WA104380955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75C9CB8A-0653-4118-BDEC-33F1DB518DCE}">
  <we:reference id="wa104381893" version="1.1.0.0" store="es-ES" storeType="OMEX"/>
  <we:alternateReferences>
    <we:reference id="WA104381893" version="1.1.0.0" store="WA104381893" storeType="OMEX"/>
  </we:alternateReferences>
  <we:properties>
    <we:property name="tutorialPlayed" value="true"/>
  </we:properties>
  <we:bindings>
    <we:binding id="meta-1758478634118" type="text" appref="{0DB96889-052D-4344-97ED-EB3B30C68AF4}"/>
    <we:binding id="usdmxn-1758478665669" type="text" appref="{6A59D71A-42C7-4905-A3C1-03F364CEED56}"/>
    <we:binding id="femsa-1758478702208" type="text" appref="{28509411-FAD6-483B-9718-0514D0C54F8E}"/>
    <we:binding id="mstr-1758478725597" type="text" appref="{BECEAF1F-CD7E-4FA9-8983-EB3B7D282CFA}"/>
  </we:bindings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_xldudf_YAIQUOTES_GETCURRENTQUOTE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Z85"/>
  <sheetViews>
    <sheetView zoomScale="85" zoomScaleNormal="85" workbookViewId="0">
      <selection activeCell="A4" sqref="A4"/>
    </sheetView>
  </sheetViews>
  <sheetFormatPr baseColWidth="10" defaultColWidth="9.140625" defaultRowHeight="15" x14ac:dyDescent="0.25"/>
  <cols>
    <col min="1" max="1" width="27" style="12" customWidth="1"/>
    <col min="2" max="26" width="7.42578125" style="5" customWidth="1"/>
    <col min="27" max="27" width="8" style="5" bestFit="1" customWidth="1"/>
    <col min="28" max="30" width="7.42578125" style="5" customWidth="1"/>
    <col min="31" max="31" width="8" style="5" bestFit="1" customWidth="1"/>
    <col min="32" max="36" width="7.42578125" style="5" customWidth="1"/>
    <col min="37" max="37" width="8" style="5" bestFit="1" customWidth="1"/>
    <col min="38" max="48" width="7.42578125" style="5" customWidth="1"/>
    <col min="49" max="50" width="8.42578125" style="5" bestFit="1" customWidth="1"/>
    <col min="51" max="52" width="7.42578125" style="5" customWidth="1"/>
  </cols>
  <sheetData>
    <row r="1" spans="1:52" x14ac:dyDescent="0.25">
      <c r="A1" s="235" t="s">
        <v>86</v>
      </c>
      <c r="B1" s="334">
        <v>46141</v>
      </c>
      <c r="C1" s="336"/>
      <c r="D1" s="210"/>
      <c r="E1" s="334">
        <v>46099</v>
      </c>
      <c r="F1" s="336"/>
      <c r="G1" s="210">
        <v>3.7499999999999999E-2</v>
      </c>
      <c r="H1" s="330">
        <v>46050</v>
      </c>
      <c r="I1" s="343"/>
      <c r="J1" s="210">
        <v>3.7499999999999999E-2</v>
      </c>
      <c r="K1" s="330">
        <v>46001</v>
      </c>
      <c r="L1" s="343"/>
      <c r="M1" s="210">
        <v>3.7499999999999999E-2</v>
      </c>
      <c r="N1" s="334">
        <v>45959</v>
      </c>
      <c r="O1" s="336"/>
      <c r="P1" s="210">
        <v>0.04</v>
      </c>
      <c r="Q1" s="334">
        <v>45917</v>
      </c>
      <c r="R1" s="336"/>
      <c r="S1" s="210">
        <v>4.2500000000000003E-2</v>
      </c>
      <c r="T1" s="337">
        <v>45868</v>
      </c>
      <c r="U1" s="338"/>
      <c r="V1" s="210">
        <v>4.4999999999999998E-2</v>
      </c>
      <c r="W1" s="337">
        <v>45826</v>
      </c>
      <c r="X1" s="338"/>
      <c r="Y1" s="210">
        <v>4.4999999999999998E-2</v>
      </c>
      <c r="Z1" s="330">
        <v>45784</v>
      </c>
      <c r="AA1" s="331"/>
      <c r="AB1" s="14">
        <v>4.4999999999999998E-2</v>
      </c>
      <c r="AC1" s="333">
        <v>45735</v>
      </c>
      <c r="AD1" s="331"/>
      <c r="AE1" s="14">
        <v>4.4999999999999998E-2</v>
      </c>
      <c r="AF1" s="334">
        <v>45686</v>
      </c>
      <c r="AG1" s="335"/>
      <c r="AH1" s="14">
        <v>4.4999999999999998E-2</v>
      </c>
      <c r="AI1" s="333">
        <v>41961</v>
      </c>
      <c r="AJ1" s="331"/>
      <c r="AK1" s="14">
        <v>4.4999999999999998E-2</v>
      </c>
      <c r="AL1" s="334">
        <v>45603</v>
      </c>
      <c r="AM1" s="335"/>
      <c r="AN1" s="14">
        <v>4.7500000000000001E-2</v>
      </c>
      <c r="AO1" s="334">
        <v>45553</v>
      </c>
      <c r="AP1" s="335"/>
      <c r="AQ1" s="14">
        <v>0.05</v>
      </c>
      <c r="AR1" s="341">
        <v>45504</v>
      </c>
      <c r="AS1" s="342"/>
      <c r="AT1" s="14">
        <v>5.5E-2</v>
      </c>
      <c r="AU1" s="339">
        <v>45455</v>
      </c>
      <c r="AV1" s="340"/>
      <c r="AW1" s="81">
        <v>5.5E-2</v>
      </c>
      <c r="AX1" s="339">
        <v>45413</v>
      </c>
      <c r="AY1" s="340"/>
      <c r="AZ1" s="14">
        <v>5.5E-2</v>
      </c>
    </row>
    <row r="2" spans="1:52" x14ac:dyDescent="0.25">
      <c r="A2" s="236" t="s">
        <v>1</v>
      </c>
      <c r="B2" s="332" t="str">
        <f>IF(AND(D3="-",D4="-",D5="-",D6="-",D7="-",D8="-",D9="-",D10="-",D11="-",D12="-",D13="-"),"",
    IF((SUMPRODUCT((D3="-")*0 + (D3&lt;0)*-2 + (D3&gt;0)*2 + (D3=0)*0) +
        SUMPRODUCT((D4="-")*0 + (D4&lt;0)*-2 + (D4&gt;0)*2 + (D4=0)*0) +
        SUMPRODUCT((D5="-")*0 + (D5&lt;0)*-2 + (D5&gt;0)*2 + (D5=0)*0) +
        SUMPRODUCT((D6="-")*0 + (D6&lt;0)*-2 + (D6&gt;0)*2 + (D6=0)*0) +
        SUMPRODUCT((D7="-")*0 + (D7&lt;0)*-2 + (D7&gt;0)*2 + (D7=0)*0) +
        SUMPRODUCT((D8="-")*0 + (D8&lt;0)*-2 + (D8&gt;0)*2 + (D8=0)*0) +
        SUMPRODUCT((D9="-")*0 + (D9&lt;0)*-1 + (D9&gt;0)*1 + (D9=0)*0) +
        SUMPRODUCT((D10="-")*0 + (D10&lt;0)*-1 + (D10&gt;0)*1 + (D10=0)*0) +
        SUMPRODUCT((D11="-")*0 + (D11&lt;0)*-1 + (D11&gt;0)*1 + (D11=0)*0) +
        SUMPRODUCT((D12="-")*0 + (D12&lt;0)*-1 + (D12&gt;0)*1 + (D12=0)*0) +
        SUMPRODUCT((D13="-")*0 + (D13&lt;0)*-1 + (D13&gt;0)*1 + (D13=0)*0)) / 17 &gt; 0.1, "BULLISH",
    IF((SUMPRODUCT((D3="-")*0 + (D3&lt;0)*-2 + (D3&gt;0)*2 + (D3=0)*0) +
        SUMPRODUCT((D4="-")*0 + (D4&lt;0)*-2 + (D4&gt;0)*2 + (D4=0)*0) +
        SUMPRODUCT((D5="-")*0 + (D5&lt;0)*-2 + (D5&gt;0)*2 + (D5=0)*0) +
        SUMPRODUCT((D6="-")*0 + (D6&lt;0)*-2 + (D6&gt;0)*2 + (D6=0)*0) +
        SUMPRODUCT((D7="-")*0 + (D7&lt;0)*-2 + (D7&gt;0)*2 + (D7=0)*0) +
        SUMPRODUCT((D8="-")*0 + (D8&lt;0)*-2 + (D8&gt;0)*2 + (D8=0)*0) +
        SUMPRODUCT((D9="-")*0 + (D9&lt;0)*-1 + (D9&gt;0)*1 + (D9=0)*0) +
        SUMPRODUCT((D10="-")*0 + (D10&lt;0)*-1 + (D10&gt;0)*1 + (D10=0)*0) +
        SUMPRODUCT((D11="-")*0 + (D11&lt;0)*-1 + (D11&gt;0)*1 + (D11=0)*0) +
        SUMPRODUCT((D12="-")*0 + (D12&lt;0)*-1 + (D12&gt;0)*1 + (D12=0)*0) +
        SUMPRODUCT((D13="-")*0 + (D13&lt;0)*-1 + (D13&gt;0)*1 + (D13=0)*0)) / 17 &lt; -0.1, "BEARISH",
    "NEUTRO")))</f>
        <v>BULLISH</v>
      </c>
      <c r="C2" s="332"/>
      <c r="D2" s="332"/>
      <c r="E2" s="332" t="str">
        <f>IF(AND(G3="-",G4="-",G5="-",G6="-",G7="-",G8="-",G9="-",G10="-",G11="-",G12="-",G13="-"),"",
    IF((SUMPRODUCT((G3="-")*0 + (G3&lt;0)*-2 + (G3&gt;0)*2 + (G3=0)*0) +
        SUMPRODUCT((G4="-")*0 + (G4&lt;0)*-2 + (G4&gt;0)*2 + (G4=0)*0) +
        SUMPRODUCT((G5="-")*0 + (G5&lt;0)*-2 + (G5&gt;0)*2 + (G5=0)*0) +
        SUMPRODUCT((G6="-")*0 + (G6&lt;0)*-2 + (G6&gt;0)*2 + (G6=0)*0) +
        SUMPRODUCT((G7="-")*0 + (G7&lt;0)*-2 + (G7&gt;0)*2 + (G7=0)*0) +
        SUMPRODUCT((G8="-")*0 + (G8&lt;0)*-2 + (G8&gt;0)*2 + (G8=0)*0) +
        SUMPRODUCT((G9="-")*0 + (G9&lt;0)*-1 + (G9&gt;0)*1 + (G9=0)*0) +
        SUMPRODUCT((G10="-")*0 + (G10&lt;0)*-1 + (G10&gt;0)*1 + (G10=0)*0) +
        SUMPRODUCT((G11="-")*0 + (G11&lt;0)*-1 + (G11&gt;0)*1 + (G11=0)*0) +
        SUMPRODUCT((G12="-")*0 + (G12&lt;0)*-1 + (G12&gt;0)*1 + (G12=0)*0) +
        SUMPRODUCT((G13="-")*0 + (G13&lt;0)*-1 + (G13&gt;0)*1 + (G13=0)*0)) / 17 &gt; 0.1, "BULLISH",
    IF((SUMPRODUCT((G3="-")*0 + (G3&lt;0)*-2 + (G3&gt;0)*2 + (G3=0)*0) +
        SUMPRODUCT((G4="-")*0 + (G4&lt;0)*-2 + (G4&gt;0)*2 + (G4=0)*0) +
        SUMPRODUCT((G5="-")*0 + (G5&lt;0)*-2 + (G5&gt;0)*2 + (G5=0)*0) +
        SUMPRODUCT((G6="-")*0 + (G6&lt;0)*-2 + (G6&gt;0)*2 + (G6=0)*0) +
        SUMPRODUCT((G7="-")*0 + (G7&lt;0)*-2 + (G7&gt;0)*2 + (G7=0)*0) +
        SUMPRODUCT((G8="-")*0 + (G8&lt;0)*-2 + (G8&gt;0)*2 + (G8=0)*0) +
        SUMPRODUCT((G9="-")*0 + (G9&lt;0)*-1 + (G9&gt;0)*1 + (G9=0)*0) +
        SUMPRODUCT((G10="-")*0 + (G10&lt;0)*-1 + (G10&gt;0)*1 + (G10=0)*0) +
        SUMPRODUCT((G11="-")*0 + (G11&lt;0)*-1 + (G11&gt;0)*1 + (G11=0)*0) +
        SUMPRODUCT((G12="-")*0 + (G12&lt;0)*-1 + (G12&gt;0)*1 + (G12=0)*0) +
        SUMPRODUCT((G13="-")*0 + (G13&lt;0)*-1 + (G13&gt;0)*1 + (G13=0)*0)) / 17 &lt; -0.1, "BEARISH",
    "NEUTRO")))</f>
        <v>BULLISH</v>
      </c>
      <c r="F2" s="332"/>
      <c r="G2" s="332"/>
      <c r="H2" s="332" t="str">
        <f>IF(AND(J3="-",J4="-",J5="-",J6="-",J7="-",J8="-",J9="-",J10="-",J11="-",J12="-",J13="-"),"",
    IF((SUMPRODUCT((J3="-")*0 + (J3&lt;0)*-2 + (J3&gt;0)*2 + (J3=0)*0) +
        SUMPRODUCT((J4="-")*0 + (J4&lt;0)*-2 + (J4&gt;0)*2 + (J4=0)*0) +
        SUMPRODUCT((J5="-")*0 + (J5&lt;0)*-2 + (J5&gt;0)*2 + (J5=0)*0) +
        SUMPRODUCT((J6="-")*0 + (J6&lt;0)*-2 + (J6&gt;0)*2 + (J6=0)*0) +
        SUMPRODUCT((J7="-")*0 + (J7&lt;0)*-2 + (J7&gt;0)*2 + (J7=0)*0) +
        SUMPRODUCT((J8="-")*0 + (J8&lt;0)*-2 + (J8&gt;0)*2 + (J8=0)*0) +
        SUMPRODUCT((J9="-")*0 + (J9&lt;0)*-1 + (J9&gt;0)*1 + (J9=0)*0) +
        SUMPRODUCT((J10="-")*0 + (J10&lt;0)*-1 + (J10&gt;0)*1 + (J10=0)*0) +
        SUMPRODUCT((J11="-")*0 + (J11&lt;0)*-1 + (J11&gt;0)*1 + (J11=0)*0) +
        SUMPRODUCT((J12="-")*0 + (J12&lt;0)*-1 + (J12&gt;0)*1 + (J12=0)*0) +
        SUMPRODUCT((J13="-")*0 + (J13&lt;0)*-1 + (J13&gt;0)*1 + (J13=0)*0)) / 17 &gt; 0.1, "BULLISH",
    IF((SUMPRODUCT((J3="-")*0 + (J3&lt;0)*-2 + (J3&gt;0)*2 + (J3=0)*0) +
        SUMPRODUCT((J4="-")*0 + (J4&lt;0)*-2 + (J4&gt;0)*2 + (J4=0)*0) +
        SUMPRODUCT((J5="-")*0 + (J5&lt;0)*-2 + (J5&gt;0)*2 + (J5=0)*0) +
        SUMPRODUCT((J6="-")*0 + (J6&lt;0)*-2 + (J6&gt;0)*2 + (J6=0)*0) +
        SUMPRODUCT((J7="-")*0 + (J7&lt;0)*-2 + (J7&gt;0)*2 + (J7=0)*0) +
        SUMPRODUCT((J8="-")*0 + (J8&lt;0)*-2 + (J8&gt;0)*2 + (J8=0)*0) +
        SUMPRODUCT((J9="-")*0 + (J9&lt;0)*-1 + (J9&gt;0)*1 + (J9=0)*0) +
        SUMPRODUCT((J10="-")*0 + (J10&lt;0)*-1 + (J10&gt;0)*1 + (J10=0)*0) +
        SUMPRODUCT((J11="-")*0 + (J11&lt;0)*-1 + (J11&gt;0)*1 + (J11=0)*0) +
        SUMPRODUCT((J12="-")*0 + (J12&lt;0)*-1 + (J12&gt;0)*1 + (J12=0)*0) +
        SUMPRODUCT((J13="-")*0 + (J13&lt;0)*-1 + (J13&gt;0)*1 + (J13=0)*0)) / 17 &lt; -0.1, "BEARISH",
    "NEUTRO")))</f>
        <v>BULLISH</v>
      </c>
      <c r="I2" s="332"/>
      <c r="J2" s="332"/>
      <c r="K2" s="332" t="str">
        <f>IF(AND(M3="-",M4="-",M5="-",M6="-",M7="-",M8="-",M9="-",M10="-",M11="-",M12="-",M13="-"),"",
    IF((SUMPRODUCT((M3="-")*0 + (M3&lt;0)*-2 + (M3&gt;0)*2 + (M3=0)*0) +
        SUMPRODUCT((M4="-")*0 + (M4&lt;0)*-2 + (M4&gt;0)*2 + (M4=0)*0) +
        SUMPRODUCT((M5="-")*0 + (M5&lt;0)*-2 + (M5&gt;0)*2 + (M5=0)*0) +
        SUMPRODUCT((M6="-")*0 + (M6&lt;0)*-2 + (M6&gt;0)*2 + (M6=0)*0) +
        SUMPRODUCT((M7="-")*0 + (M7&lt;0)*-2 + (M7&gt;0)*2 + (M7=0)*0) +
        SUMPRODUCT((M8="-")*0 + (M8&lt;0)*-2 + (M8&gt;0)*2 + (M8=0)*0) +
        SUMPRODUCT((M9="-")*0 + (M9&lt;0)*-1 + (M9&gt;0)*1 + (M9=0)*0) +
        SUMPRODUCT((M10="-")*0 + (M10&lt;0)*-1 + (M10&gt;0)*1 + (M10=0)*0) +
        SUMPRODUCT((M11="-")*0 + (M11&lt;0)*-1 + (M11&gt;0)*1 + (M11=0)*0) +
        SUMPRODUCT((M12="-")*0 + (M12&lt;0)*-1 + (M12&gt;0)*1 + (M12=0)*0) +
        SUMPRODUCT((M13="-")*0 + (M13&lt;0)*-1 + (M13&gt;0)*1 + (M13=0)*0)) / 17 &gt; 0.1, "BULLISH",
    IF((SUMPRODUCT((M3="-")*0 + (M3&lt;0)*-2 + (M3&gt;0)*2 + (M3=0)*0) +
        SUMPRODUCT((M4="-")*0 + (M4&lt;0)*-2 + (M4&gt;0)*2 + (M4=0)*0) +
        SUMPRODUCT((M5="-")*0 + (M5&lt;0)*-2 + (M5&gt;0)*2 + (M5=0)*0) +
        SUMPRODUCT((M6="-")*0 + (M6&lt;0)*-2 + (M6&gt;0)*2 + (M6=0)*0) +
        SUMPRODUCT((M7="-")*0 + (M7&lt;0)*-2 + (M7&gt;0)*2 + (M7=0)*0) +
        SUMPRODUCT((M8="-")*0 + (M8&lt;0)*-2 + (M8&gt;0)*2 + (M8=0)*0) +
        SUMPRODUCT((M9="-")*0 + (M9&lt;0)*-1 + (M9&gt;0)*1 + (M9=0)*0) +
        SUMPRODUCT((M10="-")*0 + (M10&lt;0)*-1 + (M10&gt;0)*1 + (M10=0)*0) +
        SUMPRODUCT((M11="-")*0 + (M11&lt;0)*-1 + (M11&gt;0)*1 + (M11=0)*0) +
        SUMPRODUCT((M12="-")*0 + (M12&lt;0)*-1 + (M12&gt;0)*1 + (M12=0)*0) +
        SUMPRODUCT((M13="-")*0 + (M13&lt;0)*-1 + (M13&gt;0)*1 + (M13=0)*0)) / 17 &lt; -0.1, "BEARISH",
    "NEUTRO")))</f>
        <v>BULLISH</v>
      </c>
      <c r="L2" s="332"/>
      <c r="M2" s="332"/>
      <c r="N2" s="332" t="str">
        <f>IF(AND(P3="-",P4="-",P5="-",P6="-",P7="-",P8="-",P9="-",P10="-",P11="-",P12="-",P13="-"),"",
    IF((SUMPRODUCT((P3="-")*0 + (P3&lt;0)*-2 + (P3&gt;0)*2 + (P3=0)*0) +
        SUMPRODUCT((P4="-")*0 + (P4&lt;0)*-2 + (P4&gt;0)*2 + (P4=0)*0) +
        SUMPRODUCT((P5="-")*0 + (P5&lt;0)*-2 + (P5&gt;0)*2 + (P5=0)*0) +
        SUMPRODUCT((P6="-")*0 + (P6&lt;0)*-2 + (P6&gt;0)*2 + (P6=0)*0) +
        SUMPRODUCT((P7="-")*0 + (P7&lt;0)*-2 + (P7&gt;0)*2 + (P7=0)*0) +
        SUMPRODUCT((P8="-")*0 + (P8&lt;0)*-2 + (P8&gt;0)*2 + (P8=0)*0) +
        SUMPRODUCT((P9="-")*0 + (P9&lt;0)*-1 + (P9&gt;0)*1 + (P9=0)*0) +
        SUMPRODUCT((P10="-")*0 + (P10&lt;0)*-1 + (P10&gt;0)*1 + (P10=0)*0) +
        SUMPRODUCT((P11="-")*0 + (P11&lt;0)*-1 + (P11&gt;0)*1 + (P11=0)*0) +
        SUMPRODUCT((P12="-")*0 + (P12&lt;0)*-1 + (P12&gt;0)*1 + (P12=0)*0) +
        SUMPRODUCT((P13="-")*0 + (P13&lt;0)*-1 + (P13&gt;0)*1 + (P13=0)*0)) / 17 &gt; 0.1, "BULLISH",
    IF((SUMPRODUCT((P3="-")*0 + (P3&lt;0)*-2 + (P3&gt;0)*2 + (P3=0)*0) +
        SUMPRODUCT((P4="-")*0 + (P4&lt;0)*-2 + (P4&gt;0)*2 + (P4=0)*0) +
        SUMPRODUCT((P5="-")*0 + (P5&lt;0)*-2 + (P5&gt;0)*2 + (P5=0)*0) +
        SUMPRODUCT((P6="-")*0 + (P6&lt;0)*-2 + (P6&gt;0)*2 + (P6=0)*0) +
        SUMPRODUCT((P7="-")*0 + (P7&lt;0)*-2 + (P7&gt;0)*2 + (P7=0)*0) +
        SUMPRODUCT((P8="-")*0 + (P8&lt;0)*-2 + (P8&gt;0)*2 + (P8=0)*0) +
        SUMPRODUCT((P9="-")*0 + (P9&lt;0)*-1 + (P9&gt;0)*1 + (P9=0)*0) +
        SUMPRODUCT((P10="-")*0 + (P10&lt;0)*-1 + (P10&gt;0)*1 + (P10=0)*0) +
        SUMPRODUCT((P11="-")*0 + (P11&lt;0)*-1 + (P11&gt;0)*1 + (P11=0)*0) +
        SUMPRODUCT((P12="-")*0 + (P12&lt;0)*-1 + (P12&gt;0)*1 + (P12=0)*0) +
        SUMPRODUCT((P13="-")*0 + (P13&lt;0)*-1 + (P13&gt;0)*1 + (P13=0)*0)) / 17 &lt; -0.1, "BEARISH",
    "NEUTRO")))</f>
        <v>BEARISH</v>
      </c>
      <c r="O2" s="332"/>
      <c r="P2" s="332"/>
      <c r="Q2" s="332" t="str">
        <f>IF(AND(S3="-",S4="-",S5="-",S6="-",S7="-",S8="-",S9="-",S10="-",S11="-",S12="-",S13="-"),"",
    IF((SUMPRODUCT((S3="-")*0 + (S3&lt;0)*-2 + (S3&gt;0)*2 + (S3=0)*0) +
        SUMPRODUCT((S4="-")*0 + (S4&lt;0)*-2 + (S4&gt;0)*2 + (S4=0)*0) +
        SUMPRODUCT((S5="-")*0 + (S5&lt;0)*-2 + (S5&gt;0)*2 + (S5=0)*0) +
        SUMPRODUCT((S6="-")*0 + (S6&lt;0)*-2 + (S6&gt;0)*2 + (S6=0)*0) +
        SUMPRODUCT((S7="-")*0 + (S7&lt;0)*-2 + (S7&gt;0)*2 + (S7=0)*0) +
        SUMPRODUCT((S8="-")*0 + (S8&lt;0)*-2 + (S8&gt;0)*2 + (S8=0)*0) +
        SUMPRODUCT((S9="-")*0 + (S9&lt;0)*-1 + (S9&gt;0)*1 + (S9=0)*0) +
        SUMPRODUCT((S10="-")*0 + (S10&lt;0)*-1 + (S10&gt;0)*1 + (S10=0)*0) +
        SUMPRODUCT((S11="-")*0 + (S11&lt;0)*-1 + (S11&gt;0)*1 + (S11=0)*0) +
        SUMPRODUCT((S12="-")*0 + (S12&lt;0)*-1 + (S12&gt;0)*1 + (S12=0)*0) +
        SUMPRODUCT((S13="-")*0 + (S13&lt;0)*-1 + (S13&gt;0)*1 + (S13=0)*0)) / 17 &gt; 0.1, "BULLISH",
    IF((SUMPRODUCT((S3="-")*0 + (S3&lt;0)*-2 + (S3&gt;0)*2 + (S3=0)*0) +
        SUMPRODUCT((S4="-")*0 + (S4&lt;0)*-2 + (S4&gt;0)*2 + (S4=0)*0) +
        SUMPRODUCT((S5="-")*0 + (S5&lt;0)*-2 + (S5&gt;0)*2 + (S5=0)*0) +
        SUMPRODUCT((S6="-")*0 + (S6&lt;0)*-2 + (S6&gt;0)*2 + (S6=0)*0) +
        SUMPRODUCT((S7="-")*0 + (S7&lt;0)*-2 + (S7&gt;0)*2 + (S7=0)*0) +
        SUMPRODUCT((S8="-")*0 + (S8&lt;0)*-2 + (S8&gt;0)*2 + (S8=0)*0) +
        SUMPRODUCT((S9="-")*0 + (S9&lt;0)*-1 + (S9&gt;0)*1 + (S9=0)*0) +
        SUMPRODUCT((S10="-")*0 + (S10&lt;0)*-1 + (S10&gt;0)*1 + (S10=0)*0) +
        SUMPRODUCT((S11="-")*0 + (S11&lt;0)*-1 + (S11&gt;0)*1 + (S11=0)*0) +
        SUMPRODUCT((S12="-")*0 + (S12&lt;0)*-1 + (S12&gt;0)*1 + (S12=0)*0) +
        SUMPRODUCT((S13="-")*0 + (S13&lt;0)*-1 + (S13&gt;0)*1 + (S13=0)*0)) / 17 &lt; -0.1, "BEARISH",
    "NEUTRO")))</f>
        <v>BULLISH</v>
      </c>
      <c r="R2" s="332"/>
      <c r="S2" s="332"/>
      <c r="T2" s="332" t="str">
        <f>IF(AND(V3="-",V4="-",V5="-",V6="-",V7="-",V8="-",V9="-",V10="-",V11="-",V12="-",V13="-"),"",
    IF((SUMPRODUCT((V3="-")*0 + (V3&lt;0)*-2 + (V3&gt;0)*2 + (V3=0)*0) +
        SUMPRODUCT((V4="-")*0 + (V4&lt;0)*-2 + (V4&gt;0)*2 + (V4=0)*0) +
        SUMPRODUCT((V5="-")*0 + (V5&lt;0)*-2 + (V5&gt;0)*2 + (V5=0)*0) +
        SUMPRODUCT((V6="-")*0 + (V6&lt;0)*-2 + (V6&gt;0)*2 + (V6=0)*0) +
        SUMPRODUCT((V7="-")*0 + (V7&lt;0)*-2 + (V7&gt;0)*2 + (V7=0)*0) +
        SUMPRODUCT((V8="-")*0 + (V8&lt;0)*-2 + (V8&gt;0)*2 + (V8=0)*0) +
        SUMPRODUCT((V9="-")*0 + (V9&lt;0)*-1 + (V9&gt;0)*1 + (V9=0)*0) +
        SUMPRODUCT((V10="-")*0 + (V10&lt;0)*-1 + (V10&gt;0)*1 + (V10=0)*0) +
        SUMPRODUCT((V11="-")*0 + (V11&lt;0)*-1 + (V11&gt;0)*1 + (V11=0)*0) +
        SUMPRODUCT((V12="-")*0 + (V12&lt;0)*-1 + (V12&gt;0)*1 + (V12=0)*0) +
        SUMPRODUCT((V13="-")*0 + (V13&lt;0)*-1 + (V13&gt;0)*1 + (V13=0)*0)) / 17 &gt; 0.1, "BULLISH",
    IF((SUMPRODUCT((V3="-")*0 + (V3&lt;0)*-2 + (V3&gt;0)*2 + (V3=0)*0) +
        SUMPRODUCT((V4="-")*0 + (V4&lt;0)*-2 + (V4&gt;0)*2 + (V4=0)*0) +
        SUMPRODUCT((V5="-")*0 + (V5&lt;0)*-2 + (V5&gt;0)*2 + (V5=0)*0) +
        SUMPRODUCT((V6="-")*0 + (V6&lt;0)*-2 + (V6&gt;0)*2 + (V6=0)*0) +
        SUMPRODUCT((V7="-")*0 + (V7&lt;0)*-2 + (V7&gt;0)*2 + (V7=0)*0) +
        SUMPRODUCT((V8="-")*0 + (V8&lt;0)*-2 + (V8&gt;0)*2 + (V8=0)*0) +
        SUMPRODUCT((V9="-")*0 + (V9&lt;0)*-1 + (V9&gt;0)*1 + (V9=0)*0) +
        SUMPRODUCT((V10="-")*0 + (V10&lt;0)*-1 + (V10&gt;0)*1 + (V10=0)*0) +
        SUMPRODUCT((V11="-")*0 + (V11&lt;0)*-1 + (V11&gt;0)*1 + (V11=0)*0) +
        SUMPRODUCT((V12="-")*0 + (V12&lt;0)*-1 + (V12&gt;0)*1 + (V12=0)*0) +
        SUMPRODUCT((V13="-")*0 + (V13&lt;0)*-1 + (V13&gt;0)*1 + (V13=0)*0)) / 17 &lt; -0.1, "BEARISH",
    "NEUTRO")))</f>
        <v>BULLISH</v>
      </c>
      <c r="U2" s="332"/>
      <c r="V2" s="332"/>
      <c r="W2" s="332" t="str">
        <f>IF(AND(Y3="-",Y4="-",Y5="-",Y6="-",Y7="-",Y8="-",Y9="-",Y10="-",Y11="-",Y12="-",Y13="-"),"",
    IF((SUMPRODUCT((Y3="-")*0 + (Y3&lt;0)*-2 + (Y3&gt;0)*2 + (Y3=0)*0) +
        SUMPRODUCT((Y4="-")*0 + (Y4&lt;0)*-2 + (Y4&gt;0)*2 + (Y4=0)*0) +
        SUMPRODUCT((Y5="-")*0 + (Y5&lt;0)*-2 + (Y5&gt;0)*2 + (Y5=0)*0) +
        SUMPRODUCT((Y6="-")*0 + (Y6&lt;0)*-2 + (Y6&gt;0)*2 + (Y6=0)*0) +
        SUMPRODUCT((Y7="-")*0 + (Y7&lt;0)*-2 + (Y7&gt;0)*2 + (Y7=0)*0) +
        SUMPRODUCT((Y8="-")*0 + (Y8&lt;0)*-2 + (Y8&gt;0)*2 + (Y8=0)*0) +
        SUMPRODUCT((Y9="-")*0 + (Y9&lt;0)*-1 + (Y9&gt;0)*1 + (Y9=0)*0) +
        SUMPRODUCT((Y10="-")*0 + (Y10&lt;0)*-1 + (Y10&gt;0)*1 + (Y10=0)*0) +
        SUMPRODUCT((Y11="-")*0 + (Y11&lt;0)*-1 + (Y11&gt;0)*1 + (Y11=0)*0) +
        SUMPRODUCT((Y12="-")*0 + (Y12&lt;0)*-1 + (Y12&gt;0)*1 + (Y12=0)*0) +
        SUMPRODUCT((Y13="-")*0 + (Y13&lt;0)*-1 + (Y13&gt;0)*1 + (Y13=0)*0)) / 17 &gt; 0.1, "BULLISH",
    IF((SUMPRODUCT((Y3="-")*0 + (Y3&lt;0)*-2 + (Y3&gt;0)*2 + (Y3=0)*0) +
        SUMPRODUCT((Y4="-")*0 + (Y4&lt;0)*-2 + (Y4&gt;0)*2 + (Y4=0)*0) +
        SUMPRODUCT((Y5="-")*0 + (Y5&lt;0)*-2 + (Y5&gt;0)*2 + (Y5=0)*0) +
        SUMPRODUCT((Y6="-")*0 + (Y6&lt;0)*-2 + (Y6&gt;0)*2 + (Y6=0)*0) +
        SUMPRODUCT((Y7="-")*0 + (Y7&lt;0)*-2 + (Y7&gt;0)*2 + (Y7=0)*0) +
        SUMPRODUCT((Y8="-")*0 + (Y8&lt;0)*-2 + (Y8&gt;0)*2 + (Y8=0)*0) +
        SUMPRODUCT((Y9="-")*0 + (Y9&lt;0)*-1 + (Y9&gt;0)*1 + (Y9=0)*0) +
        SUMPRODUCT((Y10="-")*0 + (Y10&lt;0)*-1 + (Y10&gt;0)*1 + (Y10=0)*0) +
        SUMPRODUCT((Y11="-")*0 + (Y11&lt;0)*-1 + (Y11&gt;0)*1 + (Y11=0)*0) +
        SUMPRODUCT((Y12="-")*0 + (Y12&lt;0)*-1 + (Y12&gt;0)*1 + (Y12=0)*0) +
        SUMPRODUCT((Y13="-")*0 + (Y13&lt;0)*-1 + (Y13&gt;0)*1 + (Y13=0)*0)) / 17 &lt; -0.1, "BEARISH",
    "NEUTRO")))</f>
        <v>BULLISH</v>
      </c>
      <c r="X2" s="332"/>
      <c r="Y2" s="332"/>
      <c r="Z2" s="320" t="str">
        <f>IF(AND(AB3="-",AB4="-",AB5="-",AB6="-",AB7="-",AB8="-",AB9="-",AB10="-",AB11="-",AB12="-",AB13="-"),"",
    IF((SUMPRODUCT((AB3="-")*0 + (AB3&lt;0)*-2 + (AB3&gt;0)*2 + (AB3=0)*0) +
        SUMPRODUCT((AB4="-")*0 + (AB4&lt;0)*-2 + (AB4&gt;0)*2 + (AB4=0)*0) +
        SUMPRODUCT((AB5="-")*0 + (AB5&lt;0)*-2 + (AB5&gt;0)*2 + (AB5=0)*0) +
        SUMPRODUCT((AB6="-")*0 + (AB6&lt;0)*-2 + (AB6&gt;0)*2 + (AB6=0)*0) +
        SUMPRODUCT((AB7="-")*0 + (AB7&lt;0)*-2 + (AB7&gt;0)*2 + (AB7=0)*0) +
        SUMPRODUCT((AB8="-")*0 + (AB8&lt;0)*-2 + (AB8&gt;0)*2 + (AB8=0)*0) +
        SUMPRODUCT((AB9="-")*0 + (AB9&lt;0)*-1 + (AB9&gt;0)*1 + (AB9=0)*0) +
        SUMPRODUCT((AB10="-")*0 + (AB10&lt;0)*-1 + (AB10&gt;0)*1 + (AB10=0)*0) +
        SUMPRODUCT((AB11="-")*0 + (AB11&lt;0)*-1 + (AB11&gt;0)*1 + (AB11=0)*0) +
        SUMPRODUCT((AB12="-")*0 + (AB12&lt;0)*-1 + (AB12&gt;0)*1 + (AB12=0)*0) +
        SUMPRODUCT((AB13="-")*0 + (AB13&lt;0)*-1 + (AB13&gt;0)*1 + (AB13=0)*0)) / 17 &gt; 0.1, "BULLISH",
    IF((SUMPRODUCT((AB3="-")*0 + (AB3&lt;0)*-2 + (AB3&gt;0)*2 + (AB3=0)*0) +
        SUMPRODUCT((AB4="-")*0 + (AB4&lt;0)*-2 + (AB4&gt;0)*2 + (AB4=0)*0) +
        SUMPRODUCT((AB5="-")*0 + (AB5&lt;0)*-2 + (AB5&gt;0)*2 + (AB5=0)*0) +
        SUMPRODUCT((AB6="-")*0 + (AB6&lt;0)*-2 + (AB6&gt;0)*2 + (AB6=0)*0) +
        SUMPRODUCT((AB7="-")*0 + (AB7&lt;0)*-2 + (AB7&gt;0)*2 + (AB7=0)*0) +
        SUMPRODUCT((AB8="-")*0 + (AB8&lt;0)*-2 + (AB8&gt;0)*2 + (AB8=0)*0) +
        SUMPRODUCT((AB9="-")*0 + (AB9&lt;0)*-1 + (AB9&gt;0)*1 + (AB9=0)*0) +
        SUMPRODUCT((AB10="-")*0 + (AB10&lt;0)*-1 + (AB10&gt;0)*1 + (AB10=0)*0) +
        SUMPRODUCT((AB11="-")*0 + (AB11&lt;0)*-1 + (AB11&gt;0)*1 + (AB11=0)*0) +
        SUMPRODUCT((AB12="-")*0 + (AB12&lt;0)*-1 + (AB12&gt;0)*1 + (AB12=0)*0) +
        SUMPRODUCT((AB13="-")*0 + (AB13&lt;0)*-1 + (AB13&gt;0)*1 + (AB13=0)*0)) / 17 &lt; -0.1, "BEARISH",
    "NEUTRO")))</f>
        <v>BEARISH</v>
      </c>
      <c r="AA2" s="321"/>
      <c r="AB2" s="319"/>
      <c r="AC2" s="320" t="str">
        <f>IF(AND(AE3="-",AE4="-",AE5="-",AE6="-",AE7="-",AE8="-",AE9="-",AE10="-",AE11="-",AE12="-",AE13="-"),"",
    IF((SUMPRODUCT((AE3="-")*0 + (AE3&lt;0)*-2 + (AE3&gt;0)*2 + (AE3=0)*0) +
        SUMPRODUCT((AE4="-")*0 + (AE4&lt;0)*-2 + (AE4&gt;0)*2 + (AE4=0)*0) +
        SUMPRODUCT((AE5="-")*0 + (AE5&lt;0)*-2 + (AE5&gt;0)*2 + (AE5=0)*0) +
        SUMPRODUCT((AE6="-")*0 + (AE6&lt;0)*-2 + (AE6&gt;0)*2 + (AE6=0)*0) +
        SUMPRODUCT((AE7="-")*0 + (AE7&lt;0)*-2 + (AE7&gt;0)*2 + (AE7=0)*0) +
        SUMPRODUCT((AE8="-")*0 + (AE8&lt;0)*-2 + (AE8&gt;0)*2 + (AE8=0)*0) +
        SUMPRODUCT((AE9="-")*0 + (AE9&lt;0)*-1 + (AE9&gt;0)*1 + (AE9=0)*0) +
        SUMPRODUCT((AE10="-")*0 + (AE10&lt;0)*-1 + (AE10&gt;0)*1 + (AE10=0)*0) +
        SUMPRODUCT((AE11="-")*0 + (AE11&lt;0)*-1 + (AE11&gt;0)*1 + (AE11=0)*0) +
        SUMPRODUCT((AE12="-")*0 + (AE12&lt;0)*-1 + (AE12&gt;0)*1 + (AE12=0)*0) +
        SUMPRODUCT((AE13="-")*0 + (AE13&lt;0)*-1 + (AE13&gt;0)*1 + (AE13=0)*0)) / 17 &gt; 0.1, "BULLISH",
    IF((SUMPRODUCT((AE3="-")*0 + (AE3&lt;0)*-2 + (AE3&gt;0)*2 + (AE3=0)*0) +
        SUMPRODUCT((AE4="-")*0 + (AE4&lt;0)*-2 + (AE4&gt;0)*2 + (AE4=0)*0) +
        SUMPRODUCT((AE5="-")*0 + (AE5&lt;0)*-2 + (AE5&gt;0)*2 + (AE5=0)*0) +
        SUMPRODUCT((AE6="-")*0 + (AE6&lt;0)*-2 + (AE6&gt;0)*2 + (AE6=0)*0) +
        SUMPRODUCT((AE7="-")*0 + (AE7&lt;0)*-2 + (AE7&gt;0)*2 + (AE7=0)*0) +
        SUMPRODUCT((AE8="-")*0 + (AE8&lt;0)*-2 + (AE8&gt;0)*2 + (AE8=0)*0) +
        SUMPRODUCT((AE9="-")*0 + (AE9&lt;0)*-1 + (AE9&gt;0)*1 + (AE9=0)*0) +
        SUMPRODUCT((AE10="-")*0 + (AE10&lt;0)*-1 + (AE10&gt;0)*1 + (AE10=0)*0) +
        SUMPRODUCT((AE11="-")*0 + (AE11&lt;0)*-1 + (AE11&gt;0)*1 + (AE11=0)*0) +
        SUMPRODUCT((AE12="-")*0 + (AE12&lt;0)*-1 + (AE12&gt;0)*1 + (AE12=0)*0) +
        SUMPRODUCT((AE13="-")*0 + (AE13&lt;0)*-1 + (AE13&gt;0)*1 + (AE13=0)*0)) / 17 &lt; -0.1, "BEARISH",
    "NEUTRO")))</f>
        <v>BEARISH</v>
      </c>
      <c r="AD2" s="321"/>
      <c r="AE2" s="319"/>
      <c r="AF2" s="320" t="str">
        <f>IF(AND(AH3="-",AH4="-",AH5="-",AH6="-",AH7="-",AH8="-",AH9="-",AH10="-",AH11="-",AH12="-",AH13="-"),"",
    IF((SUMPRODUCT((AH3="-")*0 + (AH3&lt;0)*-2 + (AH3&gt;0)*2 + (AH3=0)*0) +
        SUMPRODUCT((AH4="-")*0 + (AH4&lt;0)*-2 + (AH4&gt;0)*2 + (AH4=0)*0) +
        SUMPRODUCT((AH5="-")*0 + (AH5&lt;0)*-2 + (AH5&gt;0)*2 + (AH5=0)*0) +
        SUMPRODUCT((AH6="-")*0 + (AH6&lt;0)*-2 + (AH6&gt;0)*2 + (AH6=0)*0) +
        SUMPRODUCT((AH7="-")*0 + (AH7&lt;0)*-2 + (AH7&gt;0)*2 + (AH7=0)*0) +
        SUMPRODUCT((AH8="-")*0 + (AH8&lt;0)*-2 + (AH8&gt;0)*2 + (AH8=0)*0) +
        SUMPRODUCT((AH9="-")*0 + (AH9&lt;0)*-1 + (AH9&gt;0)*1 + (AH9=0)*0) +
        SUMPRODUCT((AH10="-")*0 + (AH10&lt;0)*-1 + (AH10&gt;0)*1 + (AH10=0)*0) +
        SUMPRODUCT((AH11="-")*0 + (AH11&lt;0)*-1 + (AH11&gt;0)*1 + (AH11=0)*0) +
        SUMPRODUCT((AH12="-")*0 + (AH12&lt;0)*-1 + (AH12&gt;0)*1 + (AH12=0)*0) +
        SUMPRODUCT((AH13="-")*0 + (AH13&lt;0)*-1 + (AH13&gt;0)*1 + (AH13=0)*0)) / 17 &gt; 0.1, "BULLISH",
    IF((SUMPRODUCT((AH3="-")*0 + (AH3&lt;0)*-2 + (AH3&gt;0)*2 + (AH3=0)*0) +
        SUMPRODUCT((AH4="-")*0 + (AH4&lt;0)*-2 + (AH4&gt;0)*2 + (AH4=0)*0) +
        SUMPRODUCT((AH5="-")*0 + (AH5&lt;0)*-2 + (AH5&gt;0)*2 + (AH5=0)*0) +
        SUMPRODUCT((AH6="-")*0 + (AH6&lt;0)*-2 + (AH6&gt;0)*2 + (AH6=0)*0) +
        SUMPRODUCT((AH7="-")*0 + (AH7&lt;0)*-2 + (AH7&gt;0)*2 + (AH7=0)*0) +
        SUMPRODUCT((AH8="-")*0 + (AH8&lt;0)*-2 + (AH8&gt;0)*2 + (AH8=0)*0) +
        SUMPRODUCT((AH9="-")*0 + (AH9&lt;0)*-1 + (AH9&gt;0)*1 + (AH9=0)*0) +
        SUMPRODUCT((AH10="-")*0 + (AH10&lt;0)*-1 + (AH10&gt;0)*1 + (AH10=0)*0) +
        SUMPRODUCT((AH11="-")*0 + (AH11&lt;0)*-1 + (AH11&gt;0)*1 + (AH11=0)*0) +
        SUMPRODUCT((AH12="-")*0 + (AH12&lt;0)*-1 + (AH12&gt;0)*1 + (AH12=0)*0) +
        SUMPRODUCT((AH13="-")*0 + (AH13&lt;0)*-1 + (AH13&gt;0)*1 + (AH13=0)*0)) / 17 &lt; -0.1, "BEARISH",
    "NEUTRO")))</f>
        <v>BULLISH</v>
      </c>
      <c r="AG2" s="321"/>
      <c r="AH2" s="319"/>
      <c r="AI2" s="320" t="str">
        <f>IF(AND(AK3="-",AK4="-",AK5="-",AK6="-",AK7="-",AK8="-",AK9="-",AK10="-",AK11="-",AK12="-",AK13="-"),"",
    IF((SUMPRODUCT((AK3="-")*0 + (AK3&lt;0)*-2 + (AK3&gt;0)*2 + (AK3=0)*0) +
        SUMPRODUCT((AK4="-")*0 + (AK4&lt;0)*-2 + (AK4&gt;0)*2 + (AK4=0)*0) +
        SUMPRODUCT((AK5="-")*0 + (AK5&lt;0)*-2 + (AK5&gt;0)*2 + (AK5=0)*0) +
        SUMPRODUCT((AK6="-")*0 + (AK6&lt;0)*-2 + (AK6&gt;0)*2 + (AK6=0)*0) +
        SUMPRODUCT((AK7="-")*0 + (AK7&lt;0)*-2 + (AK7&gt;0)*2 + (AK7=0)*0) +
        SUMPRODUCT((AK8="-")*0 + (AK8&lt;0)*-2 + (AK8&gt;0)*2 + (AK8=0)*0) +
        SUMPRODUCT((AK9="-")*0 + (AK9&lt;0)*-1 + (AK9&gt;0)*1 + (AK9=0)*0) +
        SUMPRODUCT((AK10="-")*0 + (AK10&lt;0)*-1 + (AK10&gt;0)*1 + (AK10=0)*0) +
        SUMPRODUCT((AK11="-")*0 + (AK11&lt;0)*-1 + (AK11&gt;0)*1 + (AK11=0)*0) +
        SUMPRODUCT((AK12="-")*0 + (AK12&lt;0)*-1 + (AK12&gt;0)*1 + (AK12=0)*0) +
        SUMPRODUCT((AK13="-")*0 + (AK13&lt;0)*-1 + (AK13&gt;0)*1 + (AK13=0)*0)) / 17 &gt; 0.1, "BULLISH",
    IF((SUMPRODUCT((AK3="-")*0 + (AK3&lt;0)*-2 + (AK3&gt;0)*2 + (AK3=0)*0) +
        SUMPRODUCT((AK4="-")*0 + (AK4&lt;0)*-2 + (AK4&gt;0)*2 + (AK4=0)*0) +
        SUMPRODUCT((AK5="-")*0 + (AK5&lt;0)*-2 + (AK5&gt;0)*2 + (AK5=0)*0) +
        SUMPRODUCT((AK6="-")*0 + (AK6&lt;0)*-2 + (AK6&gt;0)*2 + (AK6=0)*0) +
        SUMPRODUCT((AK7="-")*0 + (AK7&lt;0)*-2 + (AK7&gt;0)*2 + (AK7=0)*0) +
        SUMPRODUCT((AK8="-")*0 + (AK8&lt;0)*-2 + (AK8&gt;0)*2 + (AK8=0)*0) +
        SUMPRODUCT((AK9="-")*0 + (AK9&lt;0)*-1 + (AK9&gt;0)*1 + (AK9=0)*0) +
        SUMPRODUCT((AK10="-")*0 + (AK10&lt;0)*-1 + (AK10&gt;0)*1 + (AK10=0)*0) +
        SUMPRODUCT((AK11="-")*0 + (AK11&lt;0)*-1 + (AK11&gt;0)*1 + (AK11=0)*0) +
        SUMPRODUCT((AK12="-")*0 + (AK12&lt;0)*-1 + (AK12&gt;0)*1 + (AK12=0)*0) +
        SUMPRODUCT((AK13="-")*0 + (AK13&lt;0)*-1 + (AK13&gt;0)*1 + (AK13=0)*0)) / 17 &lt; -0.1, "BEARISH",
    "NEUTRO")))</f>
        <v>BULLISH</v>
      </c>
      <c r="AJ2" s="321"/>
      <c r="AK2" s="319"/>
      <c r="AL2" s="320" t="str">
        <f>IF(AND(AN3="-",AN4="-",AN5="-",AN6="-",AN7="-",AN8="-",AN9="-",AN10="-",AN11="-",AN12="-",AN13="-"),"",
    IF((SUMPRODUCT((AN3="-")*0 + (AN3&lt;0)*-2 + (AN3&gt;0)*2 + (AN3=0)*0) +
        SUMPRODUCT((AN4="-")*0 + (AN4&lt;0)*-2 + (AN4&gt;0)*2 + (AN4=0)*0) +
        SUMPRODUCT((AN5="-")*0 + (AN5&lt;0)*-2 + (AN5&gt;0)*2 + (AN5=0)*0) +
        SUMPRODUCT((AN6="-")*0 + (AN6&lt;0)*-2 + (AN6&gt;0)*2 + (AN6=0)*0) +
        SUMPRODUCT((AN7="-")*0 + (AN7&lt;0)*-2 + (AN7&gt;0)*2 + (AN7=0)*0) +
        SUMPRODUCT((AN8="-")*0 + (AN8&lt;0)*-2 + (AN8&gt;0)*2 + (AN8=0)*0) +
        SUMPRODUCT((AN9="-")*0 + (AN9&lt;0)*-1 + (AN9&gt;0)*1 + (AN9=0)*0) +
        SUMPRODUCT((AN10="-")*0 + (AN10&lt;0)*-1 + (AN10&gt;0)*1 + (AN10=0)*0) +
        SUMPRODUCT((AN11="-")*0 + (AN11&lt;0)*-1 + (AN11&gt;0)*1 + (AN11=0)*0) +
        SUMPRODUCT((AN12="-")*0 + (AN12&lt;0)*-1 + (AN12&gt;0)*1 + (AN12=0)*0) +
        SUMPRODUCT((AN13="-")*0 + (AN13&lt;0)*-1 + (AN13&gt;0)*1 + (AN13=0)*0)) / 17 &gt; 0.1, "BULLISH",
    IF((SUMPRODUCT((AN3="-")*0 + (AN3&lt;0)*-2 + (AN3&gt;0)*2 + (AN3=0)*0) +
        SUMPRODUCT((AN4="-")*0 + (AN4&lt;0)*-2 + (AN4&gt;0)*2 + (AN4=0)*0) +
        SUMPRODUCT((AN5="-")*0 + (AN5&lt;0)*-2 + (AN5&gt;0)*2 + (AN5=0)*0) +
        SUMPRODUCT((AN6="-")*0 + (AN6&lt;0)*-2 + (AN6&gt;0)*2 + (AN6=0)*0) +
        SUMPRODUCT((AN7="-")*0 + (AN7&lt;0)*-2 + (AN7&gt;0)*2 + (AN7=0)*0) +
        SUMPRODUCT((AN8="-")*0 + (AN8&lt;0)*-2 + (AN8&gt;0)*2 + (AN8=0)*0) +
        SUMPRODUCT((AN9="-")*0 + (AN9&lt;0)*-1 + (AN9&gt;0)*1 + (AN9=0)*0) +
        SUMPRODUCT((AN10="-")*0 + (AN10&lt;0)*-1 + (AN10&gt;0)*1 + (AN10=0)*0) +
        SUMPRODUCT((AN11="-")*0 + (AN11&lt;0)*-1 + (AN11&gt;0)*1 + (AN11=0)*0) +
        SUMPRODUCT((AN12="-")*0 + (AN12&lt;0)*-1 + (AN12&gt;0)*1 + (AN12=0)*0) +
        SUMPRODUCT((AN13="-")*0 + (AN13&lt;0)*-1 + (AN13&gt;0)*1 + (AN13=0)*0)) / 17 &lt; -0.1, "BEARISH",
    "NEUTRO")))</f>
        <v>BEARISH</v>
      </c>
      <c r="AM2" s="321"/>
      <c r="AN2" s="319"/>
      <c r="AO2" s="320" t="str">
        <f>IF(AND(AQ3="-",AQ4="-",AQ5="-",AQ6="-",AQ7="-",AQ8="-",AQ9="-",AQ10="-",AQ11="-",AQ12="-",AQ13="-"),"",
    IF((SUMPRODUCT((AQ3="-")*0 + (AQ3&lt;0)*-2 + (AQ3&gt;0)*2 + (AQ3=0)*0) +
        SUMPRODUCT((AQ4="-")*0 + (AQ4&lt;0)*-2 + (AQ4&gt;0)*2 + (AQ4=0)*0) +
        SUMPRODUCT((AQ5="-")*0 + (AQ5&lt;0)*-2 + (AQ5&gt;0)*2 + (AQ5=0)*0) +
        SUMPRODUCT((AQ6="-")*0 + (AQ6&lt;0)*-2 + (AQ6&gt;0)*2 + (AQ6=0)*0) +
        SUMPRODUCT((AQ7="-")*0 + (AQ7&lt;0)*-2 + (AQ7&gt;0)*2 + (AQ7=0)*0) +
        SUMPRODUCT((AQ8="-")*0 + (AQ8&lt;0)*-2 + (AQ8&gt;0)*2 + (AQ8=0)*0) +
        SUMPRODUCT((AQ9="-")*0 + (AQ9&lt;0)*-1 + (AQ9&gt;0)*1 + (AQ9=0)*0) +
        SUMPRODUCT((AQ10="-")*0 + (AQ10&lt;0)*-1 + (AQ10&gt;0)*1 + (AQ10=0)*0) +
        SUMPRODUCT((AQ11="-")*0 + (AQ11&lt;0)*-1 + (AQ11&gt;0)*1 + (AQ11=0)*0) +
        SUMPRODUCT((AQ12="-")*0 + (AQ12&lt;0)*-1 + (AQ12&gt;0)*1 + (AQ12=0)*0) +
        SUMPRODUCT((AQ13="-")*0 + (AQ13&lt;0)*-1 + (AQ13&gt;0)*1 + (AQ13=0)*0)) / 17 &gt; 0.1, "BULLISH",
    IF((SUMPRODUCT((AQ3="-")*0 + (AQ3&lt;0)*-2 + (AQ3&gt;0)*2 + (AQ3=0)*0) +
        SUMPRODUCT((AQ4="-")*0 + (AQ4&lt;0)*-2 + (AQ4&gt;0)*2 + (AQ4=0)*0) +
        SUMPRODUCT((AQ5="-")*0 + (AQ5&lt;0)*-2 + (AQ5&gt;0)*2 + (AQ5=0)*0) +
        SUMPRODUCT((AQ6="-")*0 + (AQ6&lt;0)*-2 + (AQ6&gt;0)*2 + (AQ6=0)*0) +
        SUMPRODUCT((AQ7="-")*0 + (AQ7&lt;0)*-2 + (AQ7&gt;0)*2 + (AQ7=0)*0) +
        SUMPRODUCT((AQ8="-")*0 + (AQ8&lt;0)*-2 + (AQ8&gt;0)*2 + (AQ8=0)*0) +
        SUMPRODUCT((AQ9="-")*0 + (AQ9&lt;0)*-1 + (AQ9&gt;0)*1 + (AQ9=0)*0) +
        SUMPRODUCT((AQ10="-")*0 + (AQ10&lt;0)*-1 + (AQ10&gt;0)*1 + (AQ10=0)*0) +
        SUMPRODUCT((AQ11="-")*0 + (AQ11&lt;0)*-1 + (AQ11&gt;0)*1 + (AQ11=0)*0) +
        SUMPRODUCT((AQ12="-")*0 + (AQ12&lt;0)*-1 + (AQ12&gt;0)*1 + (AQ12=0)*0) +
        SUMPRODUCT((AQ13="-")*0 + (AQ13&lt;0)*-1 + (AQ13&gt;0)*1 + (AQ13=0)*0)) / 17 &lt; -0.1, "BEARISH",
    "NEUTRO")))</f>
        <v>BULLISH</v>
      </c>
      <c r="AP2" s="321"/>
      <c r="AQ2" s="319"/>
      <c r="AR2" s="320" t="str">
        <f>IF(AND(AT3="-",AT4="-",AT5="-",AT6="-",AT7="-",AT8="-",AT9="-",AT10="-",AT11="-",AT12="-",AT13="-"),"",
    IF((SUMPRODUCT((AT3="-")*0 + (AT3&lt;0)*-2 + (AT3&gt;0)*2 + (AT3=0)*0) +
        SUMPRODUCT((AT4="-")*0 + (AT4&lt;0)*-2 + (AT4&gt;0)*2 + (AT4=0)*0) +
        SUMPRODUCT((AT5="-")*0 + (AT5&lt;0)*-2 + (AT5&gt;0)*2 + (AT5=0)*0) +
        SUMPRODUCT((AT6="-")*0 + (AT6&lt;0)*-2 + (AT6&gt;0)*2 + (AT6=0)*0) +
        SUMPRODUCT((AT7="-")*0 + (AT7&lt;0)*-2 + (AT7&gt;0)*2 + (AT7=0)*0) +
        SUMPRODUCT((AT8="-")*0 + (AT8&lt;0)*-2 + (AT8&gt;0)*2 + (AT8=0)*0) +
        SUMPRODUCT((AT9="-")*0 + (AT9&lt;0)*-1 + (AT9&gt;0)*1 + (AT9=0)*0) +
        SUMPRODUCT((AT10="-")*0 + (AT10&lt;0)*-1 + (AT10&gt;0)*1 + (AT10=0)*0) +
        SUMPRODUCT((AT11="-")*0 + (AT11&lt;0)*-1 + (AT11&gt;0)*1 + (AT11=0)*0) +
        SUMPRODUCT((AT12="-")*0 + (AT12&lt;0)*-1 + (AT12&gt;0)*1 + (AT12=0)*0) +
        SUMPRODUCT((AT13="-")*0 + (AT13&lt;0)*-1 + (AT13&gt;0)*1 + (AT13=0)*0)) / 17 &gt; 0.1, "BULLISH",
    IF((SUMPRODUCT((AT3="-")*0 + (AT3&lt;0)*-2 + (AT3&gt;0)*2 + (AT3=0)*0) +
        SUMPRODUCT((AT4="-")*0 + (AT4&lt;0)*-2 + (AT4&gt;0)*2 + (AT4=0)*0) +
        SUMPRODUCT((AT5="-")*0 + (AT5&lt;0)*-2 + (AT5&gt;0)*2 + (AT5=0)*0) +
        SUMPRODUCT((AT6="-")*0 + (AT6&lt;0)*-2 + (AT6&gt;0)*2 + (AT6=0)*0) +
        SUMPRODUCT((AT7="-")*0 + (AT7&lt;0)*-2 + (AT7&gt;0)*2 + (AT7=0)*0) +
        SUMPRODUCT((AT8="-")*0 + (AT8&lt;0)*-2 + (AT8&gt;0)*2 + (AT8=0)*0) +
        SUMPRODUCT((AT9="-")*0 + (AT9&lt;0)*-1 + (AT9&gt;0)*1 + (AT9=0)*0) +
        SUMPRODUCT((AT10="-")*0 + (AT10&lt;0)*-1 + (AT10&gt;0)*1 + (AT10=0)*0) +
        SUMPRODUCT((AT11="-")*0 + (AT11&lt;0)*-1 + (AT11&gt;0)*1 + (AT11=0)*0) +
        SUMPRODUCT((AT12="-")*0 + (AT12&lt;0)*-1 + (AT12&gt;0)*1 + (AT12=0)*0) +
        SUMPRODUCT((AT13="-")*0 + (AT13&lt;0)*-1 + (AT13&gt;0)*1 + (AT13=0)*0)) / 17 &lt; -0.1, "BEARISH",
    "NEUTRO")))</f>
        <v>NEUTRO</v>
      </c>
      <c r="AS2" s="321"/>
      <c r="AT2" s="319"/>
      <c r="AU2" s="320" t="str">
        <f>IF(AND(AW3="-",AW4="-",AW5="-",AW6="-",AW7="-",AW8="-",AW9="-",AW10="-",AW11="-",AW12="-",AW13="-"),"",
    IF((SUMPRODUCT((AW3="-")*0 + (AW3&lt;0)*-2 + (AW3&gt;0)*2 + (AW3=0)*0) +
        SUMPRODUCT((AW4="-")*0 + (AW4&lt;0)*-2 + (AW4&gt;0)*2 + (AW4=0)*0) +
        SUMPRODUCT((AW5="-")*0 + (AW5&lt;0)*-2 + (AW5&gt;0)*2 + (AW5=0)*0) +
        SUMPRODUCT((AW6="-")*0 + (AW6&lt;0)*-2 + (AW6&gt;0)*2 + (AW6=0)*0) +
        SUMPRODUCT((AW7="-")*0 + (AW7&lt;0)*-2 + (AW7&gt;0)*2 + (AW7=0)*0) +
        SUMPRODUCT((AW8="-")*0 + (AW8&lt;0)*-2 + (AW8&gt;0)*2 + (AW8=0)*0) +
        SUMPRODUCT((AW9="-")*0 + (AW9&lt;0)*-1 + (AW9&gt;0)*1 + (AW9=0)*0) +
        SUMPRODUCT((AW10="-")*0 + (AW10&lt;0)*-1 + (AW10&gt;0)*1 + (AW10=0)*0) +
        SUMPRODUCT((AW11="-")*0 + (AW11&lt;0)*-1 + (AW11&gt;0)*1 + (AW11=0)*0) +
        SUMPRODUCT((AW12="-")*0 + (AW12&lt;0)*-1 + (AW12&gt;0)*1 + (AW12=0)*0) +
        SUMPRODUCT((AW13="-")*0 + (AW13&lt;0)*-1 + (AW13&gt;0)*1 + (AW13=0)*0)) / 17 &gt; 0.1, "BULLISH",
    IF((SUMPRODUCT((AW3="-")*0 + (AW3&lt;0)*-2 + (AW3&gt;0)*2 + (AW3=0)*0) +
        SUMPRODUCT((AW4="-")*0 + (AW4&lt;0)*-2 + (AW4&gt;0)*2 + (AW4=0)*0) +
        SUMPRODUCT((AW5="-")*0 + (AW5&lt;0)*-2 + (AW5&gt;0)*2 + (AW5=0)*0) +
        SUMPRODUCT((AW6="-")*0 + (AW6&lt;0)*-2 + (AW6&gt;0)*2 + (AW6=0)*0) +
        SUMPRODUCT((AW7="-")*0 + (AW7&lt;0)*-2 + (AW7&gt;0)*2 + (AW7=0)*0) +
        SUMPRODUCT((AW8="-")*0 + (AW8&lt;0)*-2 + (AW8&gt;0)*2 + (AW8=0)*0) +
        SUMPRODUCT((AW9="-")*0 + (AW9&lt;0)*-1 + (AW9&gt;0)*1 + (AW9=0)*0) +
        SUMPRODUCT((AW10="-")*0 + (AW10&lt;0)*-1 + (AW10&gt;0)*1 + (AW10=0)*0) +
        SUMPRODUCT((AW11="-")*0 + (AW11&lt;0)*-1 + (AW11&gt;0)*1 + (AW11=0)*0) +
        SUMPRODUCT((AW12="-")*0 + (AW12&lt;0)*-1 + (AW12&gt;0)*1 + (AW12=0)*0) +
        SUMPRODUCT((AW13="-")*0 + (AW13&lt;0)*-1 + (AW13&gt;0)*1 + (AW13=0)*0)) / 17 &lt; -0.1, "BEARISH",
    "NEUTRO")))</f>
        <v>BULLISH</v>
      </c>
      <c r="AV2" s="321"/>
      <c r="AW2" s="319"/>
      <c r="AX2" s="320" t="str">
        <f>IF(AND(AZ3="-",AZ4="-",AZ5="-",AZ6="-",AZ7="-",AZ8="-",AZ9="-",AZ10="-",AZ11="-",AZ12="-",AZ13="-"),"",
    IF((SUMPRODUCT((AZ3="-")*0 + (AZ3&lt;0)*-2 + (AZ3&gt;0)*2 + (AZ3=0)*0) +
        SUMPRODUCT((AZ4="-")*0 + (AZ4&lt;0)*-2 + (AZ4&gt;0)*2 + (AZ4=0)*0) +
        SUMPRODUCT((AZ5="-")*0 + (AZ5&lt;0)*-2 + (AZ5&gt;0)*2 + (AZ5=0)*0) +
        SUMPRODUCT((AZ6="-")*0 + (AZ6&lt;0)*-2 + (AZ6&gt;0)*2 + (AZ6=0)*0) +
        SUMPRODUCT((AZ7="-")*0 + (AZ7&lt;0)*-2 + (AZ7&gt;0)*2 + (AZ7=0)*0) +
        SUMPRODUCT((AZ8="-")*0 + (AZ8&lt;0)*-2 + (AZ8&gt;0)*2 + (AZ8=0)*0) +
        SUMPRODUCT((AZ9="-")*0 + (AZ9&lt;0)*-1 + (AZ9&gt;0)*1 + (AZ9=0)*0) +
        SUMPRODUCT((AZ10="-")*0 + (AZ10&lt;0)*-1 + (AZ10&gt;0)*1 + (AZ10=0)*0) +
        SUMPRODUCT((AZ11="-")*0 + (AZ11&lt;0)*-1 + (AZ11&gt;0)*1 + (AZ11=0)*0) +
        SUMPRODUCT((AZ12="-")*0 + (AZ12&lt;0)*-1 + (AZ12&gt;0)*1 + (AZ12=0)*0) +
        SUMPRODUCT((AZ13="-")*0 + (AZ13&lt;0)*-1 + (AZ13&gt;0)*1 + (AZ13=0)*0)) / 17 &gt; 0.1, "BULLISH",
    IF((SUMPRODUCT((AZ3="-")*0 + (AZ3&lt;0)*-2 + (AZ3&gt;0)*2 + (AZ3=0)*0) +
        SUMPRODUCT((AZ4="-")*0 + (AZ4&lt;0)*-2 + (AZ4&gt;0)*2 + (AZ4=0)*0) +
        SUMPRODUCT((AZ5="-")*0 + (AZ5&lt;0)*-2 + (AZ5&gt;0)*2 + (AZ5=0)*0) +
        SUMPRODUCT((AZ6="-")*0 + (AZ6&lt;0)*-2 + (AZ6&gt;0)*2 + (AZ6=0)*0) +
        SUMPRODUCT((AZ7="-")*0 + (AZ7&lt;0)*-2 + (AZ7&gt;0)*2 + (AZ7=0)*0) +
        SUMPRODUCT((AZ8="-")*0 + (AZ8&lt;0)*-2 + (AZ8&gt;0)*2 + (AZ8=0)*0) +
        SUMPRODUCT((AZ9="-")*0 + (AZ9&lt;0)*-1 + (AZ9&gt;0)*1 + (AZ9=0)*0) +
        SUMPRODUCT((AZ10="-")*0 + (AZ10&lt;0)*-1 + (AZ10&gt;0)*1 + (AZ10=0)*0) +
        SUMPRODUCT((AZ11="-")*0 + (AZ11&lt;0)*-1 + (AZ11&gt;0)*1 + (AZ11=0)*0) +
        SUMPRODUCT((AZ12="-")*0 + (AZ12&lt;0)*-1 + (AZ12&gt;0)*1 + (AZ12=0)*0) +
        SUMPRODUCT((AZ13="-")*0 + (AZ13&lt;0)*-1 + (AZ13&gt;0)*1 + (AZ13=0)*0)) / 17 &lt; -0.1, "BEARISH",
    "NEUTRO")))</f>
        <v>NEUTRO</v>
      </c>
      <c r="AY2" s="321"/>
      <c r="AZ2" s="319"/>
    </row>
    <row r="3" spans="1:52" x14ac:dyDescent="0.25">
      <c r="A3" s="237" t="s">
        <v>87</v>
      </c>
      <c r="B3" s="229"/>
      <c r="C3" s="229"/>
      <c r="D3" s="212" t="str">
        <f>IF(OR(B3="",C3="",B3="-",C3="-"),"-",B3-C3)</f>
        <v>-</v>
      </c>
      <c r="E3" s="229">
        <v>8.9999999999999993E-3</v>
      </c>
      <c r="F3" s="229">
        <v>3.0000000000000001E-3</v>
      </c>
      <c r="G3" s="212">
        <f>IF(OR(E3="",F3="",E3="-",F3="-"),"-",E3-F3)</f>
        <v>5.9999999999999993E-3</v>
      </c>
      <c r="H3" s="211">
        <v>4.0000000000000001E-3</v>
      </c>
      <c r="I3" s="211">
        <v>3.0000000000000001E-3</v>
      </c>
      <c r="J3" s="212">
        <f>IF(OR(H3="",I3="",H3="-",I3="-"),"-",H3-I3)</f>
        <v>1E-3</v>
      </c>
      <c r="K3" s="211">
        <v>3.0000000000000001E-3</v>
      </c>
      <c r="L3" s="229"/>
      <c r="M3" s="212" t="str">
        <f>IF(OR(K3="",L3="",K3="-",L3="-"),"-",K3-L3)</f>
        <v>-</v>
      </c>
      <c r="N3" s="211">
        <v>3.0000000000000001E-3</v>
      </c>
      <c r="O3" s="211">
        <v>4.0000000000000001E-3</v>
      </c>
      <c r="P3" s="212">
        <f>IF(OR(N3="",O3="",N3="-",O3="-"),"-",N3-O3)</f>
        <v>-1E-3</v>
      </c>
      <c r="Q3" s="211">
        <v>4.0000000000000001E-3</v>
      </c>
      <c r="R3" s="211">
        <v>2E-3</v>
      </c>
      <c r="S3" s="212">
        <f>IF(OR(Q3="",R3="",Q3="-",R3="-"),"-",Q3-R3)</f>
        <v>2E-3</v>
      </c>
      <c r="T3" s="211">
        <v>3.0000000000000001E-3</v>
      </c>
      <c r="U3" s="211">
        <v>1E-3</v>
      </c>
      <c r="V3" s="212">
        <f>IF(OR(T3="",U3="",T3="-",U3="-"),"-",T3-U3)</f>
        <v>2E-3</v>
      </c>
      <c r="W3" s="211">
        <v>1E-3</v>
      </c>
      <c r="X3" s="211">
        <v>2E-3</v>
      </c>
      <c r="Y3" s="212">
        <f>IF(OR(W3="",X3="",W3="-",X3="-"),"-",W3-X3)</f>
        <v>-1E-3</v>
      </c>
      <c r="Z3" s="16">
        <v>-1E-3</v>
      </c>
      <c r="AA3" s="16">
        <v>2E-3</v>
      </c>
      <c r="AB3" s="8">
        <f>IF(OR(Z3="",AA3="",Z3="-",AA3="-"),"-",Z3-AA3)</f>
        <v>-3.0000000000000001E-3</v>
      </c>
      <c r="AC3" s="16">
        <v>2E-3</v>
      </c>
      <c r="AD3" s="16">
        <v>4.0000000000000001E-3</v>
      </c>
      <c r="AE3" s="8">
        <f>IF(OR(AC3="",AD3="",AC3="-",AD3="-"),"-",AC3-AD3)</f>
        <v>-2E-3</v>
      </c>
      <c r="AF3" s="16">
        <v>4.0000000000000001E-3</v>
      </c>
      <c r="AG3" s="16">
        <v>3.0000000000000001E-3</v>
      </c>
      <c r="AH3" s="8">
        <f>IF(OR(AF3="",AG3="",AF3="-",AG3="-"),"-",AF3-AG3)</f>
        <v>1E-3</v>
      </c>
      <c r="AI3" s="16">
        <v>3.0000000000000001E-3</v>
      </c>
      <c r="AJ3" s="16">
        <v>2E-3</v>
      </c>
      <c r="AK3" s="8">
        <f>IF(OR(AI3="",AJ3="",AI3="-",AJ3="-"),"-",AI3-AJ3)</f>
        <v>1E-3</v>
      </c>
      <c r="AL3" s="16">
        <v>2E-3</v>
      </c>
      <c r="AM3" s="16">
        <v>2E-3</v>
      </c>
      <c r="AN3" s="8">
        <f>IF(OR(AL3="",AM3="",AL3="-",AM3="-"),"-",AL3-AM3)</f>
        <v>0</v>
      </c>
      <c r="AO3" s="16">
        <v>2E-3</v>
      </c>
      <c r="AP3" s="16">
        <v>2E-3</v>
      </c>
      <c r="AQ3" s="8">
        <f>IF(OR(AO3="",AP3="",AO3="-",AP3="-"),"-",AO3-AP3)</f>
        <v>0</v>
      </c>
      <c r="AR3" s="16">
        <v>-1E-3</v>
      </c>
      <c r="AS3" s="16">
        <v>0</v>
      </c>
      <c r="AT3" s="8">
        <f>IF(OR(AR3="",AS3="",AR3="-",AS3="-"),"-",AR3-AS3)</f>
        <v>-1E-3</v>
      </c>
      <c r="AU3" s="16">
        <v>3.0000000000000001E-3</v>
      </c>
      <c r="AV3" s="16">
        <v>4.0000000000000001E-3</v>
      </c>
      <c r="AW3" s="8">
        <f>IF(OR(AU3="",AV3="",AU3="-",AV3="-"),"-",AU3-AV3)</f>
        <v>-1E-3</v>
      </c>
      <c r="AX3" s="16">
        <v>4.0000000000000001E-3</v>
      </c>
      <c r="AY3" s="16">
        <v>4.0000000000000001E-3</v>
      </c>
      <c r="AZ3" s="8">
        <f>IF(OR(AX3="",AY3="",AX3="-",AY3="-"),"-",AX3-AY3)</f>
        <v>0</v>
      </c>
    </row>
    <row r="4" spans="1:52" x14ac:dyDescent="0.25">
      <c r="A4" s="237" t="s">
        <v>88</v>
      </c>
      <c r="B4" s="229"/>
      <c r="C4" s="229"/>
      <c r="D4" s="212" t="str">
        <f>IF(OR(B4="",C4="",B4="-",C4="-"),"-",B4-C4)</f>
        <v>-</v>
      </c>
      <c r="E4" s="229">
        <v>3.3000000000000002E-2</v>
      </c>
      <c r="F4" s="229">
        <v>2.4E-2</v>
      </c>
      <c r="G4" s="212">
        <f>IF(OR(E4="",F4="",E4="-",F4="-"),"-",E4-F4)</f>
        <v>9.0000000000000011E-3</v>
      </c>
      <c r="H4" s="211">
        <v>3.5000000000000003E-2</v>
      </c>
      <c r="I4" s="231">
        <v>3.4000000000000002E-2</v>
      </c>
      <c r="J4" s="212">
        <f>IF(OR(H4="",I4="",H4="-",I4="-"),"-",H4-I4)</f>
        <v>1.0000000000000009E-3</v>
      </c>
      <c r="K4" s="231">
        <v>3.4000000000000002E-2</v>
      </c>
      <c r="L4" s="229"/>
      <c r="M4" s="212" t="str">
        <f>IF(OR(K4="",L4="",K4="-",L4="-"),"-",K4-L4)</f>
        <v>-</v>
      </c>
      <c r="N4" s="231">
        <v>0.03</v>
      </c>
      <c r="O4" s="211">
        <v>2.9000000000000001E-2</v>
      </c>
      <c r="P4" s="212">
        <f>IF(OR(N4="",O4="",N4="-",O4="-"),"-",N4-O4)</f>
        <v>9.9999999999999742E-4</v>
      </c>
      <c r="Q4" s="211">
        <v>2.9000000000000001E-2</v>
      </c>
      <c r="R4" s="211">
        <v>2.7E-2</v>
      </c>
      <c r="S4" s="212">
        <f>IF(OR(Q4="",R4="",Q4="-",R4="-"),"-",Q4-R4)</f>
        <v>2.0000000000000018E-3</v>
      </c>
      <c r="T4" s="211">
        <v>2.7E-2</v>
      </c>
      <c r="U4" s="211">
        <v>2.4E-2</v>
      </c>
      <c r="V4" s="212">
        <f>IF(OR(T4="",U4="",T4="-",U4="-"),"-",T4-U4)</f>
        <v>2.9999999999999992E-3</v>
      </c>
      <c r="W4" s="211">
        <v>2.4E-2</v>
      </c>
      <c r="X4" s="211">
        <v>2.3E-2</v>
      </c>
      <c r="Y4" s="212">
        <f>IF(OR(W4="",X4="",W4="-",X4="-"),"-",W4-X4)</f>
        <v>1.0000000000000009E-3</v>
      </c>
      <c r="Z4" s="16">
        <v>2.4E-2</v>
      </c>
      <c r="AA4" s="16">
        <v>2.8000000000000001E-2</v>
      </c>
      <c r="AB4" s="3">
        <f>IF(OR(Z4="",AA4="",Z4="-",AA4="-"),"-",Z4-AA4)</f>
        <v>-4.0000000000000001E-3</v>
      </c>
      <c r="AC4" s="82">
        <v>2.8000000000000001E-2</v>
      </c>
      <c r="AD4" s="16">
        <v>2.9000000000000001E-2</v>
      </c>
      <c r="AE4" s="3">
        <f>IF(OR(AC4="",AD4="",AC4="-",AD4="-"),"-",AC4-AD4)</f>
        <v>-1.0000000000000009E-3</v>
      </c>
      <c r="AF4" s="16">
        <v>2.9000000000000001E-2</v>
      </c>
      <c r="AG4" s="16">
        <v>2.7E-2</v>
      </c>
      <c r="AH4" s="3">
        <f>IF(OR(AF4="",AG4="",AF4="-",AG4="-"),"-",AF4-AG4)</f>
        <v>2.0000000000000018E-3</v>
      </c>
      <c r="AI4" s="16">
        <v>2.7E-2</v>
      </c>
      <c r="AJ4" s="16">
        <v>2.4E-2</v>
      </c>
      <c r="AK4" s="3">
        <f>IF(OR(AI4="",AJ4="",AI4="-",AJ4="-"),"-",AI4-AJ4)</f>
        <v>2.9999999999999992E-3</v>
      </c>
      <c r="AL4" s="16">
        <v>2.4E-2</v>
      </c>
      <c r="AM4" s="16">
        <v>2.5000000000000001E-2</v>
      </c>
      <c r="AN4" s="3">
        <f>IF(OR(AL4="",AM4="",AL4="-",AM4="-"),"-",AL4-AM4)</f>
        <v>-1.0000000000000009E-3</v>
      </c>
      <c r="AO4" s="16">
        <v>2.5000000000000001E-2</v>
      </c>
      <c r="AP4" s="82">
        <v>2.9000000000000001E-2</v>
      </c>
      <c r="AQ4" s="3">
        <f>IF(OR(AO4="",AP4="",AO4="-",AP4="-"),"-",AO4-AP4)</f>
        <v>-4.0000000000000001E-3</v>
      </c>
      <c r="AR4" s="16">
        <v>0.03</v>
      </c>
      <c r="AS4" s="16">
        <v>3.3000000000000002E-2</v>
      </c>
      <c r="AT4" s="3">
        <f>IF(OR(AR4="",AS4="",AR4="-",AS4="-"),"-",AR4-AS4)</f>
        <v>-3.0000000000000027E-3</v>
      </c>
      <c r="AU4" s="16">
        <v>3.4000000000000002E-2</v>
      </c>
      <c r="AV4" s="16">
        <v>3.5000000000000003E-2</v>
      </c>
      <c r="AW4" s="3">
        <f>IF(OR(AU4="",AV4="",AU4="-",AV4="-"),"-",AU4-AV4)</f>
        <v>-1.0000000000000009E-3</v>
      </c>
      <c r="AX4" s="16">
        <v>3.5000000000000003E-2</v>
      </c>
      <c r="AY4" s="16">
        <v>3.2000000000000001E-2</v>
      </c>
      <c r="AZ4" s="3">
        <f>IF(OR(AX4="",AY4="",AX4="-",AY4="-"),"-",AX4-AY4)</f>
        <v>3.0000000000000027E-3</v>
      </c>
    </row>
    <row r="5" spans="1:52" x14ac:dyDescent="0.25">
      <c r="A5" s="237" t="s">
        <v>89</v>
      </c>
      <c r="B5" s="229"/>
      <c r="C5" s="229"/>
      <c r="D5" s="212" t="str">
        <f>IF(OR(B5="",C5="",B5="-",C5="-"),"-",B5-C5)</f>
        <v>-</v>
      </c>
      <c r="E5" s="229">
        <v>2E-3</v>
      </c>
      <c r="F5" s="229">
        <v>2E-3</v>
      </c>
      <c r="G5" s="212">
        <f>IF(OR(E5="",F5="",E5="-",F5="-"),"-",E5-F5)</f>
        <v>0</v>
      </c>
      <c r="H5" s="211">
        <v>4.0000000000000001E-3</v>
      </c>
      <c r="I5" s="211">
        <v>4.0000000000000001E-3</v>
      </c>
      <c r="J5" s="212">
        <f>IF(OR(H5="",I5="",H5="-",I5="-"),"-",H5-I5)</f>
        <v>0</v>
      </c>
      <c r="K5" s="211">
        <v>4.0000000000000001E-3</v>
      </c>
      <c r="L5" s="229"/>
      <c r="M5" s="212" t="str">
        <f>IF(OR(K5="",L5="",K5="-",L5="-"),"-",K5-L5)</f>
        <v>-</v>
      </c>
      <c r="N5" s="211">
        <v>2E-3</v>
      </c>
      <c r="O5" s="211">
        <v>3.0000000000000001E-3</v>
      </c>
      <c r="P5" s="212">
        <f>IF(OR(N5="",O5="",N5="-",O5="-"),"-",N5-O5)</f>
        <v>-1E-3</v>
      </c>
      <c r="Q5" s="211">
        <v>3.0000000000000001E-3</v>
      </c>
      <c r="R5" s="211">
        <v>2E-3</v>
      </c>
      <c r="S5" s="212">
        <f>IF(OR(Q5="",R5="",Q5="-",R5="-"),"-",Q5-R5)</f>
        <v>1E-3</v>
      </c>
      <c r="T5" s="211">
        <v>2E-3</v>
      </c>
      <c r="U5" s="211">
        <v>1E-3</v>
      </c>
      <c r="V5" s="212">
        <f>IF(OR(T5="",U5="",T5="-",U5="-"),"-",T5-U5)</f>
        <v>1E-3</v>
      </c>
      <c r="W5" s="211">
        <v>1E-3</v>
      </c>
      <c r="X5" s="211">
        <v>2E-3</v>
      </c>
      <c r="Y5" s="212">
        <f>IF(OR(W5="",X5="",W5="-",X5="-"),"-",W5-X5)</f>
        <v>-1E-3</v>
      </c>
      <c r="Z5" s="16">
        <v>1E-3</v>
      </c>
      <c r="AA5" s="16">
        <v>2E-3</v>
      </c>
      <c r="AB5" s="3">
        <f>IF(OR(Z5="",AA5="",Z5="-",AA5="-"),"-",Z5-AA5)</f>
        <v>-1E-3</v>
      </c>
      <c r="AC5" s="16">
        <v>2E-3</v>
      </c>
      <c r="AD5" s="16">
        <v>2E-3</v>
      </c>
      <c r="AE5" s="3">
        <f>IF(OR(AC5="",AD5="",AC5="-",AD5="-"),"-",AC5-AD5)</f>
        <v>0</v>
      </c>
      <c r="AF5" s="17">
        <v>0</v>
      </c>
      <c r="AG5" s="16">
        <v>2E-3</v>
      </c>
      <c r="AH5" s="3">
        <f>IF(OR(AF5="",AG5="",AF5="-",AG5="-"),"-",AF5-AG5)</f>
        <v>-2E-3</v>
      </c>
      <c r="AI5" s="16">
        <v>3.0000000000000001E-3</v>
      </c>
      <c r="AJ5" s="16">
        <v>3.0000000000000001E-3</v>
      </c>
      <c r="AK5" s="3">
        <f>IF(OR(AI5="",AJ5="",AI5="-",AJ5="-"),"-",AI5-AJ5)</f>
        <v>0</v>
      </c>
      <c r="AL5" s="16">
        <v>3.0000000000000001E-3</v>
      </c>
      <c r="AM5" s="16">
        <v>3.0000000000000001E-3</v>
      </c>
      <c r="AN5" s="3">
        <f>IF(OR(AL5="",AM5="",AL5="-",AM5="-"),"-",AL5-AM5)</f>
        <v>0</v>
      </c>
      <c r="AO5" s="16">
        <v>3.0000000000000001E-3</v>
      </c>
      <c r="AP5" s="16">
        <v>2E-3</v>
      </c>
      <c r="AQ5" s="3">
        <f>IF(OR(AO5="",AP5="",AO5="-",AP5="-"),"-",AO5-AP5)</f>
        <v>1E-3</v>
      </c>
      <c r="AR5" s="16">
        <v>1E-3</v>
      </c>
      <c r="AS5" s="16">
        <v>2E-3</v>
      </c>
      <c r="AT5" s="3">
        <f>IF(OR(AR5="",AS5="",AR5="-",AS5="-"),"-",AR5-AS5)</f>
        <v>-1E-3</v>
      </c>
      <c r="AU5" s="16">
        <v>4.0000000000000001E-3</v>
      </c>
      <c r="AV5" s="16">
        <v>3.0000000000000001E-3</v>
      </c>
      <c r="AW5" s="3">
        <f>IF(OR(AU5="",AV5="",AU5="-",AV5="-"),"-",AU5-AV5)</f>
        <v>1E-3</v>
      </c>
      <c r="AX5" s="16">
        <v>4.0000000000000001E-3</v>
      </c>
      <c r="AY5" s="16">
        <v>4.0000000000000001E-3</v>
      </c>
      <c r="AZ5" s="3">
        <f>IF(OR(AX5="",AY5="",AX5="-",AY5="-"),"-",AX5-AY5)</f>
        <v>0</v>
      </c>
    </row>
    <row r="6" spans="1:52" x14ac:dyDescent="0.25">
      <c r="A6" s="237" t="s">
        <v>90</v>
      </c>
      <c r="B6" s="229"/>
      <c r="C6" s="229"/>
      <c r="D6" s="212" t="str">
        <f>IF(OR(B6="",C6="",B6="-",C6="-"),"-",B6-C6)</f>
        <v>-</v>
      </c>
      <c r="E6" s="211">
        <v>5.0000000000000001E-3</v>
      </c>
      <c r="F6" s="211">
        <v>2E-3</v>
      </c>
      <c r="G6" s="212">
        <f>IF(OR(E6="",F6="",E6="-",F6="-"),"-",E6-F6)</f>
        <v>3.0000000000000001E-3</v>
      </c>
      <c r="H6" s="211">
        <v>2E-3</v>
      </c>
      <c r="I6" s="211">
        <v>5.0000000000000001E-3</v>
      </c>
      <c r="J6" s="212">
        <f>IF(OR(H6="",I6="",H6="-",I6="-"),"-",H6-I6)</f>
        <v>-3.0000000000000001E-3</v>
      </c>
      <c r="K6" s="211">
        <v>5.0000000000000001E-3</v>
      </c>
      <c r="L6" s="229"/>
      <c r="M6" s="212" t="str">
        <f>IF(OR(K6="",L6="",K6="-",L6="-"),"-",K6-L6)</f>
        <v>-</v>
      </c>
      <c r="N6" s="211"/>
      <c r="O6" s="211">
        <v>-1E-3</v>
      </c>
      <c r="P6" s="212" t="str">
        <f>IF(OR(N6="",O6="",N6="-",O6="-"),"-",N6-O6)</f>
        <v>-</v>
      </c>
      <c r="Q6" s="211">
        <v>-1E-3</v>
      </c>
      <c r="R6" s="211">
        <v>7.0000000000000001E-3</v>
      </c>
      <c r="S6" s="212">
        <f>IF(OR(Q6="",R6="",Q6="-",R6="-"),"-",Q6-R6)</f>
        <v>-8.0000000000000002E-3</v>
      </c>
      <c r="T6" s="211">
        <v>0</v>
      </c>
      <c r="U6" s="211">
        <v>3.0000000000000001E-3</v>
      </c>
      <c r="V6" s="212">
        <f>IF(OR(T6="",U6="",T6="-",U6="-"),"-",T6-U6)</f>
        <v>-3.0000000000000001E-3</v>
      </c>
      <c r="W6" s="211">
        <v>1E-3</v>
      </c>
      <c r="X6" s="211">
        <v>-2E-3</v>
      </c>
      <c r="Y6" s="212">
        <f>IF(OR(W6="",X6="",W6="-",X6="-"),"-",W6-X6)</f>
        <v>3.0000000000000001E-3</v>
      </c>
      <c r="Z6" s="16">
        <v>-4.0000000000000001E-3</v>
      </c>
      <c r="AA6" s="16">
        <v>1E-3</v>
      </c>
      <c r="AB6" s="3">
        <f>IF(OR(Z6="",AA6="",Z6="-",AA6="-"),"-",Z6-AA6)</f>
        <v>-5.0000000000000001E-3</v>
      </c>
      <c r="AC6" s="16">
        <v>0</v>
      </c>
      <c r="AD6" s="16">
        <v>5.0000000000000001E-3</v>
      </c>
      <c r="AE6" s="3">
        <f>IF(OR(AC6="",AD6="",AC6="-",AD6="-"),"-",AC6-AD6)</f>
        <v>-5.0000000000000001E-3</v>
      </c>
      <c r="AF6" s="16">
        <v>2E-3</v>
      </c>
      <c r="AG6" s="16">
        <v>4.0000000000000001E-3</v>
      </c>
      <c r="AH6" s="3">
        <f>IF(OR(AF6="",AG6="",AF6="-",AG6="-"),"-",AF6-AG6)</f>
        <v>-2E-3</v>
      </c>
      <c r="AI6" s="16">
        <v>4.0000000000000001E-3</v>
      </c>
      <c r="AJ6" s="16">
        <v>1E-3</v>
      </c>
      <c r="AK6" s="3">
        <f>IF(OR(AI6="",AJ6="",AI6="-",AJ6="-"),"-",AI6-AJ6)</f>
        <v>3.0000000000000001E-3</v>
      </c>
      <c r="AL6" s="16">
        <v>0</v>
      </c>
      <c r="AM6" s="16">
        <v>2E-3</v>
      </c>
      <c r="AN6" s="3">
        <f>IF(OR(AL6="",AM6="",AL6="-",AM6="-"),"-",AL6-AM6)</f>
        <v>-2E-3</v>
      </c>
      <c r="AO6" s="16">
        <v>2E-3</v>
      </c>
      <c r="AP6" s="16">
        <v>0</v>
      </c>
      <c r="AQ6" s="3">
        <f>IF(OR(AO6="",AP6="",AO6="-",AP6="-"),"-",AO6-AP6)</f>
        <v>2E-3</v>
      </c>
      <c r="AR6" s="16">
        <v>2E-3</v>
      </c>
      <c r="AS6" s="17">
        <v>0</v>
      </c>
      <c r="AT6" s="3">
        <f>IF(OR(AR6="",AS6="",AR6="-",AS6="-"),"-",AR6-AS6)</f>
        <v>2E-3</v>
      </c>
      <c r="AU6" s="16">
        <v>5.0000000000000001E-3</v>
      </c>
      <c r="AV6" s="16">
        <v>-1E-3</v>
      </c>
      <c r="AW6" s="3">
        <f>IF(OR(AU6="",AV6="",AU6="-",AV6="-"),"-",AU6-AV6)</f>
        <v>6.0000000000000001E-3</v>
      </c>
      <c r="AX6" s="16">
        <v>2E-3</v>
      </c>
      <c r="AY6" s="16">
        <v>6.0000000000000001E-3</v>
      </c>
      <c r="AZ6" s="3">
        <f>IF(OR(AX6="",AY6="",AX6="-",AY6="-"),"-",AX6-AY6)</f>
        <v>-4.0000000000000001E-3</v>
      </c>
    </row>
    <row r="7" spans="1:52" x14ac:dyDescent="0.25">
      <c r="A7" s="237" t="s">
        <v>91</v>
      </c>
      <c r="B7" s="229"/>
      <c r="C7" s="229"/>
      <c r="D7" s="212" t="str">
        <f>IF(OR(B7="",C7="",B7="-",C7="-"),"-",B7-C7)</f>
        <v>-</v>
      </c>
      <c r="E7" s="211">
        <v>7.0000000000000001E-3</v>
      </c>
      <c r="F7" s="229">
        <v>0</v>
      </c>
      <c r="G7" s="212">
        <f>IF(OR(E7="",F7="",E7="-",F7="-"),"-",E7-F7)</f>
        <v>7.0000000000000001E-3</v>
      </c>
      <c r="H7" s="229">
        <v>2E-3</v>
      </c>
      <c r="I7" s="211">
        <v>5.0000000000000001E-3</v>
      </c>
      <c r="J7" s="212">
        <f>IF(OR(H7="",I7="",H7="-",I7="-"),"-",H7-I7)</f>
        <v>-3.0000000000000001E-3</v>
      </c>
      <c r="K7" s="211">
        <v>5.0000000000000001E-3</v>
      </c>
      <c r="L7" s="229"/>
      <c r="M7" s="212" t="str">
        <f>IF(OR(K7="",L7="",K7="-",L7="-"),"-",K7-L7)</f>
        <v>-</v>
      </c>
      <c r="N7" s="229">
        <v>0</v>
      </c>
      <c r="O7" s="229">
        <v>0</v>
      </c>
      <c r="P7" s="212">
        <f>IF(OR(N7="",O7="",N7="-",O7="-"),"-",N7-O7)</f>
        <v>0</v>
      </c>
      <c r="Q7" s="211">
        <v>-1E-3</v>
      </c>
      <c r="R7" s="211">
        <v>7.0000000000000001E-3</v>
      </c>
      <c r="S7" s="212">
        <f>IF(OR(Q7="",R7="",Q7="-",R7="-"),"-",Q7-R7)</f>
        <v>-8.0000000000000002E-3</v>
      </c>
      <c r="T7" s="231">
        <v>0</v>
      </c>
      <c r="U7" s="211">
        <v>4.0000000000000001E-3</v>
      </c>
      <c r="V7" s="212">
        <f>IF(OR(T7="",U7="",T7="-",U7="-"),"-",T7-U7)</f>
        <v>-4.0000000000000001E-3</v>
      </c>
      <c r="W7" s="211">
        <v>1E-3</v>
      </c>
      <c r="X7" s="211">
        <v>-2E-3</v>
      </c>
      <c r="Y7" s="212">
        <f>IF(OR(W7="",X7="",W7="-",X7="-"),"-",W7-X7)</f>
        <v>3.0000000000000001E-3</v>
      </c>
      <c r="Z7" s="16">
        <v>-1E-3</v>
      </c>
      <c r="AA7" s="16">
        <v>1E-3</v>
      </c>
      <c r="AB7" s="3">
        <f>IF(OR(Z7="",AA7="",Z7="-",AA7="-"),"-",Z7-AA7)</f>
        <v>-2E-3</v>
      </c>
      <c r="AC7" s="16">
        <v>-1E-3</v>
      </c>
      <c r="AD7" s="16">
        <v>4.0000000000000001E-3</v>
      </c>
      <c r="AE7" s="3">
        <f>IF(OR(AC7="",AD7="",AC7="-",AD7="-"),"-",AC7-AD7)</f>
        <v>-5.0000000000000001E-3</v>
      </c>
      <c r="AF7" s="17"/>
      <c r="AG7" s="17"/>
      <c r="AH7" s="3" t="str">
        <f>IF(OR(AF7="",AG7="",AF7="-",AG7="-"),"-",AF7-AG7)</f>
        <v>-</v>
      </c>
      <c r="AI7" s="16">
        <v>2E-3</v>
      </c>
      <c r="AJ7" s="16">
        <v>2E-3</v>
      </c>
      <c r="AK7" s="3">
        <f>IF(OR(AI7="",AJ7="",AI7="-",AJ7="-"),"-",AI7-AJ7)</f>
        <v>0</v>
      </c>
      <c r="AL7" s="16">
        <v>2E-3</v>
      </c>
      <c r="AM7" s="16">
        <v>3.0000000000000001E-3</v>
      </c>
      <c r="AN7" s="3">
        <f>IF(OR(AL7="",AM7="",AL7="-",AM7="-"),"-",AL7-AM7)</f>
        <v>-1E-3</v>
      </c>
      <c r="AO7" s="82">
        <v>3.0000000000000001E-3</v>
      </c>
      <c r="AP7" s="16">
        <v>-2E-3</v>
      </c>
      <c r="AQ7" s="3">
        <f>IF(OR(AO7="",AP7="",AO7="-",AP7="-"),"-",AO7-AP7)</f>
        <v>5.0000000000000001E-3</v>
      </c>
      <c r="AR7" s="16">
        <v>4.0000000000000001E-3</v>
      </c>
      <c r="AS7" s="16">
        <v>3.0000000000000001E-3</v>
      </c>
      <c r="AT7" s="3">
        <f>IF(OR(AR7="",AS7="",AR7="-",AS7="-"),"-",AR7-AS7)</f>
        <v>1E-3</v>
      </c>
      <c r="AU7" s="16">
        <v>5.0000000000000001E-3</v>
      </c>
      <c r="AV7" s="16">
        <v>-1E-3</v>
      </c>
      <c r="AW7" s="3">
        <f>IF(OR(AU7="",AV7="",AU7="-",AV7="-"),"-",AU7-AV7)</f>
        <v>6.0000000000000001E-3</v>
      </c>
      <c r="AX7" s="16">
        <v>2E-3</v>
      </c>
      <c r="AY7" s="16">
        <v>3.0000000000000001E-3</v>
      </c>
      <c r="AZ7" s="3">
        <f>IF(OR(AX7="",AY7="",AX7="-",AY7="-"),"-",AX7-AY7)</f>
        <v>-1E-3</v>
      </c>
    </row>
    <row r="8" spans="1:52" x14ac:dyDescent="0.25">
      <c r="A8" s="238" t="s">
        <v>92</v>
      </c>
      <c r="B8" s="245"/>
      <c r="C8" s="245"/>
      <c r="D8" s="212" t="str">
        <f>IF(OR(B8="",C8="",B8="-",C8="-"),"-",B8-C8)</f>
        <v>-</v>
      </c>
      <c r="E8" s="245">
        <v>4.0000000000000001E-3</v>
      </c>
      <c r="F8" s="245">
        <v>3.0000000000000001E-3</v>
      </c>
      <c r="G8" s="212">
        <f>IF(OR(E8="",F8="",E8="-",F8="-"),"-",E8-F8)</f>
        <v>1E-3</v>
      </c>
      <c r="H8" s="213">
        <v>3.0000000000000001E-3</v>
      </c>
      <c r="I8" s="213">
        <v>2E-3</v>
      </c>
      <c r="J8" s="212">
        <f>IF(OR(H8="",I8="",H8="-",I8="-"),"-",H8-I8)</f>
        <v>1E-3</v>
      </c>
      <c r="K8" s="213">
        <v>2E-3</v>
      </c>
      <c r="L8" s="245"/>
      <c r="M8" s="212" t="str">
        <f>IF(OR(K8="",L8="",K8="-",L8="-"),"-",K8-L8)</f>
        <v>-</v>
      </c>
      <c r="N8" s="213">
        <v>2E-3</v>
      </c>
      <c r="O8" s="213">
        <v>3.0000000000000001E-3</v>
      </c>
      <c r="P8" s="212">
        <f>IF(OR(N8="",O8="",N8="-",O8="-"),"-",N8-O8)</f>
        <v>-1E-3</v>
      </c>
      <c r="Q8" s="213">
        <v>3.0000000000000001E-3</v>
      </c>
      <c r="R8" s="213">
        <v>3.0000000000000001E-3</v>
      </c>
      <c r="S8" s="212">
        <f>IF(OR(Q8="",R8="",Q8="-",R8="-"),"-",Q8-R8)</f>
        <v>0</v>
      </c>
      <c r="T8" s="213">
        <v>3.0000000000000001E-3</v>
      </c>
      <c r="U8" s="213">
        <v>2E-3</v>
      </c>
      <c r="V8" s="212">
        <f>IF(OR(T8="",U8="",T8="-",U8="-"),"-",T8-U8)</f>
        <v>1E-3</v>
      </c>
      <c r="W8" s="213">
        <v>1E-3</v>
      </c>
      <c r="X8" s="213">
        <v>0</v>
      </c>
      <c r="Y8" s="212">
        <f>IF(OR(W8="",X8="",W8="-",X8="-"),"-",W8-X8)</f>
        <v>1E-3</v>
      </c>
      <c r="Z8" s="83">
        <v>0</v>
      </c>
      <c r="AA8" s="83">
        <v>3.0000000000000001E-3</v>
      </c>
      <c r="AB8" s="3">
        <f>IF(OR(Z8="",AA8="",Z8="-",AA8="-"),"-",Z8-AA8)</f>
        <v>-3.0000000000000001E-3</v>
      </c>
      <c r="AC8" s="83">
        <v>3.0000000000000001E-3</v>
      </c>
      <c r="AD8" s="83">
        <v>1E-3</v>
      </c>
      <c r="AE8" s="3">
        <f>IF(OR(AC8="",AD8="",AC8="-",AD8="-"),"-",AC8-AD8)</f>
        <v>2E-3</v>
      </c>
      <c r="AF8" s="83">
        <v>1E-3</v>
      </c>
      <c r="AG8" s="83">
        <v>3.0000000000000001E-3</v>
      </c>
      <c r="AH8" s="3">
        <f>IF(OR(AF8="",AG8="",AF8="-",AG8="-"),"-",AF8-AG8)</f>
        <v>-2E-3</v>
      </c>
      <c r="AI8" s="83">
        <v>3.0000000000000001E-3</v>
      </c>
      <c r="AJ8" s="83">
        <v>3.0000000000000001E-3</v>
      </c>
      <c r="AK8" s="3">
        <f>IF(OR(AI8="",AJ8="",AI8="-",AJ8="-"),"-",AI8-AJ8)</f>
        <v>0</v>
      </c>
      <c r="AL8" s="83">
        <v>-0.03</v>
      </c>
      <c r="AM8" s="84">
        <v>0.02</v>
      </c>
      <c r="AN8" s="3">
        <f>IF(OR(AL8="",AM8="",AL8="-",AM8="-"),"-",AL8-AM8)</f>
        <v>-0.05</v>
      </c>
      <c r="AO8" s="83">
        <v>2E-3</v>
      </c>
      <c r="AP8" s="83">
        <v>2E-3</v>
      </c>
      <c r="AQ8" s="3">
        <f>IF(OR(AO8="",AP8="",AO8="-",AP8="-"),"-",AO8-AP8)</f>
        <v>0</v>
      </c>
      <c r="AR8" s="83">
        <v>2E-3</v>
      </c>
      <c r="AS8" s="83">
        <v>1E-3</v>
      </c>
      <c r="AT8" s="3">
        <f>IF(OR(AR8="",AS8="",AR8="-",AS8="-"),"-",AR8-AS8)</f>
        <v>1E-3</v>
      </c>
      <c r="AU8" s="83">
        <v>2E-3</v>
      </c>
      <c r="AV8" s="83">
        <v>3.0000000000000001E-3</v>
      </c>
      <c r="AW8" s="3">
        <f>IF(OR(AU8="",AV8="",AU8="-",AV8="-"),"-",AU8-AV8)</f>
        <v>-1E-3</v>
      </c>
      <c r="AX8" s="85">
        <v>3.0000000000000001E-3</v>
      </c>
      <c r="AY8" s="83">
        <v>5.0000000000000001E-3</v>
      </c>
      <c r="AZ8" s="3">
        <f>IF(OR(AX8="",AY8="",AX8="-",AY8="-"),"-",AX8-AY8)</f>
        <v>-2E-3</v>
      </c>
    </row>
    <row r="9" spans="1:52" x14ac:dyDescent="0.25">
      <c r="A9" s="239" t="s">
        <v>93</v>
      </c>
      <c r="B9" s="218"/>
      <c r="C9" s="218"/>
      <c r="D9" s="215" t="str">
        <f>IF(OR(B9="",C9="",B9="-",C9="-"),"-",B9-C9)</f>
        <v>-</v>
      </c>
      <c r="E9" s="218">
        <v>8.0000000000000002E-3</v>
      </c>
      <c r="F9" s="218">
        <v>8.9999999999999993E-3</v>
      </c>
      <c r="G9" s="215">
        <f>IF(OR(E9="",F9="",E9="-",F9="-"),"-",E9-F9)</f>
        <v>-9.9999999999999915E-4</v>
      </c>
      <c r="H9" s="214">
        <v>4.0000000000000001E-3</v>
      </c>
      <c r="I9" s="218">
        <v>8.9999999999999993E-3</v>
      </c>
      <c r="J9" s="215">
        <f>IF(OR(H9="",I9="",H9="-",I9="-"),"-",H9-I9)</f>
        <v>-4.9999999999999992E-3</v>
      </c>
      <c r="K9" s="218">
        <v>8.9999999999999993E-3</v>
      </c>
      <c r="L9" s="218"/>
      <c r="M9" s="215" t="str">
        <f>IF(OR(K9="",L9="",K9="-",L9="-"),"-",K9-L9)</f>
        <v>-</v>
      </c>
      <c r="N9" s="214">
        <v>3.0000000000000001E-3</v>
      </c>
      <c r="O9" s="214">
        <v>2E-3</v>
      </c>
      <c r="P9" s="215">
        <f>IF(OR(N9="",O9="",N9="-",O9="-"),"-",N9-O9)</f>
        <v>1E-3</v>
      </c>
      <c r="Q9" s="214">
        <v>4.0000000000000001E-3</v>
      </c>
      <c r="R9" s="214">
        <v>-1E-3</v>
      </c>
      <c r="S9" s="215">
        <f>IF(OR(Q9="",R9="",Q9="-",R9="-"),"-",Q9-R9)</f>
        <v>5.0000000000000001E-3</v>
      </c>
      <c r="T9" s="214">
        <v>1E-3</v>
      </c>
      <c r="U9" s="214">
        <v>-4.0000000000000001E-3</v>
      </c>
      <c r="V9" s="215">
        <f>IF(OR(T9="",U9="",T9="-",U9="-"),"-",T9-U9)</f>
        <v>5.0000000000000001E-3</v>
      </c>
      <c r="W9" s="214">
        <v>0</v>
      </c>
      <c r="X9" s="214">
        <v>-4.0000000000000001E-3</v>
      </c>
      <c r="Y9" s="215">
        <f>IF(OR(W9="",X9="",W9="-",X9="-"),"-",W9-X9)</f>
        <v>4.0000000000000001E-3</v>
      </c>
      <c r="Z9" s="18">
        <v>-1E-3</v>
      </c>
      <c r="AA9" s="18">
        <v>2E-3</v>
      </c>
      <c r="AB9" s="4">
        <f>IF(OR(Z9="",AA9="",Z9="-",AA9="-"),"-",Z9-AA9)</f>
        <v>-3.0000000000000001E-3</v>
      </c>
      <c r="AC9" s="18">
        <v>4.0000000000000001E-3</v>
      </c>
      <c r="AD9" s="18">
        <v>2E-3</v>
      </c>
      <c r="AE9" s="4">
        <f>IF(OR(AC9="",AD9="",AC9="-",AD9="-"),"-",AC9-AD9)</f>
        <v>2E-3</v>
      </c>
      <c r="AF9" s="18">
        <v>1E-3</v>
      </c>
      <c r="AG9" s="18">
        <v>1E-3</v>
      </c>
      <c r="AH9" s="4">
        <f>IF(OR(AF9="",AG9="",AF9="-",AG9="-"),"-",AF9-AG9)</f>
        <v>0</v>
      </c>
      <c r="AI9" s="18">
        <v>1E-3</v>
      </c>
      <c r="AJ9" s="18">
        <v>-4.0000000000000001E-3</v>
      </c>
      <c r="AK9" s="4">
        <f>IF(OR(AI9="",AJ9="",AI9="-",AJ9="-"),"-",AI9-AJ9)</f>
        <v>5.0000000000000001E-3</v>
      </c>
      <c r="AL9" s="18">
        <v>-4.0000000000000001E-3</v>
      </c>
      <c r="AM9" s="18">
        <v>-2E-3</v>
      </c>
      <c r="AN9" s="4">
        <f>IF(OR(AL9="",AM9="",AL9="-",AM9="-"),"-",AL9-AM9)</f>
        <v>-2E-3</v>
      </c>
      <c r="AO9" s="18">
        <v>-3.0000000000000001E-3</v>
      </c>
      <c r="AP9" s="18">
        <v>1E-3</v>
      </c>
      <c r="AQ9" s="4">
        <f>IF(OR(AO9="",AP9="",AO9="-",AP9="-"),"-",AO9-AP9)</f>
        <v>-4.0000000000000001E-3</v>
      </c>
      <c r="AR9" s="18">
        <v>0</v>
      </c>
      <c r="AS9" s="18">
        <v>-2E-3</v>
      </c>
      <c r="AT9" s="4">
        <f>IF(OR(AR9="",AS9="",AR9="-",AS9="-"),"-",AR9-AS9)</f>
        <v>2E-3</v>
      </c>
      <c r="AU9" s="18">
        <v>8.9999999999999993E-3</v>
      </c>
      <c r="AV9" s="18">
        <v>6.0000000000000001E-3</v>
      </c>
      <c r="AW9" s="4">
        <f>IF(OR(AU9="",AV9="",AU9="-",AV9="-"),"-",AU9-AV9)</f>
        <v>2.9999999999999992E-3</v>
      </c>
      <c r="AX9" s="18">
        <v>4.0000000000000001E-3</v>
      </c>
      <c r="AY9" s="18">
        <v>3.0000000000000001E-3</v>
      </c>
      <c r="AZ9" s="4">
        <f>IF(OR(AX9="",AY9="",AX9="-",AY9="-"),"-",AX9-AY9)</f>
        <v>1E-3</v>
      </c>
    </row>
    <row r="10" spans="1:52" x14ac:dyDescent="0.25">
      <c r="A10" s="239" t="s">
        <v>94</v>
      </c>
      <c r="B10" s="218"/>
      <c r="C10" s="218"/>
      <c r="D10" s="217" t="str">
        <f>IF(OR(B10="",C10="",B10="-",C10="-"),"-",B10-C10)</f>
        <v>-</v>
      </c>
      <c r="E10" s="218">
        <v>59</v>
      </c>
      <c r="F10" s="218">
        <v>58.5</v>
      </c>
      <c r="G10" s="217">
        <f>IF(OR(E10="",F10="",E10="-",F10="-"),"-",E10-F10)</f>
        <v>0.5</v>
      </c>
      <c r="H10" s="218">
        <v>60.9</v>
      </c>
      <c r="I10" s="218">
        <v>57</v>
      </c>
      <c r="J10" s="217">
        <f>IF(OR(H10="",I10="",H10="-",I10="-"),"-",H10-I10)</f>
        <v>3.8999999999999986</v>
      </c>
      <c r="K10" s="218">
        <v>57</v>
      </c>
      <c r="L10" s="218"/>
      <c r="M10" s="217" t="str">
        <f>IF(OR(K10="",L10="",K10="-",L10="-"),"-",K10-L10)</f>
        <v>-</v>
      </c>
      <c r="N10" s="218">
        <v>61.9</v>
      </c>
      <c r="O10" s="218">
        <v>63.7</v>
      </c>
      <c r="P10" s="217">
        <f>IF(OR(N10="",O10="",N10="-",O10="-"),"-",N10-O10)</f>
        <v>-1.8000000000000043</v>
      </c>
      <c r="Q10" s="218">
        <v>63.7</v>
      </c>
      <c r="R10" s="218">
        <v>69.7</v>
      </c>
      <c r="S10" s="217">
        <f>IF(OR(Q10="",R10="",Q10="-",R10="-"),"-",Q10-R10)</f>
        <v>-6</v>
      </c>
      <c r="T10" s="218">
        <v>69.7</v>
      </c>
      <c r="U10" s="218">
        <v>69.400000000000006</v>
      </c>
      <c r="V10" s="217">
        <f>IF(OR(T10="",U10="",T10="-",U10="-"),"-",T10-U10)</f>
        <v>0.29999999999999716</v>
      </c>
      <c r="W10" s="216">
        <v>69.400000000000006</v>
      </c>
      <c r="X10" s="216">
        <v>69.8</v>
      </c>
      <c r="Y10" s="217">
        <f>IF(OR(W10="",X10="",W10="-",X10="-"),"-",W10-X10)</f>
        <v>-0.39999999999999147</v>
      </c>
      <c r="Z10" s="19">
        <v>69.8</v>
      </c>
      <c r="AA10" s="19">
        <v>62.4</v>
      </c>
      <c r="AB10" s="10">
        <f>IF(OR(Z10="",AA10="",Z10="-",AA10="-"),"-",Z10-AA10)</f>
        <v>7.3999999999999986</v>
      </c>
      <c r="AC10" s="19">
        <v>62.4</v>
      </c>
      <c r="AD10" s="19">
        <v>52.5</v>
      </c>
      <c r="AE10" s="10">
        <f>IF(OR(AC10="",AD10="",AC10="-",AD10="-"),"-",AC10-AD10)</f>
        <v>9.8999999999999986</v>
      </c>
      <c r="AF10" s="19">
        <v>52.5</v>
      </c>
      <c r="AG10" s="19">
        <v>50.3</v>
      </c>
      <c r="AH10" s="10">
        <f>IF(OR(AF10="",AG10="",AF10="-",AG10="-"),"-",AF10-AG10)</f>
        <v>2.2000000000000028</v>
      </c>
      <c r="AI10" s="19">
        <v>50.3</v>
      </c>
      <c r="AJ10" s="19">
        <v>54.8</v>
      </c>
      <c r="AK10" s="10">
        <f>IF(OR(AI10="",AJ10="",AI10="-",AJ10="-"),"-",AI10-AJ10)</f>
        <v>-4.5</v>
      </c>
      <c r="AL10" s="19">
        <v>54.8</v>
      </c>
      <c r="AM10" s="19">
        <v>47.2</v>
      </c>
      <c r="AN10" s="10">
        <f>IF(OR(AL10="",AM10="",AL10="-",AM10="-"),"-",AL10-AM10)</f>
        <v>7.5999999999999943</v>
      </c>
      <c r="AO10" s="19">
        <v>54</v>
      </c>
      <c r="AP10" s="19">
        <v>52.9</v>
      </c>
      <c r="AQ10" s="10">
        <f>IF(OR(AO10="",AP10="",AO10="-",AP10="-"),"-",AO10-AP10)</f>
        <v>1.1000000000000014</v>
      </c>
      <c r="AR10" s="19">
        <v>52.1</v>
      </c>
      <c r="AS10" s="19">
        <v>57</v>
      </c>
      <c r="AT10" s="10">
        <f>IF(OR(AR10="",AS10="",AR10="-",AS10="-"),"-",AR10-AS10)</f>
        <v>-4.8999999999999986</v>
      </c>
      <c r="AU10" s="19">
        <v>57</v>
      </c>
      <c r="AV10" s="19">
        <v>60.9</v>
      </c>
      <c r="AW10" s="10">
        <f>IF(OR(AU10="",AV10="",AU10="-",AV10="-"),"-",AU10-AV10)</f>
        <v>-3.8999999999999986</v>
      </c>
      <c r="AX10" s="86">
        <v>60.9</v>
      </c>
      <c r="AY10" s="19">
        <v>51.5</v>
      </c>
      <c r="AZ10" s="10">
        <f>IF(OR(AX10="",AY10="",AX10="-",AY10="-"),"-",AX10-AY10)</f>
        <v>9.3999999999999986</v>
      </c>
    </row>
    <row r="11" spans="1:52" x14ac:dyDescent="0.25">
      <c r="A11" s="239" t="s">
        <v>95</v>
      </c>
      <c r="B11" s="218"/>
      <c r="C11" s="218"/>
      <c r="D11" s="215" t="str">
        <f>IF(OR(B11="",C11="",B11="-",C11="-"),"-",B11-C11)</f>
        <v>-</v>
      </c>
      <c r="E11" s="214">
        <v>3.5000000000000003E-2</v>
      </c>
      <c r="F11" s="232">
        <v>0.04</v>
      </c>
      <c r="G11" s="215">
        <f>IF(OR(E11="",F11="",E11="-",F11="-"),"-",E11-F11)</f>
        <v>-4.9999999999999975E-3</v>
      </c>
      <c r="H11" s="214">
        <v>3.1E-2</v>
      </c>
      <c r="I11" s="214">
        <v>2.9000000000000001E-2</v>
      </c>
      <c r="J11" s="215">
        <f>IF(OR(H11="",I11="",H11="-",I11="-"),"-",H11-I11)</f>
        <v>1.9999999999999983E-3</v>
      </c>
      <c r="K11" s="214">
        <v>2.9000000000000001E-2</v>
      </c>
      <c r="L11" s="218"/>
      <c r="M11" s="215" t="str">
        <f>IF(OR(K11="",L11="",K11="-",L11="-"),"-",K11-L11)</f>
        <v>-</v>
      </c>
      <c r="N11" s="214">
        <v>4.5999999999999999E-2</v>
      </c>
      <c r="O11" s="214">
        <v>4.7E-2</v>
      </c>
      <c r="P11" s="215">
        <f>IF(OR(N11="",O11="",N11="-",O11="-"),"-",N11-O11)</f>
        <v>-1.0000000000000009E-3</v>
      </c>
      <c r="Q11" s="214">
        <v>4.8000000000000001E-2</v>
      </c>
      <c r="R11" s="214">
        <v>4.8000000000000001E-2</v>
      </c>
      <c r="S11" s="215">
        <f>IF(OR(Q11="",R11="",Q11="-",R11="-"),"-",Q11-R11)</f>
        <v>0</v>
      </c>
      <c r="T11" s="214">
        <v>4.3999999999999997E-2</v>
      </c>
      <c r="U11" s="214">
        <v>5.0999999999999997E-2</v>
      </c>
      <c r="V11" s="215">
        <f>IF(OR(T11="",U11="",T11="-",U11="-"),"-",T11-U11)</f>
        <v>-6.9999999999999993E-3</v>
      </c>
      <c r="W11" s="214">
        <v>5.0999999999999997E-2</v>
      </c>
      <c r="X11" s="214">
        <v>6.5000000000000002E-2</v>
      </c>
      <c r="Y11" s="215">
        <f>IF(OR(W11="",X11="",W11="-",X11="-"),"-",W11-X11)</f>
        <v>-1.4000000000000005E-2</v>
      </c>
      <c r="Z11" s="87">
        <v>6.7000000000000004E-2</v>
      </c>
      <c r="AA11" s="18">
        <v>4.9000000000000002E-2</v>
      </c>
      <c r="AB11" s="4">
        <f>IF(OR(Z11="",AA11="",Z11="-",AA11="-"),"-",Z11-AA11)</f>
        <v>1.8000000000000002E-2</v>
      </c>
      <c r="AC11" s="18">
        <v>4.9000000000000002E-2</v>
      </c>
      <c r="AD11" s="18">
        <v>3.3000000000000002E-2</v>
      </c>
      <c r="AE11" s="4">
        <f>IF(OR(AC11="",AD11="",AC11="-",AD11="-"),"-",AC11-AD11)</f>
        <v>1.6E-2</v>
      </c>
      <c r="AF11" s="18">
        <v>3.3000000000000002E-2</v>
      </c>
      <c r="AG11" s="18">
        <v>2.8000000000000001E-2</v>
      </c>
      <c r="AH11" s="4">
        <f>IF(OR(AF11="",AG11="",AF11="-",AG11="-"),"-",AF11-AG11)</f>
        <v>5.000000000000001E-3</v>
      </c>
      <c r="AI11" s="18">
        <v>2.9000000000000001E-2</v>
      </c>
      <c r="AJ11" s="18">
        <v>2.7E-2</v>
      </c>
      <c r="AK11" s="4">
        <f>IF(OR(AI11="",AJ11="",AI11="-",AJ11="-"),"-",AI11-AJ11)</f>
        <v>2.0000000000000018E-3</v>
      </c>
      <c r="AL11" s="18">
        <v>2.9000000000000001E-2</v>
      </c>
      <c r="AM11" s="18">
        <v>2.7E-2</v>
      </c>
      <c r="AN11" s="4">
        <f>IF(OR(AL11="",AM11="",AL11="-",AM11="-"),"-",AL11-AM11)</f>
        <v>2.0000000000000018E-3</v>
      </c>
      <c r="AO11" s="18">
        <v>2.7E-2</v>
      </c>
      <c r="AP11" s="18">
        <v>2.8000000000000001E-2</v>
      </c>
      <c r="AQ11" s="4">
        <f>IF(OR(AO11="",AP11="",AO11="-",AP11="-"),"-",AO11-AP11)</f>
        <v>-1.0000000000000009E-3</v>
      </c>
      <c r="AR11" s="18">
        <v>2.9000000000000001E-2</v>
      </c>
      <c r="AS11" s="18">
        <v>0.03</v>
      </c>
      <c r="AT11" s="4">
        <f>IF(OR(AR11="",AS11="",AR11="-",AS11="-"),"-",AR11-AS11)</f>
        <v>-9.9999999999999742E-4</v>
      </c>
      <c r="AU11" s="19"/>
      <c r="AV11" s="18">
        <v>3.2000000000000001E-2</v>
      </c>
      <c r="AW11" s="4" t="str">
        <f>IF(OR(AU11="",AV11="",AU11="-",AV11="-"),"-",AU11-AV11)</f>
        <v>-</v>
      </c>
      <c r="AX11" s="18">
        <v>3.1E-2</v>
      </c>
      <c r="AY11" s="18">
        <v>2.9000000000000001E-2</v>
      </c>
      <c r="AZ11" s="4">
        <f>IF(OR(AX11="",AY11="",AX11="-",AY11="-"),"-",AX11-AY11)</f>
        <v>1.9999999999999983E-3</v>
      </c>
    </row>
    <row r="12" spans="1:52" x14ac:dyDescent="0.25">
      <c r="A12" s="239" t="s">
        <v>96</v>
      </c>
      <c r="B12" s="218"/>
      <c r="C12" s="218"/>
      <c r="D12" s="215" t="str">
        <f>IF(OR(B12="",C12="",B12="-",C12="-"),"-",B12-C12)</f>
        <v>-</v>
      </c>
      <c r="E12" s="218">
        <v>3.2000000000000001E-2</v>
      </c>
      <c r="F12" s="218">
        <v>3.5000000000000003E-2</v>
      </c>
      <c r="G12" s="215">
        <f>IF(OR(E12="",F12="",E12="-",F12="-"),"-",E12-F12)</f>
        <v>-3.0000000000000027E-3</v>
      </c>
      <c r="H12" s="218">
        <v>3.2000000000000001E-2</v>
      </c>
      <c r="I12" s="218">
        <v>2.9000000000000001E-2</v>
      </c>
      <c r="J12" s="215">
        <f>IF(OR(H12="",I12="",H12="-",I12="-"),"-",H12-I12)</f>
        <v>2.9999999999999992E-3</v>
      </c>
      <c r="K12" s="218">
        <v>2.9000000000000001E-2</v>
      </c>
      <c r="L12" s="218"/>
      <c r="M12" s="215" t="str">
        <f>IF(OR(K12="",L12="",K12="-",L12="-"),"-",K12-L12)</f>
        <v>-</v>
      </c>
      <c r="N12" s="214">
        <v>4.5999999999999999E-2</v>
      </c>
      <c r="O12" s="214">
        <v>4.8000000000000001E-2</v>
      </c>
      <c r="P12" s="215">
        <f>IF(OR(N12="",O12="",N12="-",O12="-"),"-",N12-O12)</f>
        <v>-2.0000000000000018E-3</v>
      </c>
      <c r="Q12" s="214">
        <v>4.8000000000000001E-2</v>
      </c>
      <c r="R12" s="214">
        <v>4.3999999999999997E-2</v>
      </c>
      <c r="S12" s="215">
        <f>IF(OR(Q12="",R12="",Q12="-",R12="-"),"-",Q12-R12)</f>
        <v>4.0000000000000036E-3</v>
      </c>
      <c r="T12" s="232">
        <v>0.05</v>
      </c>
      <c r="U12" s="214">
        <v>5.0999999999999997E-2</v>
      </c>
      <c r="V12" s="215">
        <f>IF(OR(T12="",U12="",T12="-",U12="-"),"-",T12-U12)</f>
        <v>-9.9999999999999395E-4</v>
      </c>
      <c r="W12" s="214">
        <v>6.6000000000000003E-2</v>
      </c>
      <c r="X12" s="214">
        <v>7.2999999999999995E-2</v>
      </c>
      <c r="Y12" s="215">
        <f>IF(OR(W12="",X12="",W12="-",X12="-"),"-",W12-X12)</f>
        <v>-6.9999999999999923E-3</v>
      </c>
      <c r="Z12" s="18">
        <v>6.5000000000000002E-2</v>
      </c>
      <c r="AA12" s="19"/>
      <c r="AB12" s="4" t="str">
        <f>IF(OR(Z12="",AA12="",Z12="-",AA12="-"),"-",Z12-AA12)</f>
        <v>-</v>
      </c>
      <c r="AC12" s="18">
        <v>4.2999999999999997E-2</v>
      </c>
      <c r="AD12" s="18">
        <v>4.2999999999999997E-2</v>
      </c>
      <c r="AE12" s="4">
        <f>IF(OR(AC12="",AD12="",AC12="-",AD12="-"),"-",AC12-AD12)</f>
        <v>0</v>
      </c>
      <c r="AF12" s="18">
        <v>3.3000000000000002E-2</v>
      </c>
      <c r="AG12" s="18">
        <v>2.9000000000000001E-2</v>
      </c>
      <c r="AH12" s="4">
        <f>IF(OR(AF12="",AG12="",AF12="-",AG12="-"),"-",AF12-AG12)</f>
        <v>4.0000000000000001E-3</v>
      </c>
      <c r="AI12" s="18">
        <v>2.9000000000000001E-2</v>
      </c>
      <c r="AJ12" s="19"/>
      <c r="AK12" s="4" t="str">
        <f>IF(OR(AI12="",AJ12="",AI12="-",AJ12="-"),"-",AI12-AJ12)</f>
        <v>-</v>
      </c>
      <c r="AL12" s="18">
        <v>2.7E-2</v>
      </c>
      <c r="AM12" s="18">
        <v>2.9000000000000001E-2</v>
      </c>
      <c r="AN12" s="4">
        <f>IF(OR(AL12="",AM12="",AL12="-",AM12="-"),"-",AL12-AM12)</f>
        <v>-2.0000000000000018E-3</v>
      </c>
      <c r="AO12" s="18">
        <v>2.8000000000000001E-2</v>
      </c>
      <c r="AP12" s="18">
        <v>2.8000000000000001E-2</v>
      </c>
      <c r="AQ12" s="4">
        <f>IF(OR(AO12="",AP12="",AO12="-",AP12="-"),"-",AO12-AP12)</f>
        <v>0</v>
      </c>
      <c r="AR12" s="87">
        <v>2.9000000000000001E-2</v>
      </c>
      <c r="AS12" s="18">
        <v>2.9000000000000001E-2</v>
      </c>
      <c r="AT12" s="4">
        <f>IF(OR(AR12="",AS12="",AR12="-",AS12="-"),"-",AR12-AS12)</f>
        <v>0</v>
      </c>
      <c r="AU12" s="19"/>
      <c r="AV12" s="19"/>
      <c r="AW12" s="4" t="str">
        <f>IF(OR(AU12="",AV12="",AU12="-",AV12="-"),"-",AU12-AV12)</f>
        <v>-</v>
      </c>
      <c r="AX12" s="88">
        <v>3.2000000000000001E-2</v>
      </c>
      <c r="AY12" s="18">
        <v>0.03</v>
      </c>
      <c r="AZ12" s="4">
        <f>IF(OR(AX12="",AY12="",AX12="-",AY12="-"),"-",AX12-AY12)</f>
        <v>2.0000000000000018E-3</v>
      </c>
    </row>
    <row r="13" spans="1:52" x14ac:dyDescent="0.25">
      <c r="A13" s="239" t="s">
        <v>97</v>
      </c>
      <c r="B13" s="218"/>
      <c r="C13" s="218"/>
      <c r="D13" s="215">
        <f>B13-C13</f>
        <v>0</v>
      </c>
      <c r="E13" s="218">
        <v>7.0000000000000001E-3</v>
      </c>
      <c r="F13" s="218">
        <v>8.0000000000000002E-3</v>
      </c>
      <c r="G13" s="215">
        <f>E13-F13</f>
        <v>-1E-3</v>
      </c>
      <c r="H13" s="214">
        <v>1.2E-2</v>
      </c>
      <c r="I13" s="214">
        <v>8.0000000000000002E-3</v>
      </c>
      <c r="J13" s="215">
        <f t="shared" ref="J4:J13" si="0">IF(ISBLANK(H13),"-",H13-I13)</f>
        <v>4.0000000000000001E-3</v>
      </c>
      <c r="K13" s="214">
        <v>8.0000000000000002E-3</v>
      </c>
      <c r="L13" s="218"/>
      <c r="M13" s="215">
        <f t="shared" ref="M4:M13" si="1">IF(ISBLANK(K13),"-",K13-L13)</f>
        <v>8.0000000000000002E-3</v>
      </c>
      <c r="N13" s="218"/>
      <c r="O13" s="218"/>
      <c r="P13" s="215" t="str">
        <f t="shared" ref="P4:P13" si="2">IF(ISBLANK(N13),"-",N13-O13)</f>
        <v>-</v>
      </c>
      <c r="Q13" s="214">
        <v>8.9999999999999993E-3</v>
      </c>
      <c r="R13" s="214">
        <v>8.9999999999999993E-3</v>
      </c>
      <c r="S13" s="215">
        <f t="shared" ref="S4:S13" si="3">IF(ISBLANK(Q13),"-",Q13-R13)</f>
        <v>0</v>
      </c>
      <c r="T13" s="214">
        <v>8.9999999999999993E-3</v>
      </c>
      <c r="U13" s="214">
        <v>8.9999999999999993E-3</v>
      </c>
      <c r="V13" s="215">
        <f t="shared" ref="V4:V13" si="4">IF(ISBLANK(T13),"-",T13-U13)</f>
        <v>0</v>
      </c>
      <c r="W13" s="214">
        <v>8.9999999999999993E-3</v>
      </c>
      <c r="X13" s="214">
        <v>8.9999999999999993E-3</v>
      </c>
      <c r="Y13" s="215">
        <f t="shared" ref="Y4:Y13" si="5">IF(ISBLANK(W13),"-",W13-X13)</f>
        <v>0</v>
      </c>
      <c r="Z13" s="18">
        <v>8.9999999999999993E-3</v>
      </c>
      <c r="AA13" s="18">
        <v>8.9999999999999993E-3</v>
      </c>
      <c r="AB13" s="4">
        <f t="shared" ref="AB4:AB13" si="6">IF(ISBLANK(Z13),"-",Z13-AA13)</f>
        <v>0</v>
      </c>
      <c r="AC13" s="18">
        <v>8.9999999999999993E-3</v>
      </c>
      <c r="AD13" s="18">
        <v>8.0000000000000002E-3</v>
      </c>
      <c r="AE13" s="4">
        <f t="shared" ref="AE4:AE13" si="7">IF(ISBLANK(AC13),"-",AC13-AD13)</f>
        <v>9.9999999999999915E-4</v>
      </c>
      <c r="AF13" s="19"/>
      <c r="AG13" s="19"/>
      <c r="AH13" s="4" t="str">
        <f t="shared" ref="AH4:AH13" si="8">IF(ISBLANK(AF13),"-",AF13-AG13)</f>
        <v>-</v>
      </c>
      <c r="AI13" s="19"/>
      <c r="AJ13" s="19"/>
      <c r="AK13" s="4" t="str">
        <f t="shared" ref="AK4:AK13" si="9">IF(ISBLANK(AI13),"-",AI13-AJ13)</f>
        <v>-</v>
      </c>
      <c r="AL13" s="18">
        <v>8.0000000000000002E-3</v>
      </c>
      <c r="AM13" s="18">
        <v>8.9999999999999993E-3</v>
      </c>
      <c r="AN13" s="4">
        <f t="shared" ref="AN4:AN13" si="10">IF(ISBLANK(AL13),"-",AL13-AM13)</f>
        <v>-9.9999999999999915E-4</v>
      </c>
      <c r="AO13" s="19"/>
      <c r="AP13" s="19"/>
      <c r="AQ13" s="4" t="str">
        <f t="shared" ref="AQ4:AQ13" si="11">IF(ISBLANK(AO13),"-",AO13-AP13)</f>
        <v>-</v>
      </c>
      <c r="AR13" s="19"/>
      <c r="AS13" s="19"/>
      <c r="AT13" s="4" t="str">
        <f t="shared" ref="AT3:AT13" si="12">IF(ISBLANK(AR13),"-",AR13-AS13)</f>
        <v>-</v>
      </c>
      <c r="AU13" s="19"/>
      <c r="AV13" s="19"/>
      <c r="AW13" s="4" t="str">
        <f t="shared" ref="AW3:AW13" si="13">IF(ISBLANK(AU13),"-",AU13-AV13)</f>
        <v>-</v>
      </c>
      <c r="AX13" s="18">
        <v>1.2E-2</v>
      </c>
      <c r="AY13" s="18">
        <v>8.9999999999999993E-3</v>
      </c>
      <c r="AZ13" s="4">
        <f t="shared" ref="AZ3:AZ13" si="14">IF(ISBLANK(AX13),"-",AX13-AY13)</f>
        <v>3.0000000000000009E-3</v>
      </c>
    </row>
    <row r="14" spans="1:52" x14ac:dyDescent="0.25">
      <c r="A14" s="239"/>
      <c r="B14" s="218"/>
      <c r="C14" s="218"/>
      <c r="D14" s="218" t="str">
        <f>IF(OR(B14="",C14="",B14="-",C14="-"),"-",B14-C14)</f>
        <v>-</v>
      </c>
      <c r="E14" s="218"/>
      <c r="F14" s="218"/>
      <c r="G14" s="218" t="str">
        <f>IF(OR(E14="",F14="",E14="-",F14="-"),"-",E14-F14)</f>
        <v>-</v>
      </c>
      <c r="H14" s="218"/>
      <c r="I14" s="218"/>
      <c r="J14" s="218" t="str">
        <f>IF(OR(H14="",I14="",H14="-",I14="-"),"-",H14-I14)</f>
        <v>-</v>
      </c>
      <c r="K14" s="218"/>
      <c r="L14" s="218"/>
      <c r="M14" s="218" t="str">
        <f>IF(OR(K14="",L14="",K14="-",L14="-"),"-",K14-L14)</f>
        <v>-</v>
      </c>
      <c r="N14" s="218"/>
      <c r="O14" s="218"/>
      <c r="P14" s="218" t="str">
        <f>IF(OR(N14="",O14="",N14="-",O14="-"),"-",N14-O14)</f>
        <v>-</v>
      </c>
      <c r="Q14" s="218"/>
      <c r="R14" s="218"/>
      <c r="S14" s="218" t="str">
        <f>IF(OR(Q14="",R14="",Q14="-",R14="-"),"-",Q14-R14)</f>
        <v>-</v>
      </c>
      <c r="T14" s="218"/>
      <c r="U14" s="218"/>
      <c r="V14" s="218" t="str">
        <f>IF(OR(T14="",U14="",T14="-",U14="-"),"-",T14-U14)</f>
        <v>-</v>
      </c>
      <c r="W14" s="218"/>
      <c r="X14" s="218"/>
      <c r="Y14" s="218" t="str">
        <f>IF(OR(W14="",X14="",W14="-",X14="-"),"-",W14-X14)</f>
        <v>-</v>
      </c>
      <c r="Z14" s="19"/>
      <c r="AA14" s="19"/>
      <c r="AB14" s="20" t="str">
        <f>IF(OR(Z14="",AA14="",Z14="-",AA14="-"),"-",Z14-AA14)</f>
        <v>-</v>
      </c>
      <c r="AC14" s="19"/>
      <c r="AD14" s="19"/>
      <c r="AE14" s="20" t="str">
        <f>IF(OR(AC14="",AD14="",AC14="-",AD14="-"),"-",AC14-AD14)</f>
        <v>-</v>
      </c>
      <c r="AF14" s="19"/>
      <c r="AG14" s="19"/>
      <c r="AH14" s="20" t="str">
        <f>IF(OR(AF14="",AG14="",AF14="-",AG14="-"),"-",AF14-AG14)</f>
        <v>-</v>
      </c>
      <c r="AI14" s="19"/>
      <c r="AJ14" s="19"/>
      <c r="AK14" s="20" t="str">
        <f>IF(OR(AI14="",AJ14="",AI14="-",AJ14="-"),"-",AI14-AJ14)</f>
        <v>-</v>
      </c>
      <c r="AL14" s="19"/>
      <c r="AM14" s="19"/>
      <c r="AN14" s="20" t="str">
        <f>IF(OR(AL14="",AM14="",AL14="-",AM14="-"),"-",AL14-AM14)</f>
        <v>-</v>
      </c>
      <c r="AO14" s="19"/>
      <c r="AP14" s="19"/>
      <c r="AQ14" s="20" t="str">
        <f>IF(OR(AO14="",AP14="",AO14="-",AP14="-"),"-",AO14-AP14)</f>
        <v>-</v>
      </c>
      <c r="AR14" s="19"/>
      <c r="AS14" s="19"/>
      <c r="AT14" s="20" t="str">
        <f>IF(OR(AR14="",AS14="",AR14="-",AS14="-"),"-",AR14-AS14)</f>
        <v>-</v>
      </c>
      <c r="AU14" s="19"/>
      <c r="AV14" s="19"/>
      <c r="AW14" s="20" t="str">
        <f>IF(OR(AU14="",AV14="",AU14="-",AV14="-"),"-",AU14-AV14)</f>
        <v>-</v>
      </c>
      <c r="AX14" s="19"/>
      <c r="AY14" s="19"/>
      <c r="AZ14" s="20" t="str">
        <f>IF(OR(AX14="",AY14="",AX14="-",AY14="-"),"-",AX14-AY14)</f>
        <v>-</v>
      </c>
    </row>
    <row r="15" spans="1:52" x14ac:dyDescent="0.25">
      <c r="A15" s="236" t="s">
        <v>18</v>
      </c>
      <c r="B15" s="332" t="str">
        <f>IF(AND(D16="-",D17="-",D18="-",D19="-",D20="-",D21="-"), "",
    IF(SUM(IF(D16="-",0,IF(D16&lt;0,-2,IF(D16&gt;0,2,0))),
            IF(D17="-",0,IF(D17&lt;0,-2,IF(D17&gt;0,2,0))),
            IF(D18="-",0,IF(D18&lt;0,-2,IF(D18&gt;0,2,0))),
            IF(D19="-",0,IF(D19&lt;0,-1,IF(D19&gt;0,1,0))),
            IF(D20="-",0,IF(D20&lt;0,-1,IF(D20&gt;0,1,0))),
            IF(D21="-",0,IF(D21&lt;0,-1,IF(D21&gt;0,1,0))))/9&gt;0.1, "BULLISH",
    IF(SUM(IF(D16="-",0,IF(D16&lt;0,-2,IF(D16&gt;0,2,0))),
            IF(D17="-",0,IF(D17&lt;0,-2,IF(D17&gt;0,2,0))),
            IF(D18="-",0,IF(D18&lt;0,-2,IF(D18&gt;0,2,0))),
            IF(D19="-",0,IF(D19&lt;0,-1,IF(D19&gt;0,1,0))),
            IF(D20="-",0,IF(D20&lt;0,-1,IF(D20&gt;0,1,0))),
            IF(D21="-",0,IF(D21&lt;0,-1,IF(D21&gt;0,1,0))))/9&lt;-0.1, "BEARISH",
    IF(SUM(IF(D16="-",0,IF(D16&lt;0,-2,IF(D16&gt;0,2,0))),
            IF(D17="-",0,IF(D17&lt;0,-2,IF(D17&gt;0,2,0))),
            IF(D18="-",0,IF(D18&lt;0,-2,IF(D18&gt;0,2,0))),
            IF(D19="-",0,IF(D19&lt;0,-1,IF(D19&gt;0,1,0))),
            IF(D20="-",0,IF(D20&lt;0,-1,IF(D20&gt;0,1,0))),
            IF(D21="-",0,IF(D21&lt;0,-1,IF(D21&gt;0,1,0))))/9&lt;0.1, "NEUTRO",
    IF(SUM(IF(D16="-",0,IF(D16&lt;0,-2,IF(D16&gt;0,2,0))),
            IF(D17="-",0,IF(D17&lt;0,-2,IF(D17&gt;0,2,0))),
            IF(D18="-",0,IF(D18&lt;0,-2,IF(D18&gt;0,2,0))),
            IF(D19="-",0,IF(D19&lt;0,-1,IF(D19&gt;0,1,0))),
            IF(D20="-",0,IF(D20&lt;0,-1,IF(D20&gt;0,1,0))),
            IF(D21="-",0,IF(D21&lt;0,-1,IF(D21&gt;0,1,0))))/9&gt;-0.1, "NEUTRO", "")))))</f>
        <v/>
      </c>
      <c r="C15" s="332"/>
      <c r="D15" s="332"/>
      <c r="E15" s="332" t="str">
        <f>IF(AND(G16="-",G17="-",G18="-",G19="-",G20="-",G21="-"), "",
    IF(SUM(IF(G16="-",0,IF(G16&lt;0,-2,IF(G16&gt;0,2,0))),
            IF(G17="-",0,IF(G17&lt;0,-2,IF(G17&gt;0,2,0))),
            IF(G18="-",0,IF(G18&lt;0,-2,IF(G18&gt;0,2,0))),
            IF(G19="-",0,IF(G19&lt;0,-1,IF(G19&gt;0,1,0))),
            IF(G20="-",0,IF(G20&lt;0,-1,IF(G20&gt;0,1,0))),
            IF(G21="-",0,IF(G21&lt;0,-1,IF(G21&gt;0,1,0))))/9&gt;0.1, "BULLISH",
    IF(SUM(IF(G16="-",0,IF(G16&lt;0,-2,IF(G16&gt;0,2,0))),
            IF(G17="-",0,IF(G17&lt;0,-2,IF(G17&gt;0,2,0))),
            IF(G18="-",0,IF(G18&lt;0,-2,IF(G18&gt;0,2,0))),
            IF(G19="-",0,IF(G19&lt;0,-1,IF(G19&gt;0,1,0))),
            IF(G20="-",0,IF(G20&lt;0,-1,IF(G20&gt;0,1,0))),
            IF(G21="-",0,IF(G21&lt;0,-1,IF(G21&gt;0,1,0))))/9&lt;-0.1, "BEARISH",
    IF(SUM(IF(G16="-",0,IF(G16&lt;0,-2,IF(G16&gt;0,2,0))),
            IF(G17="-",0,IF(G17&lt;0,-2,IF(G17&gt;0,2,0))),
            IF(G18="-",0,IF(G18&lt;0,-2,IF(G18&gt;0,2,0))),
            IF(G19="-",0,IF(G19&lt;0,-1,IF(G19&gt;0,1,0))),
            IF(G20="-",0,IF(G20&lt;0,-1,IF(G20&gt;0,1,0))),
            IF(G21="-",0,IF(G21&lt;0,-1,IF(G21&gt;0,1,0))))/9&lt;0.1, "NEUTRO",
    IF(SUM(IF(G16="-",0,IF(G16&lt;0,-2,IF(G16&gt;0,2,0))),
            IF(G17="-",0,IF(G17&lt;0,-2,IF(G17&gt;0,2,0))),
            IF(G18="-",0,IF(G18&lt;0,-2,IF(G18&gt;0,2,0))),
            IF(G19="-",0,IF(G19&lt;0,-1,IF(G19&gt;0,1,0))),
            IF(G20="-",0,IF(G20&lt;0,-1,IF(G20&gt;0,1,0))),
            IF(G21="-",0,IF(G21&lt;0,-1,IF(G21&gt;0,1,0))))/9&gt;-0.1, "NEUTRO", "")))))</f>
        <v>BEARISH</v>
      </c>
      <c r="F15" s="332"/>
      <c r="G15" s="332"/>
      <c r="H15" s="332" t="str">
        <f>IF(AND(J16="-",J17="-",J18="-",J19="-",J20="-",J21="-"), "",
    IF(SUM(IF(J16="-",0,IF(J16&lt;0,-2,IF(J16&gt;0,2,0))),
            IF(J17="-",0,IF(J17&lt;0,-2,IF(J17&gt;0,2,0))),
            IF(J18="-",0,IF(J18&lt;0,-2,IF(J18&gt;0,2,0))),
            IF(J19="-",0,IF(J19&lt;0,-1,IF(J19&gt;0,1,0))),
            IF(J20="-",0,IF(J20&lt;0,-1,IF(J20&gt;0,1,0))),
            IF(J21="-",0,IF(J21&lt;0,-1,IF(J21&gt;0,1,0))))/9&gt;0.1, "BULLISH",
    IF(SUM(IF(J16="-",0,IF(J16&lt;0,-2,IF(J16&gt;0,2,0))),
            IF(J17="-",0,IF(J17&lt;0,-2,IF(J17&gt;0,2,0))),
            IF(J18="-",0,IF(J18&lt;0,-2,IF(J18&gt;0,2,0))),
            IF(J19="-",0,IF(J19&lt;0,-1,IF(J19&gt;0,1,0))),
            IF(J20="-",0,IF(J20&lt;0,-1,IF(J20&gt;0,1,0))),
            IF(J21="-",0,IF(J21&lt;0,-1,IF(J21&gt;0,1,0))))/9&lt;-0.1, "BEARISH",
    IF(SUM(IF(J16="-",0,IF(J16&lt;0,-2,IF(J16&gt;0,2,0))),
            IF(J17="-",0,IF(J17&lt;0,-2,IF(J17&gt;0,2,0))),
            IF(J18="-",0,IF(J18&lt;0,-2,IF(J18&gt;0,2,0))),
            IF(J19="-",0,IF(J19&lt;0,-1,IF(J19&gt;0,1,0))),
            IF(J20="-",0,IF(J20&lt;0,-1,IF(J20&gt;0,1,0))),
            IF(J21="-",0,IF(J21&lt;0,-1,IF(J21&gt;0,1,0))))/9&lt;0.1, "NEUTRO",
    IF(SUM(IF(J16="-",0,IF(J16&lt;0,-2,IF(J16&gt;0,2,0))),
            IF(J17="-",0,IF(J17&lt;0,-2,IF(J17&gt;0,2,0))),
            IF(J18="-",0,IF(J18&lt;0,-2,IF(J18&gt;0,2,0))),
            IF(J19="-",0,IF(J19&lt;0,-1,IF(J19&gt;0,1,0))),
            IF(J20="-",0,IF(J20&lt;0,-1,IF(J20&gt;0,1,0))),
            IF(J21="-",0,IF(J21&lt;0,-1,IF(J21&gt;0,1,0))))/9&gt;-0.1, "NEUTRO", "")))))</f>
        <v>BULLISH</v>
      </c>
      <c r="I15" s="332"/>
      <c r="J15" s="332"/>
      <c r="K15" s="332" t="str">
        <f>IF(AND(M16="-",M17="-",M18="-",M19="-",M20="-",M21="-"), "",
    IF(SUM(IF(M16="-",0,IF(M16&lt;0,-2,IF(M16&gt;0,2,0))),
            IF(M17="-",0,IF(M17&lt;0,-2,IF(M17&gt;0,2,0))),
            IF(M18="-",0,IF(M18&lt;0,-2,IF(M18&gt;0,2,0))),
            IF(M19="-",0,IF(M19&lt;0,-1,IF(M19&gt;0,1,0))),
            IF(M20="-",0,IF(M20&lt;0,-1,IF(M20&gt;0,1,0))),
            IF(M21="-",0,IF(M21&lt;0,-1,IF(M21&gt;0,1,0))))/9&gt;0.1, "BULLISH",
    IF(SUM(IF(M16="-",0,IF(M16&lt;0,-2,IF(M16&gt;0,2,0))),
            IF(M17="-",0,IF(M17&lt;0,-2,IF(M17&gt;0,2,0))),
            IF(M18="-",0,IF(M18&lt;0,-2,IF(M18&gt;0,2,0))),
            IF(M19="-",0,IF(M19&lt;0,-1,IF(M19&gt;0,1,0))),
            IF(M20="-",0,IF(M20&lt;0,-1,IF(M20&gt;0,1,0))),
            IF(M21="-",0,IF(M21&lt;0,-1,IF(M21&gt;0,1,0))))/9&lt;-0.1, "BEARISH",
    IF(SUM(IF(M16="-",0,IF(M16&lt;0,-2,IF(M16&gt;0,2,0))),
            IF(M17="-",0,IF(M17&lt;0,-2,IF(M17&gt;0,2,0))),
            IF(M18="-",0,IF(M18&lt;0,-2,IF(M18&gt;0,2,0))),
            IF(M19="-",0,IF(M19&lt;0,-1,IF(M19&gt;0,1,0))),
            IF(M20="-",0,IF(M20&lt;0,-1,IF(M20&gt;0,1,0))),
            IF(M21="-",0,IF(M21&lt;0,-1,IF(M21&gt;0,1,0))))/9&lt;0.1, "NEUTRO",
    IF(SUM(IF(M16="-",0,IF(M16&lt;0,-2,IF(M16&gt;0,2,0))),
            IF(M17="-",0,IF(M17&lt;0,-2,IF(M17&gt;0,2,0))),
            IF(M18="-",0,IF(M18&lt;0,-2,IF(M18&gt;0,2,0))),
            IF(M19="-",0,IF(M19&lt;0,-1,IF(M19&gt;0,1,0))),
            IF(M20="-",0,IF(M20&lt;0,-1,IF(M20&gt;0,1,0))),
            IF(M21="-",0,IF(M21&lt;0,-1,IF(M21&gt;0,1,0))))/9&gt;-0.1, "NEUTRO", "")))))</f>
        <v/>
      </c>
      <c r="L15" s="332"/>
      <c r="M15" s="332"/>
      <c r="N15" s="332" t="str">
        <f>IF(AND(P16="-",P17="-",P18="-",P19="-",P20="-",P21="-"), "",
    IF(SUM(IF(P16="-",0,IF(P16&lt;0,-2,IF(P16&gt;0,2,0))),
            IF(P17="-",0,IF(P17&lt;0,-2,IF(P17&gt;0,2,0))),
            IF(P18="-",0,IF(P18&lt;0,-2,IF(P18&gt;0,2,0))),
            IF(P19="-",0,IF(P19&lt;0,-1,IF(P19&gt;0,1,0))),
            IF(P20="-",0,IF(P20&lt;0,-1,IF(P20&gt;0,1,0))),
            IF(P21="-",0,IF(P21&lt;0,-1,IF(P21&gt;0,1,0))))/9&gt;0.1, "BULLISH",
    IF(SUM(IF(P16="-",0,IF(P16&lt;0,-2,IF(P16&gt;0,2,0))),
            IF(P17="-",0,IF(P17&lt;0,-2,IF(P17&gt;0,2,0))),
            IF(P18="-",0,IF(P18&lt;0,-2,IF(P18&gt;0,2,0))),
            IF(P19="-",0,IF(P19&lt;0,-1,IF(P19&gt;0,1,0))),
            IF(P20="-",0,IF(P20&lt;0,-1,IF(P20&gt;0,1,0))),
            IF(P21="-",0,IF(P21&lt;0,-1,IF(P21&gt;0,1,0))))/9&lt;-0.1, "BEARISH",
    IF(SUM(IF(P16="-",0,IF(P16&lt;0,-2,IF(P16&gt;0,2,0))),
            IF(P17="-",0,IF(P17&lt;0,-2,IF(P17&gt;0,2,0))),
            IF(P18="-",0,IF(P18&lt;0,-2,IF(P18&gt;0,2,0))),
            IF(P19="-",0,IF(P19&lt;0,-1,IF(P19&gt;0,1,0))),
            IF(P20="-",0,IF(P20&lt;0,-1,IF(P20&gt;0,1,0))),
            IF(P21="-",0,IF(P21&lt;0,-1,IF(P21&gt;0,1,0))))/9&lt;0.1, "NEUTRO",
    IF(SUM(IF(P16="-",0,IF(P16&lt;0,-2,IF(P16&gt;0,2,0))),
            IF(P17="-",0,IF(P17&lt;0,-2,IF(P17&gt;0,2,0))),
            IF(P18="-",0,IF(P18&lt;0,-2,IF(P18&gt;0,2,0))),
            IF(P19="-",0,IF(P19&lt;0,-1,IF(P19&gt;0,1,0))),
            IF(P20="-",0,IF(P20&lt;0,-1,IF(P20&gt;0,1,0))),
            IF(P21="-",0,IF(P21&lt;0,-1,IF(P21&gt;0,1,0))))/9&gt;-0.1, "NEUTRO", "")))))</f>
        <v>BULLISH</v>
      </c>
      <c r="O15" s="332"/>
      <c r="P15" s="332"/>
      <c r="Q15" s="332" t="str">
        <f>IF(AND(S16="-",S17="-",S18="-",S19="-",S20="-",S21="-"), "",
    IF(SUM(IF(S16="-",0,IF(S16&lt;0,-2,IF(S16&gt;0,2,0))),
            IF(S17="-",0,IF(S17&lt;0,-2,IF(S17&gt;0,2,0))),
            IF(S18="-",0,IF(S18&lt;0,-2,IF(S18&gt;0,2,0))),
            IF(S19="-",0,IF(S19&lt;0,-1,IF(S19&gt;0,1,0))),
            IF(S20="-",0,IF(S20&lt;0,-1,IF(S20&gt;0,1,0))),
            IF(S21="-",0,IF(S21&lt;0,-1,IF(S21&gt;0,1,0))))/9&gt;0.1, "BULLISH",
    IF(SUM(IF(S16="-",0,IF(S16&lt;0,-2,IF(S16&gt;0,2,0))),
            IF(S17="-",0,IF(S17&lt;0,-2,IF(S17&gt;0,2,0))),
            IF(S18="-",0,IF(S18&lt;0,-2,IF(S18&gt;0,2,0))),
            IF(S19="-",0,IF(S19&lt;0,-1,IF(S19&gt;0,1,0))),
            IF(S20="-",0,IF(S20&lt;0,-1,IF(S20&gt;0,1,0))),
            IF(S21="-",0,IF(S21&lt;0,-1,IF(S21&gt;0,1,0))))/9&lt;-0.1, "BEARISH",
    IF(SUM(IF(S16="-",0,IF(S16&lt;0,-2,IF(S16&gt;0,2,0))),
            IF(S17="-",0,IF(S17&lt;0,-2,IF(S17&gt;0,2,0))),
            IF(S18="-",0,IF(S18&lt;0,-2,IF(S18&gt;0,2,0))),
            IF(S19="-",0,IF(S19&lt;0,-1,IF(S19&gt;0,1,0))),
            IF(S20="-",0,IF(S20&lt;0,-1,IF(S20&gt;0,1,0))),
            IF(S21="-",0,IF(S21&lt;0,-1,IF(S21&gt;0,1,0))))/9&lt;0.1, "NEUTRO",
    IF(SUM(IF(S16="-",0,IF(S16&lt;0,-2,IF(S16&gt;0,2,0))),
            IF(S17="-",0,IF(S17&lt;0,-2,IF(S17&gt;0,2,0))),
            IF(S18="-",0,IF(S18&lt;0,-2,IF(S18&gt;0,2,0))),
            IF(S19="-",0,IF(S19&lt;0,-1,IF(S19&gt;0,1,0))),
            IF(S20="-",0,IF(S20&lt;0,-1,IF(S20&gt;0,1,0))),
            IF(S21="-",0,IF(S21&lt;0,-1,IF(S21&gt;0,1,0))))/9&gt;-0.1, "NEUTRO", "")))))</f>
        <v>BULLISH</v>
      </c>
      <c r="R15" s="332"/>
      <c r="S15" s="332"/>
      <c r="T15" s="332" t="str">
        <f>IF(AND(V16="-",V17="-",V18="-",V19="-",V20="-",V21="-"), "",
    IF(SUM(IF(V16="-",0,IF(V16&lt;0,-2,IF(V16&gt;0,2,0))),
            IF(V17="-",0,IF(V17&lt;0,-2,IF(V17&gt;0,2,0))),
            IF(V18="-",0,IF(V18&lt;0,-2,IF(V18&gt;0,2,0))),
            IF(V19="-",0,IF(V19&lt;0,-1,IF(V19&gt;0,1,0))),
            IF(V20="-",0,IF(V20&lt;0,-1,IF(V20&gt;0,1,0))),
            IF(V21="-",0,IF(V21&lt;0,-1,IF(V21&gt;0,1,0))))/9&gt;0.1, "BULLISH",
    IF(SUM(IF(V16="-",0,IF(V16&lt;0,-2,IF(V16&gt;0,2,0))),
            IF(V17="-",0,IF(V17&lt;0,-2,IF(V17&gt;0,2,0))),
            IF(V18="-",0,IF(V18&lt;0,-2,IF(V18&gt;0,2,0))),
            IF(V19="-",0,IF(V19&lt;0,-1,IF(V19&gt;0,1,0))),
            IF(V20="-",0,IF(V20&lt;0,-1,IF(V20&gt;0,1,0))),
            IF(V21="-",0,IF(V21&lt;0,-1,IF(V21&gt;0,1,0))))/9&lt;-0.1, "BEARISH",
    IF(SUM(IF(V16="-",0,IF(V16&lt;0,-2,IF(V16&gt;0,2,0))),
            IF(V17="-",0,IF(V17&lt;0,-2,IF(V17&gt;0,2,0))),
            IF(V18="-",0,IF(V18&lt;0,-2,IF(V18&gt;0,2,0))),
            IF(V19="-",0,IF(V19&lt;0,-1,IF(V19&gt;0,1,0))),
            IF(V20="-",0,IF(V20&lt;0,-1,IF(V20&gt;0,1,0))),
            IF(V21="-",0,IF(V21&lt;0,-1,IF(V21&gt;0,1,0))))/9&lt;0.1, "NEUTRO",
    IF(SUM(IF(V16="-",0,IF(V16&lt;0,-2,IF(V16&gt;0,2,0))),
            IF(V17="-",0,IF(V17&lt;0,-2,IF(V17&gt;0,2,0))),
            IF(V18="-",0,IF(V18&lt;0,-2,IF(V18&gt;0,2,0))),
            IF(V19="-",0,IF(V19&lt;0,-1,IF(V19&gt;0,1,0))),
            IF(V20="-",0,IF(V20&lt;0,-1,IF(V20&gt;0,1,0))),
            IF(V21="-",0,IF(V21&lt;0,-1,IF(V21&gt;0,1,0))))/9&gt;-0.1, "NEUTRO", "")))))</f>
        <v>BEARISH</v>
      </c>
      <c r="U15" s="332"/>
      <c r="V15" s="332"/>
      <c r="W15" s="332" t="str">
        <f>IF(AND(Y16="-",Y17="-",Y18="-",Y19="-",Y20="-",Y21="-"), "",
    IF(SUM(IF(Y16="-",0,IF(Y16&lt;0,-2,IF(Y16&gt;0,2,0))),
            IF(Y17="-",0,IF(Y17&lt;0,-2,IF(Y17&gt;0,2,0))),
            IF(Y18="-",0,IF(Y18&lt;0,-2,IF(Y18&gt;0,2,0))),
            IF(Y19="-",0,IF(Y19&lt;0,-1,IF(Y19&gt;0,1,0))),
            IF(Y20="-",0,IF(Y20&lt;0,-1,IF(Y20&gt;0,1,0))),
            IF(Y21="-",0,IF(Y21&lt;0,-1,IF(Y21&gt;0,1,0))))/9&gt;0.1, "BULLISH",
    IF(SUM(IF(Y16="-",0,IF(Y16&lt;0,-2,IF(Y16&gt;0,2,0))),
            IF(Y17="-",0,IF(Y17&lt;0,-2,IF(Y17&gt;0,2,0))),
            IF(Y18="-",0,IF(Y18&lt;0,-2,IF(Y18&gt;0,2,0))),
            IF(Y19="-",0,IF(Y19&lt;0,-1,IF(Y19&gt;0,1,0))),
            IF(Y20="-",0,IF(Y20&lt;0,-1,IF(Y20&gt;0,1,0))),
            IF(Y21="-",0,IF(Y21&lt;0,-1,IF(Y21&gt;0,1,0))))/9&lt;-0.1, "BEARISH",
    IF(SUM(IF(Y16="-",0,IF(Y16&lt;0,-2,IF(Y16&gt;0,2,0))),
            IF(Y17="-",0,IF(Y17&lt;0,-2,IF(Y17&gt;0,2,0))),
            IF(Y18="-",0,IF(Y18&lt;0,-2,IF(Y18&gt;0,2,0))),
            IF(Y19="-",0,IF(Y19&lt;0,-1,IF(Y19&gt;0,1,0))),
            IF(Y20="-",0,IF(Y20&lt;0,-1,IF(Y20&gt;0,1,0))),
            IF(Y21="-",0,IF(Y21&lt;0,-1,IF(Y21&gt;0,1,0))))/9&lt;0.1, "NEUTRO",
    IF(SUM(IF(Y16="-",0,IF(Y16&lt;0,-2,IF(Y16&gt;0,2,0))),
            IF(Y17="-",0,IF(Y17&lt;0,-2,IF(Y17&gt;0,2,0))),
            IF(Y18="-",0,IF(Y18&lt;0,-2,IF(Y18&gt;0,2,0))),
            IF(Y19="-",0,IF(Y19&lt;0,-1,IF(Y19&gt;0,1,0))),
            IF(Y20="-",0,IF(Y20&lt;0,-1,IF(Y20&gt;0,1,0))),
            IF(Y21="-",0,IF(Y21&lt;0,-1,IF(Y21&gt;0,1,0))))/9&gt;-0.1, "NEUTRO", "")))))</f>
        <v>BULLISH</v>
      </c>
      <c r="X15" s="332"/>
      <c r="Y15" s="332"/>
      <c r="Z15" s="320" t="str">
        <f>IF(AND(AB16="-",AB17="-",AB18="-",AB19="-",AB20="-",AB21="-"), "",
    IF(SUM(IF(AB16="-",0,IF(AB16&lt;0,-2,IF(AB16&gt;0,2,0))),
            IF(AB17="-",0,IF(AB17&lt;0,-2,IF(AB17&gt;0,2,0))),
            IF(AB18="-",0,IF(AB18&lt;0,-2,IF(AB18&gt;0,2,0))),
            IF(AB19="-",0,IF(AB19&lt;0,-1,IF(AB19&gt;0,1,0))),
            IF(AB20="-",0,IF(AB20&lt;0,-1,IF(AB20&gt;0,1,0))),
            IF(AB21="-",0,IF(AB21&lt;0,-1,IF(AB21&gt;0,1,0))))/9&gt;0.1, "BULLISH",
    IF(SUM(IF(AB16="-",0,IF(AB16&lt;0,-2,IF(AB16&gt;0,2,0))),
            IF(AB17="-",0,IF(AB17&lt;0,-2,IF(AB17&gt;0,2,0))),
            IF(AB18="-",0,IF(AB18&lt;0,-2,IF(AB18&gt;0,2,0))),
            IF(AB19="-",0,IF(AB19&lt;0,-1,IF(AB19&gt;0,1,0))),
            IF(AB20="-",0,IF(AB20&lt;0,-1,IF(AB20&gt;0,1,0))),
            IF(AB21="-",0,IF(AB21&lt;0,-1,IF(AB21&gt;0,1,0))))/9&lt;-0.1, "BEARISH",
    IF(SUM(IF(AB16="-",0,IF(AB16&lt;0,-2,IF(AB16&gt;0,2,0))),
            IF(AB17="-",0,IF(AB17&lt;0,-2,IF(AB17&gt;0,2,0))),
            IF(AB18="-",0,IF(AB18&lt;0,-2,IF(AB18&gt;0,2,0))),
            IF(AB19="-",0,IF(AB19&lt;0,-1,IF(AB19&gt;0,1,0))),
            IF(AB20="-",0,IF(AB20&lt;0,-1,IF(AB20&gt;0,1,0))),
            IF(AB21="-",0,IF(AB21&lt;0,-1,IF(AB21&gt;0,1,0))))/9&lt;0.1, "NEUTRO",
    IF(SUM(IF(AB16="-",0,IF(AB16&lt;0,-2,IF(AB16&gt;0,2,0))),
            IF(AB17="-",0,IF(AB17&lt;0,-2,IF(AB17&gt;0,2,0))),
            IF(AB18="-",0,IF(AB18&lt;0,-2,IF(AB18&gt;0,2,0))),
            IF(AB19="-",0,IF(AB19&lt;0,-1,IF(AB19&gt;0,1,0))),
            IF(AB20="-",0,IF(AB20&lt;0,-1,IF(AB20&gt;0,1,0))),
            IF(AB21="-",0,IF(AB21&lt;0,-1,IF(AB21&gt;0,1,0))))/9&gt;-0.1, "NEUTRO", "")))))</f>
        <v>BULLISH</v>
      </c>
      <c r="AA15" s="321"/>
      <c r="AB15" s="319"/>
      <c r="AC15" s="320" t="str">
        <f>IF(AND(AE16="-",AE17="-",AE18="-",AE19="-",AE20="-",AE21="-"), "",
    IF(SUM(IF(AE16="-",0,IF(AE16&lt;0,-2,IF(AE16&gt;0,2,0))),
            IF(AE17="-",0,IF(AE17&lt;0,-2,IF(AE17&gt;0,2,0))),
            IF(AE18="-",0,IF(AE18&lt;0,-2,IF(AE18&gt;0,2,0))),
            IF(AE19="-",0,IF(AE19&lt;0,-1,IF(AE19&gt;0,1,0))),
            IF(AE20="-",0,IF(AE20&lt;0,-1,IF(AE20&gt;0,1,0))),
            IF(AE21="-",0,IF(AE21&lt;0,-1,IF(AE21&gt;0,1,0))))/9&gt;0.1, "BULLISH",
    IF(SUM(IF(AE16="-",0,IF(AE16&lt;0,-2,IF(AE16&gt;0,2,0))),
            IF(AE17="-",0,IF(AE17&lt;0,-2,IF(AE17&gt;0,2,0))),
            IF(AE18="-",0,IF(AE18&lt;0,-2,IF(AE18&gt;0,2,0))),
            IF(AE19="-",0,IF(AE19&lt;0,-1,IF(AE19&gt;0,1,0))),
            IF(AE20="-",0,IF(AE20&lt;0,-1,IF(AE20&gt;0,1,0))),
            IF(AE21="-",0,IF(AE21&lt;0,-1,IF(AE21&gt;0,1,0))))/9&lt;-0.1, "BEARISH",
    IF(SUM(IF(AE16="-",0,IF(AE16&lt;0,-2,IF(AE16&gt;0,2,0))),
            IF(AE17="-",0,IF(AE17&lt;0,-2,IF(AE17&gt;0,2,0))),
            IF(AE18="-",0,IF(AE18&lt;0,-2,IF(AE18&gt;0,2,0))),
            IF(AE19="-",0,IF(AE19&lt;0,-1,IF(AE19&gt;0,1,0))),
            IF(AE20="-",0,IF(AE20&lt;0,-1,IF(AE20&gt;0,1,0))),
            IF(AE21="-",0,IF(AE21&lt;0,-1,IF(AE21&gt;0,1,0))))/9&lt;0.1, "NEUTRO",
    IF(SUM(IF(AE16="-",0,IF(AE16&lt;0,-2,IF(AE16&gt;0,2,0))),
            IF(AE17="-",0,IF(AE17&lt;0,-2,IF(AE17&gt;0,2,0))),
            IF(AE18="-",0,IF(AE18&lt;0,-2,IF(AE18&gt;0,2,0))),
            IF(AE19="-",0,IF(AE19&lt;0,-1,IF(AE19&gt;0,1,0))),
            IF(AE20="-",0,IF(AE20&lt;0,-1,IF(AE20&gt;0,1,0))),
            IF(AE21="-",0,IF(AE21&lt;0,-1,IF(AE21&gt;0,1,0))))/9&gt;-0.1, "NEUTRO", "")))))</f>
        <v>NEUTRO</v>
      </c>
      <c r="AD15" s="321"/>
      <c r="AE15" s="319"/>
      <c r="AF15" s="320" t="str">
        <f>IF(AND(AH16="-",AH17="-",AH18="-",AH19="-",AH20="-",AH21="-"), "",
    IF(SUM(IF(AH16="-",0,IF(AH16&lt;0,-2,IF(AH16&gt;0,2,0))),
            IF(AH17="-",0,IF(AH17&lt;0,-2,IF(AH17&gt;0,2,0))),
            IF(AH18="-",0,IF(AH18&lt;0,-2,IF(AH18&gt;0,2,0))),
            IF(AH19="-",0,IF(AH19&lt;0,-1,IF(AH19&gt;0,1,0))),
            IF(AH20="-",0,IF(AH20&lt;0,-1,IF(AH20&gt;0,1,0))),
            IF(AH21="-",0,IF(AH21&lt;0,-1,IF(AH21&gt;0,1,0))))/9&gt;0.1, "BULLISH",
    IF(SUM(IF(AH16="-",0,IF(AH16&lt;0,-2,IF(AH16&gt;0,2,0))),
            IF(AH17="-",0,IF(AH17&lt;0,-2,IF(AH17&gt;0,2,0))),
            IF(AH18="-",0,IF(AH18&lt;0,-2,IF(AH18&gt;0,2,0))),
            IF(AH19="-",0,IF(AH19&lt;0,-1,IF(AH19&gt;0,1,0))),
            IF(AH20="-",0,IF(AH20&lt;0,-1,IF(AH20&gt;0,1,0))),
            IF(AH21="-",0,IF(AH21&lt;0,-1,IF(AH21&gt;0,1,0))))/9&lt;-0.1, "BEARISH",
    IF(SUM(IF(AH16="-",0,IF(AH16&lt;0,-2,IF(AH16&gt;0,2,0))),
            IF(AH17="-",0,IF(AH17&lt;0,-2,IF(AH17&gt;0,2,0))),
            IF(AH18="-",0,IF(AH18&lt;0,-2,IF(AH18&gt;0,2,0))),
            IF(AH19="-",0,IF(AH19&lt;0,-1,IF(AH19&gt;0,1,0))),
            IF(AH20="-",0,IF(AH20&lt;0,-1,IF(AH20&gt;0,1,0))),
            IF(AH21="-",0,IF(AH21&lt;0,-1,IF(AH21&gt;0,1,0))))/9&lt;0.1, "NEUTRO",
    IF(SUM(IF(AH16="-",0,IF(AH16&lt;0,-2,IF(AH16&gt;0,2,0))),
            IF(AH17="-",0,IF(AH17&lt;0,-2,IF(AH17&gt;0,2,0))),
            IF(AH18="-",0,IF(AH18&lt;0,-2,IF(AH18&gt;0,2,0))),
            IF(AH19="-",0,IF(AH19&lt;0,-1,IF(AH19&gt;0,1,0))),
            IF(AH20="-",0,IF(AH20&lt;0,-1,IF(AH20&gt;0,1,0))),
            IF(AH21="-",0,IF(AH21&lt;0,-1,IF(AH21&gt;0,1,0))))/9&gt;-0.1, "NEUTRO", "")))))</f>
        <v>BULLISH</v>
      </c>
      <c r="AG15" s="321"/>
      <c r="AH15" s="319"/>
      <c r="AI15" s="320" t="str">
        <f>IF(AND(AK16="-",AK17="-",AK18="-",AK19="-",AK20="-",AK21="-"), "",
    IF(SUM(IF(AK16="-",0,IF(AK16&lt;0,-2,IF(AK16&gt;0,2,0))),
            IF(AK17="-",0,IF(AK17&lt;0,-2,IF(AK17&gt;0,2,0))),
            IF(AK18="-",0,IF(AK18&lt;0,-2,IF(AK18&gt;0,2,0))),
            IF(AK19="-",0,IF(AK19&lt;0,-1,IF(AK19&gt;0,1,0))),
            IF(AK20="-",0,IF(AK20&lt;0,-1,IF(AK20&gt;0,1,0))),
            IF(AK21="-",0,IF(AK21&lt;0,-1,IF(AK21&gt;0,1,0))))/9&gt;0.1, "BULLISH",
    IF(SUM(IF(AK16="-",0,IF(AK16&lt;0,-2,IF(AK16&gt;0,2,0))),
            IF(AK17="-",0,IF(AK17&lt;0,-2,IF(AK17&gt;0,2,0))),
            IF(AK18="-",0,IF(AK18&lt;0,-2,IF(AK18&gt;0,2,0))),
            IF(AK19="-",0,IF(AK19&lt;0,-1,IF(AK19&gt;0,1,0))),
            IF(AK20="-",0,IF(AK20&lt;0,-1,IF(AK20&gt;0,1,0))),
            IF(AK21="-",0,IF(AK21&lt;0,-1,IF(AK21&gt;0,1,0))))/9&lt;-0.1, "BEARISH",
    IF(SUM(IF(AK16="-",0,IF(AK16&lt;0,-2,IF(AK16&gt;0,2,0))),
            IF(AK17="-",0,IF(AK17&lt;0,-2,IF(AK17&gt;0,2,0))),
            IF(AK18="-",0,IF(AK18&lt;0,-2,IF(AK18&gt;0,2,0))),
            IF(AK19="-",0,IF(AK19&lt;0,-1,IF(AK19&gt;0,1,0))),
            IF(AK20="-",0,IF(AK20&lt;0,-1,IF(AK20&gt;0,1,0))),
            IF(AK21="-",0,IF(AK21&lt;0,-1,IF(AK21&gt;0,1,0))))/9&lt;0.1, "NEUTRO",
    IF(SUM(IF(AK16="-",0,IF(AK16&lt;0,-2,IF(AK16&gt;0,2,0))),
            IF(AK17="-",0,IF(AK17&lt;0,-2,IF(AK17&gt;0,2,0))),
            IF(AK18="-",0,IF(AK18&lt;0,-2,IF(AK18&gt;0,2,0))),
            IF(AK19="-",0,IF(AK19&lt;0,-1,IF(AK19&gt;0,1,0))),
            IF(AK20="-",0,IF(AK20&lt;0,-1,IF(AK20&gt;0,1,0))),
            IF(AK21="-",0,IF(AK21&lt;0,-1,IF(AK21&gt;0,1,0))))/9&gt;-0.1, "NEUTRO", "")))))</f>
        <v>BEARISH</v>
      </c>
      <c r="AJ15" s="321"/>
      <c r="AK15" s="319"/>
      <c r="AL15" s="320" t="str">
        <f>IF(AND(AN16="-",AN17="-",AN18="-",AN19="-",AN20="-",AN21="-"), "",
    IF(SUM(IF(AN16="-",0,IF(AN16&lt;0,-2,IF(AN16&gt;0,2,0))),
            IF(AN17="-",0,IF(AN17&lt;0,-2,IF(AN17&gt;0,2,0))),
            IF(AN18="-",0,IF(AN18&lt;0,-2,IF(AN18&gt;0,2,0))),
            IF(AN19="-",0,IF(AN19&lt;0,-1,IF(AN19&gt;0,1,0))),
            IF(AN20="-",0,IF(AN20&lt;0,-1,IF(AN20&gt;0,1,0))),
            IF(AN21="-",0,IF(AN21&lt;0,-1,IF(AN21&gt;0,1,0))))/9&gt;0.1, "BULLISH",
    IF(SUM(IF(AN16="-",0,IF(AN16&lt;0,-2,IF(AN16&gt;0,2,0))),
            IF(AN17="-",0,IF(AN17&lt;0,-2,IF(AN17&gt;0,2,0))),
            IF(AN18="-",0,IF(AN18&lt;0,-2,IF(AN18&gt;0,2,0))),
            IF(AN19="-",0,IF(AN19&lt;0,-1,IF(AN19&gt;0,1,0))),
            IF(AN20="-",0,IF(AN20&lt;0,-1,IF(AN20&gt;0,1,0))),
            IF(AN21="-",0,IF(AN21&lt;0,-1,IF(AN21&gt;0,1,0))))/9&lt;-0.1, "BEARISH",
    IF(SUM(IF(AN16="-",0,IF(AN16&lt;0,-2,IF(AN16&gt;0,2,0))),
            IF(AN17="-",0,IF(AN17&lt;0,-2,IF(AN17&gt;0,2,0))),
            IF(AN18="-",0,IF(AN18&lt;0,-2,IF(AN18&gt;0,2,0))),
            IF(AN19="-",0,IF(AN19&lt;0,-1,IF(AN19&gt;0,1,0))),
            IF(AN20="-",0,IF(AN20&lt;0,-1,IF(AN20&gt;0,1,0))),
            IF(AN21="-",0,IF(AN21&lt;0,-1,IF(AN21&gt;0,1,0))))/9&lt;0.1, "NEUTRO",
    IF(SUM(IF(AN16="-",0,IF(AN16&lt;0,-2,IF(AN16&gt;0,2,0))),
            IF(AN17="-",0,IF(AN17&lt;0,-2,IF(AN17&gt;0,2,0))),
            IF(AN18="-",0,IF(AN18&lt;0,-2,IF(AN18&gt;0,2,0))),
            IF(AN19="-",0,IF(AN19&lt;0,-1,IF(AN19&gt;0,1,0))),
            IF(AN20="-",0,IF(AN20&lt;0,-1,IF(AN20&gt;0,1,0))),
            IF(AN21="-",0,IF(AN21&lt;0,-1,IF(AN21&gt;0,1,0))))/9&gt;-0.1, "NEUTRO", "")))))</f>
        <v>BEARISH</v>
      </c>
      <c r="AM15" s="321"/>
      <c r="AN15" s="319"/>
      <c r="AO15" s="320" t="str">
        <f>IF(AND(AQ16="-",AQ17="-",AQ18="-",AQ19="-",AQ20="-",AQ21="-"), "",
    IF(SUM(IF(AQ16="-",0,IF(AQ16&lt;0,-2,IF(AQ16&gt;0,2,0))),
            IF(AQ17="-",0,IF(AQ17&lt;0,-2,IF(AQ17&gt;0,2,0))),
            IF(AQ18="-",0,IF(AQ18&lt;0,-2,IF(AQ18&gt;0,2,0))),
            IF(AQ19="-",0,IF(AQ19&lt;0,-1,IF(AQ19&gt;0,1,0))),
            IF(AQ20="-",0,IF(AQ20&lt;0,-1,IF(AQ20&gt;0,1,0))),
            IF(AQ21="-",0,IF(AQ21&lt;0,-1,IF(AQ21&gt;0,1,0))))/9&gt;0.1, "BULLISH",
    IF(SUM(IF(AQ16="-",0,IF(AQ16&lt;0,-2,IF(AQ16&gt;0,2,0))),
            IF(AQ17="-",0,IF(AQ17&lt;0,-2,IF(AQ17&gt;0,2,0))),
            IF(AQ18="-",0,IF(AQ18&lt;0,-2,IF(AQ18&gt;0,2,0))),
            IF(AQ19="-",0,IF(AQ19&lt;0,-1,IF(AQ19&gt;0,1,0))),
            IF(AQ20="-",0,IF(AQ20&lt;0,-1,IF(AQ20&gt;0,1,0))),
            IF(AQ21="-",0,IF(AQ21&lt;0,-1,IF(AQ21&gt;0,1,0))))/9&lt;-0.1, "BEARISH",
    IF(SUM(IF(AQ16="-",0,IF(AQ16&lt;0,-2,IF(AQ16&gt;0,2,0))),
            IF(AQ17="-",0,IF(AQ17&lt;0,-2,IF(AQ17&gt;0,2,0))),
            IF(AQ18="-",0,IF(AQ18&lt;0,-2,IF(AQ18&gt;0,2,0))),
            IF(AQ19="-",0,IF(AQ19&lt;0,-1,IF(AQ19&gt;0,1,0))),
            IF(AQ20="-",0,IF(AQ20&lt;0,-1,IF(AQ20&gt;0,1,0))),
            IF(AQ21="-",0,IF(AQ21&lt;0,-1,IF(AQ21&gt;0,1,0))))/9&lt;0.1, "NEUTRO",
    IF(SUM(IF(AQ16="-",0,IF(AQ16&lt;0,-2,IF(AQ16&gt;0,2,0))),
            IF(AQ17="-",0,IF(AQ17&lt;0,-2,IF(AQ17&gt;0,2,0))),
            IF(AQ18="-",0,IF(AQ18&lt;0,-2,IF(AQ18&gt;0,2,0))),
            IF(AQ19="-",0,IF(AQ19&lt;0,-1,IF(AQ19&gt;0,1,0))),
            IF(AQ20="-",0,IF(AQ20&lt;0,-1,IF(AQ20&gt;0,1,0))),
            IF(AQ21="-",0,IF(AQ21&lt;0,-1,IF(AQ21&gt;0,1,0))))/9&gt;-0.1, "NEUTRO", "")))))</f>
        <v>BULLISH</v>
      </c>
      <c r="AP15" s="321"/>
      <c r="AQ15" s="319"/>
      <c r="AR15" s="320" t="str">
        <f>IF(AND(AT16="-",AT17="-",AT18="-",AT19="-",AT20="-",AT21="-"), "",
    IF(SUM(IF(AT16="-",0,IF(AT16&lt;0,-2,IF(AT16&gt;0,2,0))),
            IF(AT17="-",0,IF(AT17&lt;0,-2,IF(AT17&gt;0,2,0))),
            IF(AT18="-",0,IF(AT18&lt;0,-2,IF(AT18&gt;0,2,0))),
            IF(AT19="-",0,IF(AT19&lt;0,-1,IF(AT19&gt;0,1,0))),
            IF(AT20="-",0,IF(AT20&lt;0,-1,IF(AT20&gt;0,1,0))),
            IF(AT21="-",0,IF(AT21&lt;0,-1,IF(AT21&gt;0,1,0))))/9&gt;0.1, "BULLISH",
    IF(SUM(IF(AT16="-",0,IF(AT16&lt;0,-2,IF(AT16&gt;0,2,0))),
            IF(AT17="-",0,IF(AT17&lt;0,-2,IF(AT17&gt;0,2,0))),
            IF(AT18="-",0,IF(AT18&lt;0,-2,IF(AT18&gt;0,2,0))),
            IF(AT19="-",0,IF(AT19&lt;0,-1,IF(AT19&gt;0,1,0))),
            IF(AT20="-",0,IF(AT20&lt;0,-1,IF(AT20&gt;0,1,0))),
            IF(AT21="-",0,IF(AT21&lt;0,-1,IF(AT21&gt;0,1,0))))/9&lt;-0.1, "BEARISH",
    IF(SUM(IF(AT16="-",0,IF(AT16&lt;0,-2,IF(AT16&gt;0,2,0))),
            IF(AT17="-",0,IF(AT17&lt;0,-2,IF(AT17&gt;0,2,0))),
            IF(AT18="-",0,IF(AT18&lt;0,-2,IF(AT18&gt;0,2,0))),
            IF(AT19="-",0,IF(AT19&lt;0,-1,IF(AT19&gt;0,1,0))),
            IF(AT20="-",0,IF(AT20&lt;0,-1,IF(AT20&gt;0,1,0))),
            IF(AT21="-",0,IF(AT21&lt;0,-1,IF(AT21&gt;0,1,0))))/9&lt;0.1, "NEUTRO",
    IF(SUM(IF(AT16="-",0,IF(AT16&lt;0,-2,IF(AT16&gt;0,2,0))),
            IF(AT17="-",0,IF(AT17&lt;0,-2,IF(AT17&gt;0,2,0))),
            IF(AT18="-",0,IF(AT18&lt;0,-2,IF(AT18&gt;0,2,0))),
            IF(AT19="-",0,IF(AT19&lt;0,-1,IF(AT19&gt;0,1,0))),
            IF(AT20="-",0,IF(AT20&lt;0,-1,IF(AT20&gt;0,1,0))),
            IF(AT21="-",0,IF(AT21&lt;0,-1,IF(AT21&gt;0,1,0))))/9&gt;-0.1, "NEUTRO", "")))))</f>
        <v>BULLISH</v>
      </c>
      <c r="AS15" s="321"/>
      <c r="AT15" s="319"/>
      <c r="AU15" s="320" t="str">
        <f>IF(AND(AW16="-",AW17="-",AW18="-",AW19="-",AW20="-",AW21="-"), "",
    IF(SUM(IF(AW16="-",0,IF(AW16&lt;0,-2,IF(AW16&gt;0,2,0))),
            IF(AW17="-",0,IF(AW17&lt;0,-2,IF(AW17&gt;0,2,0))),
            IF(AW18="-",0,IF(AW18&lt;0,-2,IF(AW18&gt;0,2,0))),
            IF(AW19="-",0,IF(AW19&lt;0,-1,IF(AW19&gt;0,1,0))),
            IF(AW20="-",0,IF(AW20&lt;0,-1,IF(AW20&gt;0,1,0))),
            IF(AW21="-",0,IF(AW21&lt;0,-1,IF(AW21&gt;0,1,0))))/9&gt;0.1, "BULLISH",
    IF(SUM(IF(AW16="-",0,IF(AW16&lt;0,-2,IF(AW16&gt;0,2,0))),
            IF(AW17="-",0,IF(AW17&lt;0,-2,IF(AW17&gt;0,2,0))),
            IF(AW18="-",0,IF(AW18&lt;0,-2,IF(AW18&gt;0,2,0))),
            IF(AW19="-",0,IF(AW19&lt;0,-1,IF(AW19&gt;0,1,0))),
            IF(AW20="-",0,IF(AW20&lt;0,-1,IF(AW20&gt;0,1,0))),
            IF(AW21="-",0,IF(AW21&lt;0,-1,IF(AW21&gt;0,1,0))))/9&lt;-0.1, "BEARISH",
    IF(SUM(IF(AW16="-",0,IF(AW16&lt;0,-2,IF(AW16&gt;0,2,0))),
            IF(AW17="-",0,IF(AW17&lt;0,-2,IF(AW17&gt;0,2,0))),
            IF(AW18="-",0,IF(AW18&lt;0,-2,IF(AW18&gt;0,2,0))),
            IF(AW19="-",0,IF(AW19&lt;0,-1,IF(AW19&gt;0,1,0))),
            IF(AW20="-",0,IF(AW20&lt;0,-1,IF(AW20&gt;0,1,0))),
            IF(AW21="-",0,IF(AW21&lt;0,-1,IF(AW21&gt;0,1,0))))/9&lt;0.1, "NEUTRO",
    IF(SUM(IF(AW16="-",0,IF(AW16&lt;0,-2,IF(AW16&gt;0,2,0))),
            IF(AW17="-",0,IF(AW17&lt;0,-2,IF(AW17&gt;0,2,0))),
            IF(AW18="-",0,IF(AW18&lt;0,-2,IF(AW18&gt;0,2,0))),
            IF(AW19="-",0,IF(AW19&lt;0,-1,IF(AW19&gt;0,1,0))),
            IF(AW20="-",0,IF(AW20&lt;0,-1,IF(AW20&gt;0,1,0))),
            IF(AW21="-",0,IF(AW21&lt;0,-1,IF(AW21&gt;0,1,0))))/9&gt;-0.1, "NEUTRO", "")))))</f>
        <v>BEARISH</v>
      </c>
      <c r="AV15" s="321"/>
      <c r="AW15" s="319"/>
      <c r="AX15" s="320" t="str">
        <f>IF(AND(AZ16="-",AZ17="-",AZ18="-",AZ19="-",AZ20="-",AZ21="-"), "",
    IF(SUM(IF(AZ16="-",0,IF(AZ16&lt;0,-2,IF(AZ16&gt;0,2,0))),
            IF(AZ17="-",0,IF(AZ17&lt;0,-2,IF(AZ17&gt;0,2,0))),
            IF(AZ18="-",0,IF(AZ18&lt;0,-2,IF(AZ18&gt;0,2,0))),
            IF(AZ19="-",0,IF(AZ19&lt;0,-1,IF(AZ19&gt;0,1,0))),
            IF(AZ20="-",0,IF(AZ20&lt;0,-1,IF(AZ20&gt;0,1,0))),
            IF(AZ21="-",0,IF(AZ21&lt;0,-1,IF(AZ21&gt;0,1,0))))/9&gt;0.1, "BULLISH",
    IF(SUM(IF(AZ16="-",0,IF(AZ16&lt;0,-2,IF(AZ16&gt;0,2,0))),
            IF(AZ17="-",0,IF(AZ17&lt;0,-2,IF(AZ17&gt;0,2,0))),
            IF(AZ18="-",0,IF(AZ18&lt;0,-2,IF(AZ18&gt;0,2,0))),
            IF(AZ19="-",0,IF(AZ19&lt;0,-1,IF(AZ19&gt;0,1,0))),
            IF(AZ20="-",0,IF(AZ20&lt;0,-1,IF(AZ20&gt;0,1,0))),
            IF(AZ21="-",0,IF(AZ21&lt;0,-1,IF(AZ21&gt;0,1,0))))/9&lt;-0.1, "BEARISH",
    IF(SUM(IF(AZ16="-",0,IF(AZ16&lt;0,-2,IF(AZ16&gt;0,2,0))),
            IF(AZ17="-",0,IF(AZ17&lt;0,-2,IF(AZ17&gt;0,2,0))),
            IF(AZ18="-",0,IF(AZ18&lt;0,-2,IF(AZ18&gt;0,2,0))),
            IF(AZ19="-",0,IF(AZ19&lt;0,-1,IF(AZ19&gt;0,1,0))),
            IF(AZ20="-",0,IF(AZ20&lt;0,-1,IF(AZ20&gt;0,1,0))),
            IF(AZ21="-",0,IF(AZ21&lt;0,-1,IF(AZ21&gt;0,1,0))))/9&lt;0.1, "NEUTRO",
    IF(SUM(IF(AZ16="-",0,IF(AZ16&lt;0,-2,IF(AZ16&gt;0,2,0))),
            IF(AZ17="-",0,IF(AZ17&lt;0,-2,IF(AZ17&gt;0,2,0))),
            IF(AZ18="-",0,IF(AZ18&lt;0,-2,IF(AZ18&gt;0,2,0))),
            IF(AZ19="-",0,IF(AZ19&lt;0,-1,IF(AZ19&gt;0,1,0))),
            IF(AZ20="-",0,IF(AZ20&lt;0,-1,IF(AZ20&gt;0,1,0))),
            IF(AZ21="-",0,IF(AZ21&lt;0,-1,IF(AZ21&gt;0,1,0))))/9&gt;-0.1, "NEUTRO", "")))))</f>
        <v>BULLISH</v>
      </c>
      <c r="AY15" s="321"/>
      <c r="AZ15" s="319"/>
    </row>
    <row r="16" spans="1:52" x14ac:dyDescent="0.25">
      <c r="A16" s="240" t="s">
        <v>98</v>
      </c>
      <c r="B16" s="220"/>
      <c r="C16" s="220"/>
      <c r="D16" s="212" t="str">
        <f>IF(OR(B16="",C16="",B16="-",C16="-"),"-",B16-C16)</f>
        <v>-</v>
      </c>
      <c r="E16" s="220">
        <v>5.0000000000000001E-3</v>
      </c>
      <c r="F16" s="220">
        <v>4.3999999999999997E-2</v>
      </c>
      <c r="G16" s="212">
        <f>IF(OR(E16="",F16="",E16="-",F16="-"),"-",E16-F16)</f>
        <v>-3.9E-2</v>
      </c>
      <c r="H16" s="250">
        <v>0.03</v>
      </c>
      <c r="I16" s="250">
        <v>2.8000000000000001E-2</v>
      </c>
      <c r="J16" s="212">
        <f>IF(OR(H16="",I16="",H16="-",I16="-"),"-",H16-I16)</f>
        <v>1.9999999999999983E-3</v>
      </c>
      <c r="K16" s="220">
        <v>2.8000000000000001E-2</v>
      </c>
      <c r="L16" s="220"/>
      <c r="M16" s="212" t="str">
        <f>IF(OR(K16="",L16="",K16="-",L16="-"),"-",K16-L16)</f>
        <v>-</v>
      </c>
      <c r="N16" s="220"/>
      <c r="O16" s="220"/>
      <c r="P16" s="212" t="str">
        <f>IF(OR(N16="",O16="",N16="-",O16="-"),"-",N16-O16)</f>
        <v>-</v>
      </c>
      <c r="Q16" s="219">
        <v>3.3000000000000002E-2</v>
      </c>
      <c r="R16" s="234">
        <v>0.03</v>
      </c>
      <c r="S16" s="212">
        <f>IF(OR(Q16="",R16="",Q16="-",R16="-"),"-",Q16-R16)</f>
        <v>3.0000000000000027E-3</v>
      </c>
      <c r="T16" s="220"/>
      <c r="U16" s="220"/>
      <c r="V16" s="212" t="str">
        <f>IF(OR(T16="",U16="",T16="-",U16="-"),"-",T16-U16)</f>
        <v>-</v>
      </c>
      <c r="W16" s="219">
        <v>-2E-3</v>
      </c>
      <c r="X16" s="219">
        <v>-3.0000000000000001E-3</v>
      </c>
      <c r="Y16" s="212">
        <f>IF(OR(W16="",X16="",W16="-",X16="-"),"-",W16-X16)</f>
        <v>1E-3</v>
      </c>
      <c r="Z16" s="21"/>
      <c r="AA16" s="21"/>
      <c r="AB16" s="8" t="str">
        <f>IF(OR(Z16="",AA16="",Z16="-",AA16="-"),"-",Z16-AA16)</f>
        <v>-</v>
      </c>
      <c r="AC16" s="89">
        <v>2.3E-2</v>
      </c>
      <c r="AD16" s="89">
        <v>2.3E-2</v>
      </c>
      <c r="AE16" s="8">
        <f>IF(OR(AC16="",AD16="",AC16="-",AD16="-"),"-",AC16-AD16)</f>
        <v>0</v>
      </c>
      <c r="AF16" s="21"/>
      <c r="AG16" s="21"/>
      <c r="AH16" s="8" t="str">
        <f>IF(OR(AF16="",AG16="",AF16="-",AG16="-"),"-",AF16-AG16)</f>
        <v>-</v>
      </c>
      <c r="AI16" s="89">
        <v>2.8000000000000001E-2</v>
      </c>
      <c r="AJ16" s="89">
        <v>2.8000000000000001E-2</v>
      </c>
      <c r="AK16" s="8">
        <f>IF(OR(AI16="",AJ16="",AI16="-",AJ16="-"),"-",AI16-AJ16)</f>
        <v>0</v>
      </c>
      <c r="AL16" s="21"/>
      <c r="AM16" s="21"/>
      <c r="AN16" s="8" t="str">
        <f>IF(OR(AL16="",AM16="",AL16="-",AM16="-"),"-",AL16-AM16)</f>
        <v>-</v>
      </c>
      <c r="AO16" s="90">
        <v>0.03</v>
      </c>
      <c r="AP16" s="89">
        <v>2.8000000000000001E-2</v>
      </c>
      <c r="AQ16" s="8">
        <f>IF(OR(AO16="",AP16="",AO16="-",AP16="-"),"-",AO16-AP16)</f>
        <v>1.9999999999999983E-3</v>
      </c>
      <c r="AR16" s="21"/>
      <c r="AS16" s="21"/>
      <c r="AT16" s="8" t="str">
        <f>IF(OR(AR16="",AS16="",AR16="-",AS16="-"),"-",AR16-AS16)</f>
        <v>-</v>
      </c>
      <c r="AU16" s="21"/>
      <c r="AV16" s="21"/>
      <c r="AW16" s="8" t="str">
        <f>IF(OR(AU16="",AV16="",AU16="-",AV16="-"),"-",AU16-AV16)</f>
        <v>-</v>
      </c>
      <c r="AX16" s="21"/>
      <c r="AY16" s="21"/>
      <c r="AZ16" s="8" t="str">
        <f>IF(OR(AX16="",AY16="",AX16="-",AY16="-"),"-",AX16-AY16)</f>
        <v>-</v>
      </c>
    </row>
    <row r="17" spans="1:52" x14ac:dyDescent="0.25">
      <c r="A17" s="240" t="s">
        <v>99</v>
      </c>
      <c r="B17" s="220"/>
      <c r="C17" s="220"/>
      <c r="D17" s="212" t="str">
        <f>IF(OR(B17="",C17="",B17="-",C17="-"),"-",B17-C17)</f>
        <v>-</v>
      </c>
      <c r="E17" s="220">
        <v>5.0000000000000001E-3</v>
      </c>
      <c r="F17" s="220">
        <v>1.9E-2</v>
      </c>
      <c r="G17" s="212">
        <f>IF(OR(E17="",F17="",E17="-",F17="-"),"-",E17-F17)</f>
        <v>-1.3999999999999999E-2</v>
      </c>
      <c r="H17" s="250">
        <v>1.6E-2</v>
      </c>
      <c r="I17" s="250">
        <v>2.8000000000000001E-2</v>
      </c>
      <c r="J17" s="212">
        <f>IF(OR(H17="",I17="",H17="-",I17="-"),"-",H17-I17)</f>
        <v>-1.2E-2</v>
      </c>
      <c r="K17" s="220">
        <v>2.8000000000000001E-2</v>
      </c>
      <c r="L17" s="220"/>
      <c r="M17" s="212" t="str">
        <f>IF(OR(K17="",L17="",K17="-",L17="-"),"-",K17-L17)</f>
        <v>-</v>
      </c>
      <c r="N17" s="220"/>
      <c r="O17" s="220"/>
      <c r="P17" s="212" t="str">
        <f>IF(OR(N17="",O17="",N17="-",O17="-"),"-",N17-O17)</f>
        <v>-</v>
      </c>
      <c r="Q17" s="234">
        <v>0.03</v>
      </c>
      <c r="R17" s="219">
        <v>-5.0000000000000001E-3</v>
      </c>
      <c r="S17" s="212">
        <f>IF(OR(Q17="",R17="",Q17="-",R17="-"),"-",Q17-R17)</f>
        <v>3.4999999999999996E-2</v>
      </c>
      <c r="T17" s="220"/>
      <c r="U17" s="220"/>
      <c r="V17" s="212" t="str">
        <f>IF(OR(T17="",U17="",T17="-",U17="-"),"-",T17-U17)</f>
        <v>-</v>
      </c>
      <c r="W17" s="219">
        <v>-3.0000000000000001E-3</v>
      </c>
      <c r="X17" s="219">
        <v>2.4E-2</v>
      </c>
      <c r="Y17" s="212">
        <f>IF(OR(W17="",X17="",W17="-",X17="-"),"-",W17-X17)</f>
        <v>-2.7E-2</v>
      </c>
      <c r="Z17" s="89">
        <v>-3.0000000000000001E-3</v>
      </c>
      <c r="AA17" s="89">
        <v>2.4E-2</v>
      </c>
      <c r="AB17" s="3">
        <f>IF(OR(Z17="",AA17="",Z17="-",AA17="-"),"-",Z17-AA17)</f>
        <v>-2.7E-2</v>
      </c>
      <c r="AC17" s="89">
        <v>2.3E-2</v>
      </c>
      <c r="AD17" s="89">
        <v>3.1E-2</v>
      </c>
      <c r="AE17" s="3">
        <f>IF(OR(AC17="",AD17="",AC17="-",AD17="-"),"-",AC17-AD17)</f>
        <v>-8.0000000000000002E-3</v>
      </c>
      <c r="AF17" s="21"/>
      <c r="AG17" s="21"/>
      <c r="AH17" s="3" t="str">
        <f>IF(OR(AF17="",AG17="",AF17="-",AG17="-"),"-",AF17-AG17)</f>
        <v>-</v>
      </c>
      <c r="AI17" s="21"/>
      <c r="AJ17" s="21"/>
      <c r="AK17" s="3" t="str">
        <f>IF(OR(AI17="",AJ17="",AI17="-",AJ17="-"),"-",AI17-AJ17)</f>
        <v>-</v>
      </c>
      <c r="AL17" s="89">
        <v>2.8000000000000001E-2</v>
      </c>
      <c r="AM17" s="90">
        <v>0.03</v>
      </c>
      <c r="AN17" s="3">
        <f>IF(OR(AL17="",AM17="",AL17="-",AM17="-"),"-",AL17-AM17)</f>
        <v>-1.9999999999999983E-3</v>
      </c>
      <c r="AO17" s="21"/>
      <c r="AP17" s="21"/>
      <c r="AQ17" s="3" t="str">
        <f>IF(OR(AO17="",AP17="",AO17="-",AP17="-"),"-",AO17-AP17)</f>
        <v>-</v>
      </c>
      <c r="AR17" s="89">
        <v>2.8000000000000001E-2</v>
      </c>
      <c r="AS17" s="89">
        <v>1.4E-2</v>
      </c>
      <c r="AT17" s="3">
        <f>IF(OR(AR17="",AS17="",AR17="-",AS17="-"),"-",AR17-AS17)</f>
        <v>1.4E-2</v>
      </c>
      <c r="AU17" s="21"/>
      <c r="AV17" s="21"/>
      <c r="AW17" s="3" t="str">
        <f>IF(OR(AU17="",AV17="",AU17="-",AV17="-"),"-",AU17-AV17)</f>
        <v>-</v>
      </c>
      <c r="AX17" s="89">
        <v>1.6E-2</v>
      </c>
      <c r="AY17" s="89">
        <v>3.4000000000000002E-2</v>
      </c>
      <c r="AZ17" s="3">
        <f>IF(OR(AX17="",AY17="",AX17="-",AY17="-"),"-",AX17-AY17)</f>
        <v>-1.8000000000000002E-2</v>
      </c>
    </row>
    <row r="18" spans="1:52" x14ac:dyDescent="0.25">
      <c r="A18" s="240" t="s">
        <v>100</v>
      </c>
      <c r="B18" s="220"/>
      <c r="C18" s="220"/>
      <c r="D18" s="212" t="str">
        <f>IF(OR(B18="",C18="",B18="-",C18="-"),"-",B18-C18)</f>
        <v>-</v>
      </c>
      <c r="E18" s="220">
        <v>5.0000000000000001E-3</v>
      </c>
      <c r="F18" s="220">
        <v>3.7999999999999999E-2</v>
      </c>
      <c r="G18" s="212">
        <f>IF(OR(E18="",F18="",E18="-",F18="-"),"-",E18-F18)</f>
        <v>-3.3000000000000002E-2</v>
      </c>
      <c r="H18" s="250">
        <v>3.4000000000000002E-2</v>
      </c>
      <c r="I18" s="250">
        <v>1.2999999999999999E-2</v>
      </c>
      <c r="J18" s="212">
        <f>IF(OR(H18="",I18="",H18="-",I18="-"),"-",H18-I18)</f>
        <v>2.1000000000000005E-2</v>
      </c>
      <c r="K18" s="219">
        <v>1.2999999999999999E-2</v>
      </c>
      <c r="L18" s="220"/>
      <c r="M18" s="212" t="str">
        <f>IF(OR(K18="",L18="",K18="-",L18="-"),"-",K18-L18)</f>
        <v>-</v>
      </c>
      <c r="N18" s="219">
        <v>3.7999999999999999E-2</v>
      </c>
      <c r="O18" s="219">
        <v>3.3000000000000002E-2</v>
      </c>
      <c r="P18" s="212">
        <f>IF(OR(N18="",O18="",N18="-",O18="-"),"-",N18-O18)</f>
        <v>4.9999999999999975E-3</v>
      </c>
      <c r="Q18" s="220"/>
      <c r="R18" s="220"/>
      <c r="S18" s="212" t="str">
        <f>IF(OR(Q18="",R18="",Q18="-",R18="-"),"-",Q18-R18)</f>
        <v>-</v>
      </c>
      <c r="T18" s="219">
        <v>-5.0000000000000001E-3</v>
      </c>
      <c r="U18" s="219">
        <v>-2E-3</v>
      </c>
      <c r="V18" s="212">
        <f>IF(OR(T18="",U18="",T18="-",U18="-"),"-",T18-U18)</f>
        <v>-3.0000000000000001E-3</v>
      </c>
      <c r="W18" s="219">
        <v>2.4E-2</v>
      </c>
      <c r="X18" s="219">
        <v>2.3E-2</v>
      </c>
      <c r="Y18" s="212">
        <f>IF(OR(W18="",X18="",W18="-",X18="-"),"-",W18-X18)</f>
        <v>1.0000000000000009E-3</v>
      </c>
      <c r="Z18" s="89">
        <v>2.4E-2</v>
      </c>
      <c r="AA18" s="89">
        <v>2.3E-2</v>
      </c>
      <c r="AB18" s="3">
        <f>IF(OR(Z18="",AA18="",Z18="-",AA18="-"),"-",Z18-AA18)</f>
        <v>1.0000000000000009E-3</v>
      </c>
      <c r="AC18" s="21"/>
      <c r="AD18" s="21"/>
      <c r="AE18" s="3" t="str">
        <f>IF(OR(AC18="",AD18="",AC18="-",AD18="-"),"-",AC18-AD18)</f>
        <v>-</v>
      </c>
      <c r="AF18" s="89">
        <v>3.1E-2</v>
      </c>
      <c r="AG18" s="89">
        <v>2.8000000000000001E-2</v>
      </c>
      <c r="AH18" s="3">
        <f>IF(OR(AF18="",AG18="",AF18="-",AG18="-"),"-",AF18-AG18)</f>
        <v>2.9999999999999992E-3</v>
      </c>
      <c r="AI18" s="89">
        <v>2.8000000000000001E-2</v>
      </c>
      <c r="AJ18" s="90">
        <v>0.03</v>
      </c>
      <c r="AK18" s="3">
        <f>IF(OR(AI18="",AJ18="",AI18="-",AJ18="-"),"-",AI18-AJ18)</f>
        <v>-1.9999999999999983E-3</v>
      </c>
      <c r="AL18" s="90">
        <v>0.03</v>
      </c>
      <c r="AM18" s="90">
        <v>0.03</v>
      </c>
      <c r="AN18" s="3">
        <f>IF(OR(AL18="",AM18="",AL18="-",AM18="-"),"-",AL18-AM18)</f>
        <v>0</v>
      </c>
      <c r="AO18" s="21"/>
      <c r="AP18" s="21"/>
      <c r="AQ18" s="3" t="str">
        <f>IF(OR(AO18="",AP18="",AO18="-",AP18="-"),"-",AO18-AP18)</f>
        <v>-</v>
      </c>
      <c r="AR18" s="89">
        <v>1.4E-2</v>
      </c>
      <c r="AS18" s="89">
        <v>1.2999999999999999E-2</v>
      </c>
      <c r="AT18" s="3">
        <f>IF(OR(AR18="",AS18="",AR18="-",AS18="-"),"-",AR18-AS18)</f>
        <v>1.0000000000000009E-3</v>
      </c>
      <c r="AU18" s="89">
        <v>1.2999999999999999E-2</v>
      </c>
      <c r="AV18" s="89">
        <v>3.4000000000000002E-2</v>
      </c>
      <c r="AW18" s="3">
        <f>IF(OR(AU18="",AV18="",AU18="-",AV18="-"),"-",AU18-AV18)</f>
        <v>-2.1000000000000005E-2</v>
      </c>
      <c r="AX18" s="89">
        <v>3.4000000000000002E-2</v>
      </c>
      <c r="AY18" s="89">
        <v>3.2000000000000001E-2</v>
      </c>
      <c r="AZ18" s="3">
        <f>IF(OR(AX18="",AY18="",AX18="-",AY18="-"),"-",AX18-AY18)</f>
        <v>2.0000000000000018E-3</v>
      </c>
    </row>
    <row r="19" spans="1:52" x14ac:dyDescent="0.25">
      <c r="A19" s="239" t="s">
        <v>101</v>
      </c>
      <c r="B19" s="218"/>
      <c r="C19" s="218"/>
      <c r="D19" s="215" t="str">
        <f>IF(OR(B19="",C19="",B19="-",C19="-"),"-",B19-C19)</f>
        <v>-</v>
      </c>
      <c r="E19" s="218">
        <v>4.3999999999999997E-2</v>
      </c>
      <c r="F19" s="218">
        <v>0.01</v>
      </c>
      <c r="G19" s="215">
        <f>IF(OR(E19="",F19="",E19="-",F19="-"),"-",E19-F19)</f>
        <v>3.3999999999999996E-2</v>
      </c>
      <c r="H19" s="251">
        <v>2.5000000000000001E-2</v>
      </c>
      <c r="I19" s="251">
        <v>1.9E-2</v>
      </c>
      <c r="J19" s="215">
        <f>IF(OR(H19="",I19="",H19="-",I19="-"),"-",H19-I19)</f>
        <v>6.0000000000000019E-3</v>
      </c>
      <c r="K19" s="218">
        <v>1.9E-2</v>
      </c>
      <c r="L19" s="218"/>
      <c r="M19" s="215" t="str">
        <f>IF(OR(K19="",L19="",K19="-",L19="-"),"-",K19-L19)</f>
        <v>-</v>
      </c>
      <c r="N19" s="218"/>
      <c r="O19" s="218"/>
      <c r="P19" s="215" t="str">
        <f>IF(OR(N19="",O19="",N19="-",O19="-"),"-",N19-O19)</f>
        <v>-</v>
      </c>
      <c r="Q19" s="232">
        <v>0.02</v>
      </c>
      <c r="R19" s="232">
        <v>0.02</v>
      </c>
      <c r="S19" s="215">
        <f>IF(OR(Q19="",R19="",Q19="-",R19="-"),"-",Q19-R19)</f>
        <v>0</v>
      </c>
      <c r="T19" s="218"/>
      <c r="U19" s="218"/>
      <c r="V19" s="215" t="str">
        <f>IF(OR(T19="",U19="",T19="-",U19="-"),"-",T19-U19)</f>
        <v>-</v>
      </c>
      <c r="W19" s="214">
        <v>3.6999999999999998E-2</v>
      </c>
      <c r="X19" s="214">
        <v>3.6999999999999998E-2</v>
      </c>
      <c r="Y19" s="215">
        <f>IF(OR(W19="",X19="",W19="-",X19="-"),"-",W19-X19)</f>
        <v>0</v>
      </c>
      <c r="Z19" s="19"/>
      <c r="AA19" s="19"/>
      <c r="AB19" s="4" t="str">
        <f>IF(OR(Z19="",AA19="",Z19="-",AA19="-"),"-",Z19-AA19)</f>
        <v>-</v>
      </c>
      <c r="AC19" s="18">
        <v>2.4E-2</v>
      </c>
      <c r="AD19" s="18">
        <v>2.1999999999999999E-2</v>
      </c>
      <c r="AE19" s="4">
        <f>IF(OR(AC19="",AD19="",AC19="-",AD19="-"),"-",AC19-AD19)</f>
        <v>2.0000000000000018E-3</v>
      </c>
      <c r="AF19" s="19"/>
      <c r="AG19" s="19"/>
      <c r="AH19" s="4" t="str">
        <f>IF(OR(AF19="",AG19="",AF19="-",AG19="-"),"-",AF19-AG19)</f>
        <v>-</v>
      </c>
      <c r="AI19" s="18">
        <v>1.9E-2</v>
      </c>
      <c r="AJ19" s="18">
        <v>1.7999999999999999E-2</v>
      </c>
      <c r="AK19" s="4">
        <f>IF(OR(AI19="",AJ19="",AI19="-",AJ19="-"),"-",AI19-AJ19)</f>
        <v>1.0000000000000009E-3</v>
      </c>
      <c r="AL19" s="19"/>
      <c r="AM19" s="19"/>
      <c r="AN19" s="4" t="str">
        <f>IF(OR(AL19="",AM19="",AL19="-",AM19="-"),"-",AL19-AM19)</f>
        <v>-</v>
      </c>
      <c r="AO19" s="18">
        <v>2.5000000000000001E-2</v>
      </c>
      <c r="AP19" s="18">
        <v>2.3E-2</v>
      </c>
      <c r="AQ19" s="4">
        <f>IF(OR(AO19="",AP19="",AO19="-",AP19="-"),"-",AO19-AP19)</f>
        <v>2.0000000000000018E-3</v>
      </c>
      <c r="AR19" s="19"/>
      <c r="AS19" s="19"/>
      <c r="AT19" s="4" t="str">
        <f>IF(OR(AR19="",AS19="",AR19="-",AS19="-"),"-",AR19-AS19)</f>
        <v>-</v>
      </c>
      <c r="AU19" s="19"/>
      <c r="AV19" s="19"/>
      <c r="AW19" s="4" t="str">
        <f>IF(OR(AU19="",AV19="",AU19="-",AV19="-"),"-",AU19-AV19)</f>
        <v>-</v>
      </c>
      <c r="AX19" s="19"/>
      <c r="AY19" s="19"/>
      <c r="AZ19" s="4" t="str">
        <f>IF(OR(AX19="",AY19="",AX19="-",AY19="-"),"-",AX19-AY19)</f>
        <v>-</v>
      </c>
    </row>
    <row r="20" spans="1:52" x14ac:dyDescent="0.25">
      <c r="A20" s="239" t="s">
        <v>102</v>
      </c>
      <c r="B20" s="218"/>
      <c r="C20" s="218"/>
      <c r="D20" s="215" t="str">
        <f>IF(OR(B20="",C20="",B20="-",C20="-"),"-",B20-C20)</f>
        <v>-</v>
      </c>
      <c r="E20" s="218">
        <v>4.3999999999999997E-2</v>
      </c>
      <c r="F20" s="218">
        <v>1.7999999999999999E-2</v>
      </c>
      <c r="G20" s="215">
        <f>IF(OR(E20="",F20="",E20="-",F20="-"),"-",E20-F20)</f>
        <v>2.5999999999999999E-2</v>
      </c>
      <c r="H20" s="251">
        <v>3.1E-2</v>
      </c>
      <c r="I20" s="251">
        <v>2.3E-2</v>
      </c>
      <c r="J20" s="215">
        <f>IF(OR(H20="",I20="",H20="-",I20="-"),"-",H20-I20)</f>
        <v>8.0000000000000002E-3</v>
      </c>
      <c r="K20" s="218">
        <v>2.3E-2</v>
      </c>
      <c r="L20" s="218"/>
      <c r="M20" s="215" t="str">
        <f>IF(OR(K20="",L20="",K20="-",L20="-"),"-",K20-L20)</f>
        <v>-</v>
      </c>
      <c r="N20" s="218"/>
      <c r="O20" s="218"/>
      <c r="P20" s="215" t="str">
        <f>IF(OR(N20="",O20="",N20="-",O20="-"),"-",N20-O20)</f>
        <v>-</v>
      </c>
      <c r="Q20" s="232">
        <v>0.02</v>
      </c>
      <c r="R20" s="214">
        <v>3.7999999999999999E-2</v>
      </c>
      <c r="S20" s="215">
        <f>IF(OR(Q20="",R20="",Q20="-",R20="-"),"-",Q20-R20)</f>
        <v>-1.7999999999999999E-2</v>
      </c>
      <c r="T20" s="218"/>
      <c r="U20" s="218"/>
      <c r="V20" s="215" t="str">
        <f>IF(OR(T20="",U20="",T20="-",U20="-"),"-",T20-U20)</f>
        <v>-</v>
      </c>
      <c r="W20" s="214">
        <v>3.6999999999999998E-2</v>
      </c>
      <c r="X20" s="214">
        <v>2.3E-2</v>
      </c>
      <c r="Y20" s="215">
        <f>IF(OR(W20="",X20="",W20="-",X20="-"),"-",W20-X20)</f>
        <v>1.3999999999999999E-2</v>
      </c>
      <c r="Z20" s="18">
        <v>3.6999999999999998E-2</v>
      </c>
      <c r="AA20" s="18">
        <v>2.3E-2</v>
      </c>
      <c r="AB20" s="4">
        <f>IF(OR(Z20="",AA20="",Z20="-",AA20="-"),"-",Z20-AA20)</f>
        <v>1.3999999999999999E-2</v>
      </c>
      <c r="AC20" s="18">
        <v>2.1999999999999999E-2</v>
      </c>
      <c r="AD20" s="18">
        <v>1.9E-2</v>
      </c>
      <c r="AE20" s="4">
        <f>IF(OR(AC20="",AD20="",AC20="-",AD20="-"),"-",AC20-AD20)</f>
        <v>2.9999999999999992E-3</v>
      </c>
      <c r="AF20" s="19"/>
      <c r="AG20" s="19"/>
      <c r="AH20" s="4" t="str">
        <f>IF(OR(AF20="",AG20="",AF20="-",AG20="-"),"-",AF20-AG20)</f>
        <v>-</v>
      </c>
      <c r="AI20" s="19"/>
      <c r="AJ20" s="19"/>
      <c r="AK20" s="4" t="str">
        <f>IF(OR(AI20="",AJ20="",AI20="-",AJ20="-"),"-",AI20-AJ20)</f>
        <v>-</v>
      </c>
      <c r="AL20" s="18">
        <v>1.7999999999999999E-2</v>
      </c>
      <c r="AM20" s="18">
        <v>2.5000000000000001E-2</v>
      </c>
      <c r="AN20" s="4">
        <f>IF(OR(AL20="",AM20="",AL20="-",AM20="-"),"-",AL20-AM20)</f>
        <v>-7.0000000000000027E-3</v>
      </c>
      <c r="AO20" s="19"/>
      <c r="AP20" s="19"/>
      <c r="AQ20" s="4" t="str">
        <f>IF(OR(AO20="",AP20="",AO20="-",AP20="-"),"-",AO20-AP20)</f>
        <v>-</v>
      </c>
      <c r="AR20" s="18">
        <v>2.3E-2</v>
      </c>
      <c r="AS20" s="18">
        <v>3.1E-2</v>
      </c>
      <c r="AT20" s="4">
        <f>IF(OR(AR20="",AS20="",AR20="-",AS20="-"),"-",AR20-AS20)</f>
        <v>-8.0000000000000002E-3</v>
      </c>
      <c r="AU20" s="19"/>
      <c r="AV20" s="19"/>
      <c r="AW20" s="4" t="str">
        <f>IF(OR(AU20="",AV20="",AU20="-",AV20="-"),"-",AU20-AV20)</f>
        <v>-</v>
      </c>
      <c r="AX20" s="18">
        <v>3.1E-2</v>
      </c>
      <c r="AY20" s="18">
        <v>1.6E-2</v>
      </c>
      <c r="AZ20" s="4">
        <f>IF(OR(AX20="",AY20="",AX20="-",AY20="-"),"-",AX20-AY20)</f>
        <v>1.4999999999999999E-2</v>
      </c>
    </row>
    <row r="21" spans="1:52" x14ac:dyDescent="0.25">
      <c r="A21" s="239" t="s">
        <v>103</v>
      </c>
      <c r="B21" s="218"/>
      <c r="C21" s="218"/>
      <c r="D21" s="215" t="str">
        <f>IF(OR(B21="",C21="",B21="-",C21="-"),"-",B21-C21)</f>
        <v>-</v>
      </c>
      <c r="E21" s="218">
        <v>4.3999999999999997E-2</v>
      </c>
      <c r="F21" s="218">
        <v>2.1000000000000001E-2</v>
      </c>
      <c r="G21" s="215">
        <f>IF(OR(E21="",F21="",E21="-",F21="-"),"-",E21-F21)</f>
        <v>2.2999999999999996E-2</v>
      </c>
      <c r="H21" s="214">
        <v>1.6E-2</v>
      </c>
      <c r="I21" s="214">
        <v>3.1E-2</v>
      </c>
      <c r="J21" s="215">
        <f>IF(OR(H21="",I21="",H21="-",I21="-"),"-",H21-I21)</f>
        <v>-1.4999999999999999E-2</v>
      </c>
      <c r="K21" s="214">
        <v>3.1E-2</v>
      </c>
      <c r="L21" s="218"/>
      <c r="M21" s="215" t="str">
        <f>IF(OR(K21="",L21="",K21="-",L21="-"),"-",K21-L21)</f>
        <v>-</v>
      </c>
      <c r="N21" s="214">
        <v>2.1000000000000001E-2</v>
      </c>
      <c r="O21" s="232">
        <v>0.02</v>
      </c>
      <c r="P21" s="215">
        <f>IF(OR(N21="",O21="",N21="-",O21="-"),"-",N21-O21)</f>
        <v>1.0000000000000009E-3</v>
      </c>
      <c r="Q21" s="218"/>
      <c r="R21" s="218"/>
      <c r="S21" s="215" t="str">
        <f>IF(OR(Q21="",R21="",Q21="-",R21="-"),"-",Q21-R21)</f>
        <v>-</v>
      </c>
      <c r="T21" s="214">
        <v>3.7999999999999999E-2</v>
      </c>
      <c r="U21" s="214">
        <v>3.6999999999999998E-2</v>
      </c>
      <c r="V21" s="215">
        <f>IF(OR(T21="",U21="",T21="-",U21="-"),"-",T21-U21)</f>
        <v>1.0000000000000009E-3</v>
      </c>
      <c r="W21" s="214">
        <v>2.4E-2</v>
      </c>
      <c r="X21" s="214">
        <v>2.3E-2</v>
      </c>
      <c r="Y21" s="215">
        <f>IF(OR(W21="",X21="",W21="-",X21="-"),"-",W21-X21)</f>
        <v>1.0000000000000009E-3</v>
      </c>
      <c r="Z21" s="18">
        <v>2.4E-2</v>
      </c>
      <c r="AA21" s="18">
        <v>2.3E-2</v>
      </c>
      <c r="AB21" s="4">
        <f>IF(OR(Z21="",AA21="",Z21="-",AA21="-"),"-",Z21-AA21)</f>
        <v>1.0000000000000009E-3</v>
      </c>
      <c r="AC21" s="19"/>
      <c r="AD21" s="19"/>
      <c r="AE21" s="4" t="str">
        <f>IF(OR(AC21="",AD21="",AC21="-",AD21="-"),"-",AC21-AD21)</f>
        <v>-</v>
      </c>
      <c r="AF21" s="18">
        <v>1.9E-2</v>
      </c>
      <c r="AG21" s="18">
        <v>1.9E-2</v>
      </c>
      <c r="AH21" s="4">
        <f>IF(OR(AF21="",AG21="",AF21="-",AG21="-"),"-",AF21-AG21)</f>
        <v>0</v>
      </c>
      <c r="AI21" s="18">
        <v>1.9E-2</v>
      </c>
      <c r="AJ21" s="18">
        <v>2.5000000000000001E-2</v>
      </c>
      <c r="AK21" s="4">
        <f>IF(OR(AI21="",AJ21="",AI21="-",AJ21="-"),"-",AI21-AJ21)</f>
        <v>-6.0000000000000019E-3</v>
      </c>
      <c r="AL21" s="18">
        <v>2.5000000000000001E-2</v>
      </c>
      <c r="AM21" s="18">
        <v>2.5000000000000001E-2</v>
      </c>
      <c r="AN21" s="4">
        <f>IF(OR(AL21="",AM21="",AL21="-",AM21="-"),"-",AL21-AM21)</f>
        <v>0</v>
      </c>
      <c r="AO21" s="19"/>
      <c r="AP21" s="19"/>
      <c r="AQ21" s="4" t="str">
        <f>IF(OR(AO21="",AP21="",AO21="-",AP21="-"),"-",AO21-AP21)</f>
        <v>-</v>
      </c>
      <c r="AR21" s="18">
        <v>3.1E-2</v>
      </c>
      <c r="AS21" s="18">
        <v>0.03</v>
      </c>
      <c r="AT21" s="4">
        <f>IF(OR(AR21="",AS21="",AR21="-",AS21="-"),"-",AR21-AS21)</f>
        <v>1.0000000000000009E-3</v>
      </c>
      <c r="AU21" s="19"/>
      <c r="AV21" s="19"/>
      <c r="AW21" s="4" t="str">
        <f>IF(OR(AU21="",AV21="",AU21="-",AV21="-"),"-",AU21-AV21)</f>
        <v>-</v>
      </c>
      <c r="AX21" s="18">
        <v>1.6E-2</v>
      </c>
      <c r="AY21" s="18">
        <v>1.6E-2</v>
      </c>
      <c r="AZ21" s="4">
        <f>IF(OR(AX21="",AY21="",AX21="-",AY21="-"),"-",AX21-AY21)</f>
        <v>0</v>
      </c>
    </row>
    <row r="22" spans="1:52" x14ac:dyDescent="0.25">
      <c r="A22" s="239"/>
      <c r="B22" s="218"/>
      <c r="C22" s="218"/>
      <c r="D22" s="218" t="str">
        <f>IF(OR(B22="",C22="",B22="-",C22="-"),"-",B22-C22)</f>
        <v>-</v>
      </c>
      <c r="E22" s="218"/>
      <c r="F22" s="218"/>
      <c r="G22" s="218" t="str">
        <f>IF(OR(E22="",F22="",E22="-",F22="-"),"-",E22-F22)</f>
        <v>-</v>
      </c>
      <c r="H22" s="218"/>
      <c r="I22" s="218"/>
      <c r="J22" s="218" t="str">
        <f>IF(OR(H22="",I22="",H22="-",I22="-"),"-",H22-I22)</f>
        <v>-</v>
      </c>
      <c r="K22" s="218"/>
      <c r="L22" s="218"/>
      <c r="M22" s="218" t="str">
        <f>IF(OR(K22="",L22="",K22="-",L22="-"),"-",K22-L22)</f>
        <v>-</v>
      </c>
      <c r="N22" s="218"/>
      <c r="O22" s="218"/>
      <c r="P22" s="218" t="str">
        <f>IF(OR(N22="",O22="",N22="-",O22="-"),"-",N22-O22)</f>
        <v>-</v>
      </c>
      <c r="Q22" s="218"/>
      <c r="R22" s="218"/>
      <c r="S22" s="218" t="str">
        <f>IF(OR(Q22="",R22="",Q22="-",R22="-"),"-",Q22-R22)</f>
        <v>-</v>
      </c>
      <c r="T22" s="218"/>
      <c r="U22" s="218"/>
      <c r="V22" s="218" t="str">
        <f>IF(OR(T22="",U22="",T22="-",U22="-"),"-",T22-U22)</f>
        <v>-</v>
      </c>
      <c r="W22" s="218"/>
      <c r="X22" s="218"/>
      <c r="Y22" s="218" t="str">
        <f>IF(OR(W22="",X22="",W22="-",X22="-"),"-",W22-X22)</f>
        <v>-</v>
      </c>
      <c r="Z22" s="19"/>
      <c r="AA22" s="19"/>
      <c r="AB22" s="20" t="str">
        <f>IF(OR(Z22="",AA22="",Z22="-",AA22="-"),"-",Z22-AA22)</f>
        <v>-</v>
      </c>
      <c r="AC22" s="19"/>
      <c r="AD22" s="19"/>
      <c r="AE22" s="20" t="str">
        <f>IF(OR(AC22="",AD22="",AC22="-",AD22="-"),"-",AC22-AD22)</f>
        <v>-</v>
      </c>
      <c r="AF22" s="19"/>
      <c r="AG22" s="19"/>
      <c r="AH22" s="20" t="str">
        <f>IF(OR(AF22="",AG22="",AF22="-",AG22="-"),"-",AF22-AG22)</f>
        <v>-</v>
      </c>
      <c r="AI22" s="19"/>
      <c r="AJ22" s="19"/>
      <c r="AK22" s="20" t="str">
        <f>IF(OR(AI22="",AJ22="",AI22="-",AJ22="-"),"-",AI22-AJ22)</f>
        <v>-</v>
      </c>
      <c r="AL22" s="19"/>
      <c r="AM22" s="19"/>
      <c r="AN22" s="20" t="str">
        <f>IF(OR(AL22="",AM22="",AL22="-",AM22="-"),"-",AL22-AM22)</f>
        <v>-</v>
      </c>
      <c r="AO22" s="19"/>
      <c r="AP22" s="19"/>
      <c r="AQ22" s="20" t="str">
        <f>IF(OR(AO22="",AP22="",AO22="-",AP22="-"),"-",AO22-AP22)</f>
        <v>-</v>
      </c>
      <c r="AR22" s="19"/>
      <c r="AS22" s="19"/>
      <c r="AT22" s="20" t="str">
        <f>IF(OR(AR22="",AS22="",AR22="-",AS22="-"),"-",AR22-AS22)</f>
        <v>-</v>
      </c>
      <c r="AU22" s="19"/>
      <c r="AV22" s="19"/>
      <c r="AW22" s="20" t="str">
        <f>IF(OR(AU22="",AV22="",AU22="-",AV22="-"),"-",AU22-AV22)</f>
        <v>-</v>
      </c>
      <c r="AX22" s="19"/>
      <c r="AY22" s="19"/>
      <c r="AZ22" s="20" t="str">
        <f>IF(OR(AX22="",AY22="",AX22="-",AY22="-"),"-",AX22-AY22)</f>
        <v>-</v>
      </c>
    </row>
    <row r="23" spans="1:52" x14ac:dyDescent="0.25">
      <c r="A23" s="236" t="s">
        <v>29</v>
      </c>
      <c r="B23" s="332" t="str">
        <f>IF(AND(D24="-", D25="-", D26="-", D27="-", D28="-", D29="-", D30="-", D31="-", D32="-", D33="-", D34="-"), "",
    IF(SUM(
        IF(D24="-", 0, IF(D24&lt;0, -2, IF(D24&gt;0, 2, 0))),
        IF(D25="-", 0, IF(D25&lt;0, -2, IF(D25&gt;0, 2, 0))),
        IF(D26="-", 0, IF(D26&lt;0, -2, IF(D26&gt;0, 2, 0))),
        IF(D27="-", 0, IF(D27&lt;0, -2, IF(D27&gt;0, 2, 0))),
        IF(D28="-", 0, IF(D28&lt;0, -1, IF(D28&gt;0, 1, 0))),
        IF(D29="-", 0, IF(D29&lt;0, -1, IF(D29&gt;0, 1, 0))),
        IF(D30="-", 0, IF(D30&lt;0, -1, IF(D30&gt;0, 1, 0))),
        IF(D31="-", 0, IF(D31&lt;0, -1, IF(D31&gt;0, 1, 0))),
        IF(D32="-", 0, IF(D32&lt;0, -1, IF(D32&gt;0, 1, 0))),
        IF(D33="-", 0, IF(D33&lt;0, -1, IF(D33&gt;0, 1, 0))),
        IF(D34="-", 0, IF(D34&lt;0, -1, IF(D34&gt;0, 1, 0)))
    ) / 15 &gt; 0.1, "BULLISH",
    IF(SUM(
        IF(D24="-", 0, IF(D24&lt;0, -2, IF(D24&gt;0, 2, 0))),
        IF(D25="-", 0, IF(D25&lt;0, -2, IF(D25&gt;0, 2, 0))),
        IF(D26="-", 0, IF(D26&lt;0, -2, IF(D26&gt;0, 2, 0))),
        IF(D27="-", 0, IF(D27&lt;0, -2, IF(D27&gt;0, 2, 0))),
        IF(D28="-", 0, IF(D28&lt;0, -1, IF(D28&gt;0, 1, 0))),
        IF(D29="-", 0, IF(D29&lt;0, -1, IF(D29&gt;0, 1, 0))),
        IF(D30="-", 0, IF(D30&lt;0, -1, IF(D30&gt;0, 1, 0))),
        IF(D31="-", 0, IF(D31&lt;0, -1, IF(D31&gt;0, 1, 0))),
        IF(D32="-", 0, IF(D32&lt;0, -1, IF(D32&gt;0, 1, 0))),
        IF(D33="-", 0, IF(D33&lt;0, -1, IF(D33&gt;0, 1, 0))),
        IF(D34="-", 0, IF(D34&lt;0, -1, IF(D34&gt;0, 1, 0)))
    ) / 15 &lt; -0.1, "BEARISH",
    IF(SUM(
        IF(D24="-", 0, IF(D24&lt;0, -2, IF(D24&gt;0, 2, 0))),
        IF(D25="-", 0, IF(D25&lt;0, -2, IF(D25&gt;0, 2, 0))),
        IF(D26="-", 0, IF(D26&lt;0, -2, IF(D26&gt;0, 2, 0))),
        IF(D27="-", 0, IF(D27&lt;0, -2, IF(D27&gt;0, 2, 0))),
        IF(D28="-", 0, IF(D28&lt;0, -1, IF(D28&gt;0, 1, 0))),
        IF(D29="-", 0, IF(D29&lt;0, -1, IF(D29&gt;0, 1, 0))),
        IF(D30="-", 0, IF(D30&lt;0, -1, IF(D30&gt;0, 1, 0))),
        IF(D31="-", 0, IF(D31&lt;0, -1, IF(D31&gt;0, 1, 0))),
        IF(D32="-", 0, IF(D32&lt;0, -1, IF(D32&gt;0, 1, 0))),
        IF(D33="-", 0, IF(D33&lt;0, -1, IF(D33&gt;0, 1, 0))),
        IF(D34="-", 0, IF(D34&lt;0, -1, IF(D34&gt;0, 1, 0)))
    ) / 15 &lt; 0.1, "NEUTRO",
    IF(SUM(
        IF(D24="-", 0, IF(D24&lt;0, -2, IF(D24&gt;0, 2, 0))),
        IF(D25="-", 0, IF(D25&lt;0, -2, IF(D25&gt;0, 2, 0))),
        IF(D26="-", 0, IF(D26&lt;0, -2, IF(D26&gt;0, 2, 0))),
        IF(D27="-", 0, IF(D27&lt;0, -2, IF(D27&gt;0, 2, 0))),
        IF(D28="-", 0, IF(D28&lt;0, -1, IF(D28&gt;0, 1, 0))),
        IF(D29="-", 0, IF(D29&lt;0, -1, IF(D29&gt;0, 1, 0))),
        IF(D30="-", 0, IF(D30&lt;0, -1, IF(D30&gt;0, 1, 0))),
        IF(D31="-", 0, IF(D31&lt;0, -1, IF(D31&gt;0, 1, 0))),
        IF(D32="-", 0, IF(D32&lt;0, -1, IF(D32&gt;0, 1, 0))),
        IF(D33="-", 0, IF(D33&lt;0, -1, IF(D33&gt;0, 1, 0))),
        IF(D34="-", 0, IF(D34&lt;0, -1, IF(D34&gt;0, 1, 0)))
    ) / 15 &gt; -0.1, "NEUTRO", "")))))</f>
        <v/>
      </c>
      <c r="C23" s="332"/>
      <c r="D23" s="332"/>
      <c r="E23" s="332" t="str">
        <f>IF(AND(G24="-", G25="-", G26="-", G27="-", G28="-", G29="-", G30="-", G31="-", G32="-", G33="-", G34="-"), "",
    IF(SUM(
        IF(G24="-", 0, IF(G24&lt;0, -2, IF(G24&gt;0, 2, 0))),
        IF(G25="-", 0, IF(G25&lt;0, -2, IF(G25&gt;0, 2, 0))),
        IF(G26="-", 0, IF(G26&lt;0, -2, IF(G26&gt;0, 2, 0))),
        IF(G27="-", 0, IF(G27&lt;0, -2, IF(G27&gt;0, 2, 0))),
        IF(G28="-", 0, IF(G28&lt;0, -1, IF(G28&gt;0, 1, 0))),
        IF(G29="-", 0, IF(G29&lt;0, -1, IF(G29&gt;0, 1, 0))),
        IF(G30="-", 0, IF(G30&lt;0, -1, IF(G30&gt;0, 1, 0))),
        IF(G31="-", 0, IF(G31&lt;0, -1, IF(G31&gt;0, 1, 0))),
        IF(G32="-", 0, IF(G32&lt;0, -1, IF(G32&gt;0, 1, 0))),
        IF(G33="-", 0, IF(G33&lt;0, -1, IF(G33&gt;0, 1, 0))),
        IF(G34="-", 0, IF(G34&lt;0, -1, IF(G34&gt;0, 1, 0)))
    ) / 15 &gt; 0.1, "BULLISH",
    IF(SUM(
        IF(G24="-", 0, IF(G24&lt;0, -2, IF(G24&gt;0, 2, 0))),
        IF(G25="-", 0, IF(G25&lt;0, -2, IF(G25&gt;0, 2, 0))),
        IF(G26="-", 0, IF(G26&lt;0, -2, IF(G26&gt;0, 2, 0))),
        IF(G27="-", 0, IF(G27&lt;0, -2, IF(G27&gt;0, 2, 0))),
        IF(G28="-", 0, IF(G28&lt;0, -1, IF(G28&gt;0, 1, 0))),
        IF(G29="-", 0, IF(G29&lt;0, -1, IF(G29&gt;0, 1, 0))),
        IF(G30="-", 0, IF(G30&lt;0, -1, IF(G30&gt;0, 1, 0))),
        IF(G31="-", 0, IF(G31&lt;0, -1, IF(G31&gt;0, 1, 0))),
        IF(G32="-", 0, IF(G32&lt;0, -1, IF(G32&gt;0, 1, 0))),
        IF(G33="-", 0, IF(G33&lt;0, -1, IF(G33&gt;0, 1, 0))),
        IF(G34="-", 0, IF(G34&lt;0, -1, IF(G34&gt;0, 1, 0)))
    ) / 15 &lt; -0.1, "BEARISH",
    IF(SUM(
        IF(G24="-", 0, IF(G24&lt;0, -2, IF(G24&gt;0, 2, 0))),
        IF(G25="-", 0, IF(G25&lt;0, -2, IF(G25&gt;0, 2, 0))),
        IF(G26="-", 0, IF(G26&lt;0, -2, IF(G26&gt;0, 2, 0))),
        IF(G27="-", 0, IF(G27&lt;0, -2, IF(G27&gt;0, 2, 0))),
        IF(G28="-", 0, IF(G28&lt;0, -1, IF(G28&gt;0, 1, 0))),
        IF(G29="-", 0, IF(G29&lt;0, -1, IF(G29&gt;0, 1, 0))),
        IF(G30="-", 0, IF(G30&lt;0, -1, IF(G30&gt;0, 1, 0))),
        IF(G31="-", 0, IF(G31&lt;0, -1, IF(G31&gt;0, 1, 0))),
        IF(G32="-", 0, IF(G32&lt;0, -1, IF(G32&gt;0, 1, 0))),
        IF(G33="-", 0, IF(G33&lt;0, -1, IF(G33&gt;0, 1, 0))),
        IF(G34="-", 0, IF(G34&lt;0, -1, IF(G34&gt;0, 1, 0)))
    ) / 15 &lt; 0.1, "NEUTRO",
    IF(SUM(
        IF(G24="-", 0, IF(G24&lt;0, -2, IF(G24&gt;0, 2, 0))),
        IF(G25="-", 0, IF(G25&lt;0, -2, IF(G25&gt;0, 2, 0))),
        IF(G26="-", 0, IF(G26&lt;0, -2, IF(G26&gt;0, 2, 0))),
        IF(G27="-", 0, IF(G27&lt;0, -2, IF(G27&gt;0, 2, 0))),
        IF(G28="-", 0, IF(G28&lt;0, -1, IF(G28&gt;0, 1, 0))),
        IF(G29="-", 0, IF(G29&lt;0, -1, IF(G29&gt;0, 1, 0))),
        IF(G30="-", 0, IF(G30&lt;0, -1, IF(G30&gt;0, 1, 0))),
        IF(G31="-", 0, IF(G31&lt;0, -1, IF(G31&gt;0, 1, 0))),
        IF(G32="-", 0, IF(G32&lt;0, -1, IF(G32&gt;0, 1, 0))),
        IF(G33="-", 0, IF(G33&lt;0, -1, IF(G33&gt;0, 1, 0))),
        IF(G34="-", 0, IF(G34&lt;0, -1, IF(G34&gt;0, 1, 0)))
    ) / 15 &gt; -0.1, "NEUTRO", "")))))</f>
        <v>NEUTRO</v>
      </c>
      <c r="F23" s="332"/>
      <c r="G23" s="332"/>
      <c r="H23" s="332" t="str">
        <f>IF(AND(J24="-", J25="-", J26="-", J27="-", J28="-", J29="-", J30="-", J31="-", J32="-", J33="-", J34="-"), "",
    IF(SUM(
        IF(J24="-", 0, IF(J24&lt;0, -2, IF(J24&gt;0, 2, 0))),
        IF(J25="-", 0, IF(J25&lt;0, -2, IF(J25&gt;0, 2, 0))),
        IF(J26="-", 0, IF(J26&lt;0, -2, IF(J26&gt;0, 2, 0))),
        IF(J27="-", 0, IF(J27&lt;0, -2, IF(J27&gt;0, 2, 0))),
        IF(J28="-", 0, IF(J28&lt;0, -1, IF(J28&gt;0, 1, 0))),
        IF(J29="-", 0, IF(J29&lt;0, -1, IF(J29&gt;0, 1, 0))),
        IF(J30="-", 0, IF(J30&lt;0, -1, IF(J30&gt;0, 1, 0))),
        IF(J31="-", 0, IF(J31&lt;0, -1, IF(J31&gt;0, 1, 0))),
        IF(J32="-", 0, IF(J32&lt;0, -1, IF(J32&gt;0, 1, 0))),
        IF(J33="-", 0, IF(J33&lt;0, -1, IF(J33&gt;0, 1, 0))),
        IF(J34="-", 0, IF(J34&lt;0, -1, IF(J34&gt;0, 1, 0)))
    ) / 15 &gt; 0.1, "BULLISH",
    IF(SUM(
        IF(J24="-", 0, IF(J24&lt;0, -2, IF(J24&gt;0, 2, 0))),
        IF(J25="-", 0, IF(J25&lt;0, -2, IF(J25&gt;0, 2, 0))),
        IF(J26="-", 0, IF(J26&lt;0, -2, IF(J26&gt;0, 2, 0))),
        IF(J27="-", 0, IF(J27&lt;0, -2, IF(J27&gt;0, 2, 0))),
        IF(J28="-", 0, IF(J28&lt;0, -1, IF(J28&gt;0, 1, 0))),
        IF(J29="-", 0, IF(J29&lt;0, -1, IF(J29&gt;0, 1, 0))),
        IF(J30="-", 0, IF(J30&lt;0, -1, IF(J30&gt;0, 1, 0))),
        IF(J31="-", 0, IF(J31&lt;0, -1, IF(J31&gt;0, 1, 0))),
        IF(J32="-", 0, IF(J32&lt;0, -1, IF(J32&gt;0, 1, 0))),
        IF(J33="-", 0, IF(J33&lt;0, -1, IF(J33&gt;0, 1, 0))),
        IF(J34="-", 0, IF(J34&lt;0, -1, IF(J34&gt;0, 1, 0)))
    ) / 15 &lt; -0.1, "BEARISH",
    IF(SUM(
        IF(J24="-", 0, IF(J24&lt;0, -2, IF(J24&gt;0, 2, 0))),
        IF(J25="-", 0, IF(J25&lt;0, -2, IF(J25&gt;0, 2, 0))),
        IF(J26="-", 0, IF(J26&lt;0, -2, IF(J26&gt;0, 2, 0))),
        IF(J27="-", 0, IF(J27&lt;0, -2, IF(J27&gt;0, 2, 0))),
        IF(J28="-", 0, IF(J28&lt;0, -1, IF(J28&gt;0, 1, 0))),
        IF(J29="-", 0, IF(J29&lt;0, -1, IF(J29&gt;0, 1, 0))),
        IF(J30="-", 0, IF(J30&lt;0, -1, IF(J30&gt;0, 1, 0))),
        IF(J31="-", 0, IF(J31&lt;0, -1, IF(J31&gt;0, 1, 0))),
        IF(J32="-", 0, IF(J32&lt;0, -1, IF(J32&gt;0, 1, 0))),
        IF(J33="-", 0, IF(J33&lt;0, -1, IF(J33&gt;0, 1, 0))),
        IF(J34="-", 0, IF(J34&lt;0, -1, IF(J34&gt;0, 1, 0)))
    ) / 15 &lt; 0.1, "NEUTRO",
    IF(SUM(
        IF(J24="-", 0, IF(J24&lt;0, -2, IF(J24&gt;0, 2, 0))),
        IF(J25="-", 0, IF(J25&lt;0, -2, IF(J25&gt;0, 2, 0))),
        IF(J26="-", 0, IF(J26&lt;0, -2, IF(J26&gt;0, 2, 0))),
        IF(J27="-", 0, IF(J27&lt;0, -2, IF(J27&gt;0, 2, 0))),
        IF(J28="-", 0, IF(J28&lt;0, -1, IF(J28&gt;0, 1, 0))),
        IF(J29="-", 0, IF(J29&lt;0, -1, IF(J29&gt;0, 1, 0))),
        IF(J30="-", 0, IF(J30&lt;0, -1, IF(J30&gt;0, 1, 0))),
        IF(J31="-", 0, IF(J31&lt;0, -1, IF(J31&gt;0, 1, 0))),
        IF(J32="-", 0, IF(J32&lt;0, -1, IF(J32&gt;0, 1, 0))),
        IF(J33="-", 0, IF(J33&lt;0, -1, IF(J33&gt;0, 1, 0))),
        IF(J34="-", 0, IF(J34&lt;0, -1, IF(J34&gt;0, 1, 0)))
    ) / 15 &gt; -0.1, "NEUTRO", "")))))</f>
        <v>NEUTRO</v>
      </c>
      <c r="I23" s="332"/>
      <c r="J23" s="332"/>
      <c r="K23" s="332" t="str">
        <f>IF(AND(M24="-", M25="-", M26="-", M27="-", M28="-", M29="-", M30="-", M31="-", M32="-", M33="-", M34="-"), "",
    IF(SUM(
        IF(M24="-", 0, IF(M24&lt;0, -2, IF(M24&gt;0, 2, 0))),
        IF(M25="-", 0, IF(M25&lt;0, -2, IF(M25&gt;0, 2, 0))),
        IF(M26="-", 0, IF(M26&lt;0, -2, IF(M26&gt;0, 2, 0))),
        IF(M27="-", 0, IF(M27&lt;0, -2, IF(M27&gt;0, 2, 0))),
        IF(M28="-", 0, IF(M28&lt;0, -1, IF(M28&gt;0, 1, 0))),
        IF(M29="-", 0, IF(M29&lt;0, -1, IF(M29&gt;0, 1, 0))),
        IF(M30="-", 0, IF(M30&lt;0, -1, IF(M30&gt;0, 1, 0))),
        IF(M31="-", 0, IF(M31&lt;0, -1, IF(M31&gt;0, 1, 0))),
        IF(M32="-", 0, IF(M32&lt;0, -1, IF(M32&gt;0, 1, 0))),
        IF(M33="-", 0, IF(M33&lt;0, -1, IF(M33&gt;0, 1, 0))),
        IF(M34="-", 0, IF(M34&lt;0, -1, IF(M34&gt;0, 1, 0)))
    ) / 15 &gt; 0.1, "BULLISH",
    IF(SUM(
        IF(M24="-", 0, IF(M24&lt;0, -2, IF(M24&gt;0, 2, 0))),
        IF(M25="-", 0, IF(M25&lt;0, -2, IF(M25&gt;0, 2, 0))),
        IF(M26="-", 0, IF(M26&lt;0, -2, IF(M26&gt;0, 2, 0))),
        IF(M27="-", 0, IF(M27&lt;0, -2, IF(M27&gt;0, 2, 0))),
        IF(M28="-", 0, IF(M28&lt;0, -1, IF(M28&gt;0, 1, 0))),
        IF(M29="-", 0, IF(M29&lt;0, -1, IF(M29&gt;0, 1, 0))),
        IF(M30="-", 0, IF(M30&lt;0, -1, IF(M30&gt;0, 1, 0))),
        IF(M31="-", 0, IF(M31&lt;0, -1, IF(M31&gt;0, 1, 0))),
        IF(M32="-", 0, IF(M32&lt;0, -1, IF(M32&gt;0, 1, 0))),
        IF(M33="-", 0, IF(M33&lt;0, -1, IF(M33&gt;0, 1, 0))),
        IF(M34="-", 0, IF(M34&lt;0, -1, IF(M34&gt;0, 1, 0)))
    ) / 15 &lt; -0.1, "BEARISH",
    IF(SUM(
        IF(M24="-", 0, IF(M24&lt;0, -2, IF(M24&gt;0, 2, 0))),
        IF(M25="-", 0, IF(M25&lt;0, -2, IF(M25&gt;0, 2, 0))),
        IF(M26="-", 0, IF(M26&lt;0, -2, IF(M26&gt;0, 2, 0))),
        IF(M27="-", 0, IF(M27&lt;0, -2, IF(M27&gt;0, 2, 0))),
        IF(M28="-", 0, IF(M28&lt;0, -1, IF(M28&gt;0, 1, 0))),
        IF(M29="-", 0, IF(M29&lt;0, -1, IF(M29&gt;0, 1, 0))),
        IF(M30="-", 0, IF(M30&lt;0, -1, IF(M30&gt;0, 1, 0))),
        IF(M31="-", 0, IF(M31&lt;0, -1, IF(M31&gt;0, 1, 0))),
        IF(M32="-", 0, IF(M32&lt;0, -1, IF(M32&gt;0, 1, 0))),
        IF(M33="-", 0, IF(M33&lt;0, -1, IF(M33&gt;0, 1, 0))),
        IF(M34="-", 0, IF(M34&lt;0, -1, IF(M34&gt;0, 1, 0)))
    ) / 15 &lt; 0.1, "NEUTRO",
    IF(SUM(
        IF(M24="-", 0, IF(M24&lt;0, -2, IF(M24&gt;0, 2, 0))),
        IF(M25="-", 0, IF(M25&lt;0, -2, IF(M25&gt;0, 2, 0))),
        IF(M26="-", 0, IF(M26&lt;0, -2, IF(M26&gt;0, 2, 0))),
        IF(M27="-", 0, IF(M27&lt;0, -2, IF(M27&gt;0, 2, 0))),
        IF(M28="-", 0, IF(M28&lt;0, -1, IF(M28&gt;0, 1, 0))),
        IF(M29="-", 0, IF(M29&lt;0, -1, IF(M29&gt;0, 1, 0))),
        IF(M30="-", 0, IF(M30&lt;0, -1, IF(M30&gt;0, 1, 0))),
        IF(M31="-", 0, IF(M31&lt;0, -1, IF(M31&gt;0, 1, 0))),
        IF(M32="-", 0, IF(M32&lt;0, -1, IF(M32&gt;0, 1, 0))),
        IF(M33="-", 0, IF(M33&lt;0, -1, IF(M33&gt;0, 1, 0))),
        IF(M34="-", 0, IF(M34&lt;0, -1, IF(M34&gt;0, 1, 0)))
    ) / 15 &gt; -0.1, "NEUTRO", "")))))</f>
        <v/>
      </c>
      <c r="L23" s="332"/>
      <c r="M23" s="332"/>
      <c r="N23" s="332" t="str">
        <f>IF(AND(P24="-", P25="-", P26="-", P27="-", P28="-", P29="-", P30="-", P31="-", P32="-", P33="-", P34="-"), "",
    IF(SUM(
        IF(P24="-", 0, IF(P24&lt;0, -2, IF(P24&gt;0, 2, 0))),
        IF(P25="-", 0, IF(P25&lt;0, -2, IF(P25&gt;0, 2, 0))),
        IF(P26="-", 0, IF(P26&lt;0, -2, IF(P26&gt;0, 2, 0))),
        IF(P27="-", 0, IF(P27&lt;0, -2, IF(P27&gt;0, 2, 0))),
        IF(P28="-", 0, IF(P28&lt;0, -1, IF(P28&gt;0, 1, 0))),
        IF(P29="-", 0, IF(P29&lt;0, -1, IF(P29&gt;0, 1, 0))),
        IF(P30="-", 0, IF(P30&lt;0, -1, IF(P30&gt;0, 1, 0))),
        IF(P31="-", 0, IF(P31&lt;0, -1, IF(P31&gt;0, 1, 0))),
        IF(P32="-", 0, IF(P32&lt;0, -1, IF(P32&gt;0, 1, 0))),
        IF(P33="-", 0, IF(P33&lt;0, -1, IF(P33&gt;0, 1, 0))),
        IF(P34="-", 0, IF(P34&lt;0, -1, IF(P34&gt;0, 1, 0)))
    ) / 15 &gt; 0.1, "BULLISH",
    IF(SUM(
        IF(P24="-", 0, IF(P24&lt;0, -2, IF(P24&gt;0, 2, 0))),
        IF(P25="-", 0, IF(P25&lt;0, -2, IF(P25&gt;0, 2, 0))),
        IF(P26="-", 0, IF(P26&lt;0, -2, IF(P26&gt;0, 2, 0))),
        IF(P27="-", 0, IF(P27&lt;0, -2, IF(P27&gt;0, 2, 0))),
        IF(P28="-", 0, IF(P28&lt;0, -1, IF(P28&gt;0, 1, 0))),
        IF(P29="-", 0, IF(P29&lt;0, -1, IF(P29&gt;0, 1, 0))),
        IF(P30="-", 0, IF(P30&lt;0, -1, IF(P30&gt;0, 1, 0))),
        IF(P31="-", 0, IF(P31&lt;0, -1, IF(P31&gt;0, 1, 0))),
        IF(P32="-", 0, IF(P32&lt;0, -1, IF(P32&gt;0, 1, 0))),
        IF(P33="-", 0, IF(P33&lt;0, -1, IF(P33&gt;0, 1, 0))),
        IF(P34="-", 0, IF(P34&lt;0, -1, IF(P34&gt;0, 1, 0)))
    ) / 15 &lt; -0.1, "BEARISH",
    IF(SUM(
        IF(P24="-", 0, IF(P24&lt;0, -2, IF(P24&gt;0, 2, 0))),
        IF(P25="-", 0, IF(P25&lt;0, -2, IF(P25&gt;0, 2, 0))),
        IF(P26="-", 0, IF(P26&lt;0, -2, IF(P26&gt;0, 2, 0))),
        IF(P27="-", 0, IF(P27&lt;0, -2, IF(P27&gt;0, 2, 0))),
        IF(P28="-", 0, IF(P28&lt;0, -1, IF(P28&gt;0, 1, 0))),
        IF(P29="-", 0, IF(P29&lt;0, -1, IF(P29&gt;0, 1, 0))),
        IF(P30="-", 0, IF(P30&lt;0, -1, IF(P30&gt;0, 1, 0))),
        IF(P31="-", 0, IF(P31&lt;0, -1, IF(P31&gt;0, 1, 0))),
        IF(P32="-", 0, IF(P32&lt;0, -1, IF(P32&gt;0, 1, 0))),
        IF(P33="-", 0, IF(P33&lt;0, -1, IF(P33&gt;0, 1, 0))),
        IF(P34="-", 0, IF(P34&lt;0, -1, IF(P34&gt;0, 1, 0)))
    ) / 15 &lt; 0.1, "NEUTRO",
    IF(SUM(
        IF(P24="-", 0, IF(P24&lt;0, -2, IF(P24&gt;0, 2, 0))),
        IF(P25="-", 0, IF(P25&lt;0, -2, IF(P25&gt;0, 2, 0))),
        IF(P26="-", 0, IF(P26&lt;0, -2, IF(P26&gt;0, 2, 0))),
        IF(P27="-", 0, IF(P27&lt;0, -2, IF(P27&gt;0, 2, 0))),
        IF(P28="-", 0, IF(P28&lt;0, -1, IF(P28&gt;0, 1, 0))),
        IF(P29="-", 0, IF(P29&lt;0, -1, IF(P29&gt;0, 1, 0))),
        IF(P30="-", 0, IF(P30&lt;0, -1, IF(P30&gt;0, 1, 0))),
        IF(P31="-", 0, IF(P31&lt;0, -1, IF(P31&gt;0, 1, 0))),
        IF(P32="-", 0, IF(P32&lt;0, -1, IF(P32&gt;0, 1, 0))),
        IF(P33="-", 0, IF(P33&lt;0, -1, IF(P33&gt;0, 1, 0))),
        IF(P34="-", 0, IF(P34&lt;0, -1, IF(P34&gt;0, 1, 0)))
    ) / 15 &gt; -0.1, "NEUTRO", "")))))</f>
        <v>BEARISH</v>
      </c>
      <c r="O23" s="332"/>
      <c r="P23" s="332"/>
      <c r="Q23" s="332" t="str">
        <f>IF(AND(S24="-", S25="-", S26="-", S27="-", S28="-", S29="-", S30="-", S31="-", S32="-", S33="-", S34="-"), "",
    IF(SUM(
        IF(S24="-", 0, IF(S24&lt;0, -2, IF(S24&gt;0, 2, 0))),
        IF(S25="-", 0, IF(S25&lt;0, -2, IF(S25&gt;0, 2, 0))),
        IF(S26="-", 0, IF(S26&lt;0, -2, IF(S26&gt;0, 2, 0))),
        IF(S27="-", 0, IF(S27&lt;0, -2, IF(S27&gt;0, 2, 0))),
        IF(S28="-", 0, IF(S28&lt;0, -1, IF(S28&gt;0, 1, 0))),
        IF(S29="-", 0, IF(S29&lt;0, -1, IF(S29&gt;0, 1, 0))),
        IF(S30="-", 0, IF(S30&lt;0, -1, IF(S30&gt;0, 1, 0))),
        IF(S31="-", 0, IF(S31&lt;0, -1, IF(S31&gt;0, 1, 0))),
        IF(S32="-", 0, IF(S32&lt;0, -1, IF(S32&gt;0, 1, 0))),
        IF(S33="-", 0, IF(S33&lt;0, -1, IF(S33&gt;0, 1, 0))),
        IF(S34="-", 0, IF(S34&lt;0, -1, IF(S34&gt;0, 1, 0)))
    ) / 15 &gt; 0.1, "BULLISH",
    IF(SUM(
        IF(S24="-", 0, IF(S24&lt;0, -2, IF(S24&gt;0, 2, 0))),
        IF(S25="-", 0, IF(S25&lt;0, -2, IF(S25&gt;0, 2, 0))),
        IF(S26="-", 0, IF(S26&lt;0, -2, IF(S26&gt;0, 2, 0))),
        IF(S27="-", 0, IF(S27&lt;0, -2, IF(S27&gt;0, 2, 0))),
        IF(S28="-", 0, IF(S28&lt;0, -1, IF(S28&gt;0, 1, 0))),
        IF(S29="-", 0, IF(S29&lt;0, -1, IF(S29&gt;0, 1, 0))),
        IF(S30="-", 0, IF(S30&lt;0, -1, IF(S30&gt;0, 1, 0))),
        IF(S31="-", 0, IF(S31&lt;0, -1, IF(S31&gt;0, 1, 0))),
        IF(S32="-", 0, IF(S32&lt;0, -1, IF(S32&gt;0, 1, 0))),
        IF(S33="-", 0, IF(S33&lt;0, -1, IF(S33&gt;0, 1, 0))),
        IF(S34="-", 0, IF(S34&lt;0, -1, IF(S34&gt;0, 1, 0)))
    ) / 15 &lt; -0.1, "BEARISH",
    IF(SUM(
        IF(S24="-", 0, IF(S24&lt;0, -2, IF(S24&gt;0, 2, 0))),
        IF(S25="-", 0, IF(S25&lt;0, -2, IF(S25&gt;0, 2, 0))),
        IF(S26="-", 0, IF(S26&lt;0, -2, IF(S26&gt;0, 2, 0))),
        IF(S27="-", 0, IF(S27&lt;0, -2, IF(S27&gt;0, 2, 0))),
        IF(S28="-", 0, IF(S28&lt;0, -1, IF(S28&gt;0, 1, 0))),
        IF(S29="-", 0, IF(S29&lt;0, -1, IF(S29&gt;0, 1, 0))),
        IF(S30="-", 0, IF(S30&lt;0, -1, IF(S30&gt;0, 1, 0))),
        IF(S31="-", 0, IF(S31&lt;0, -1, IF(S31&gt;0, 1, 0))),
        IF(S32="-", 0, IF(S32&lt;0, -1, IF(S32&gt;0, 1, 0))),
        IF(S33="-", 0, IF(S33&lt;0, -1, IF(S33&gt;0, 1, 0))),
        IF(S34="-", 0, IF(S34&lt;0, -1, IF(S34&gt;0, 1, 0)))
    ) / 15 &lt; 0.1, "NEUTRO",
    IF(SUM(
        IF(S24="-", 0, IF(S24&lt;0, -2, IF(S24&gt;0, 2, 0))),
        IF(S25="-", 0, IF(S25&lt;0, -2, IF(S25&gt;0, 2, 0))),
        IF(S26="-", 0, IF(S26&lt;0, -2, IF(S26&gt;0, 2, 0))),
        IF(S27="-", 0, IF(S27&lt;0, -2, IF(S27&gt;0, 2, 0))),
        IF(S28="-", 0, IF(S28&lt;0, -1, IF(S28&gt;0, 1, 0))),
        IF(S29="-", 0, IF(S29&lt;0, -1, IF(S29&gt;0, 1, 0))),
        IF(S30="-", 0, IF(S30&lt;0, -1, IF(S30&gt;0, 1, 0))),
        IF(S31="-", 0, IF(S31&lt;0, -1, IF(S31&gt;0, 1, 0))),
        IF(S32="-", 0, IF(S32&lt;0, -1, IF(S32&gt;0, 1, 0))),
        IF(S33="-", 0, IF(S33&lt;0, -1, IF(S33&gt;0, 1, 0))),
        IF(S34="-", 0, IF(S34&lt;0, -1, IF(S34&gt;0, 1, 0)))
    ) / 15 &gt; -0.1, "NEUTRO", "")))))</f>
        <v>BULLISH</v>
      </c>
      <c r="R23" s="332"/>
      <c r="S23" s="332"/>
      <c r="T23" s="332" t="str">
        <f>IF(AND(V24="-", V25="-", V26="-", V27="-", V28="-", V29="-", V30="-", V31="-", V32="-", V33="-", V34="-"), "",
    IF(SUM(
        IF(V24="-", 0, IF(V24&lt;0, -2, IF(V24&gt;0, 2, 0))),
        IF(V25="-", 0, IF(V25&lt;0, -2, IF(V25&gt;0, 2, 0))),
        IF(V26="-", 0, IF(V26&lt;0, -2, IF(V26&gt;0, 2, 0))),
        IF(V27="-", 0, IF(V27&lt;0, -2, IF(V27&gt;0, 2, 0))),
        IF(V28="-", 0, IF(V28&lt;0, -1, IF(V28&gt;0, 1, 0))),
        IF(V29="-", 0, IF(V29&lt;0, -1, IF(V29&gt;0, 1, 0))),
        IF(V30="-", 0, IF(V30&lt;0, -1, IF(V30&gt;0, 1, 0))),
        IF(V31="-", 0, IF(V31&lt;0, -1, IF(V31&gt;0, 1, 0))),
        IF(V32="-", 0, IF(V32&lt;0, -1, IF(V32&gt;0, 1, 0))),
        IF(V33="-", 0, IF(V33&lt;0, -1, IF(V33&gt;0, 1, 0))),
        IF(V34="-", 0, IF(V34&lt;0, -1, IF(V34&gt;0, 1, 0)))
    ) / 15 &gt; 0.1, "BULLISH",
    IF(SUM(
        IF(V24="-", 0, IF(V24&lt;0, -2, IF(V24&gt;0, 2, 0))),
        IF(V25="-", 0, IF(V25&lt;0, -2, IF(V25&gt;0, 2, 0))),
        IF(V26="-", 0, IF(V26&lt;0, -2, IF(V26&gt;0, 2, 0))),
        IF(V27="-", 0, IF(V27&lt;0, -2, IF(V27&gt;0, 2, 0))),
        IF(V28="-", 0, IF(V28&lt;0, -1, IF(V28&gt;0, 1, 0))),
        IF(V29="-", 0, IF(V29&lt;0, -1, IF(V29&gt;0, 1, 0))),
        IF(V30="-", 0, IF(V30&lt;0, -1, IF(V30&gt;0, 1, 0))),
        IF(V31="-", 0, IF(V31&lt;0, -1, IF(V31&gt;0, 1, 0))),
        IF(V32="-", 0, IF(V32&lt;0, -1, IF(V32&gt;0, 1, 0))),
        IF(V33="-", 0, IF(V33&lt;0, -1, IF(V33&gt;0, 1, 0))),
        IF(V34="-", 0, IF(V34&lt;0, -1, IF(V34&gt;0, 1, 0)))
    ) / 15 &lt; -0.1, "BEARISH",
    IF(SUM(
        IF(V24="-", 0, IF(V24&lt;0, -2, IF(V24&gt;0, 2, 0))),
        IF(V25="-", 0, IF(V25&lt;0, -2, IF(V25&gt;0, 2, 0))),
        IF(V26="-", 0, IF(V26&lt;0, -2, IF(V26&gt;0, 2, 0))),
        IF(V27="-", 0, IF(V27&lt;0, -2, IF(V27&gt;0, 2, 0))),
        IF(V28="-", 0, IF(V28&lt;0, -1, IF(V28&gt;0, 1, 0))),
        IF(V29="-", 0, IF(V29&lt;0, -1, IF(V29&gt;0, 1, 0))),
        IF(V30="-", 0, IF(V30&lt;0, -1, IF(V30&gt;0, 1, 0))),
        IF(V31="-", 0, IF(V31&lt;0, -1, IF(V31&gt;0, 1, 0))),
        IF(V32="-", 0, IF(V32&lt;0, -1, IF(V32&gt;0, 1, 0))),
        IF(V33="-", 0, IF(V33&lt;0, -1, IF(V33&gt;0, 1, 0))),
        IF(V34="-", 0, IF(V34&lt;0, -1, IF(V34&gt;0, 1, 0)))
    ) / 15 &lt; 0.1, "NEUTRO",
    IF(SUM(
        IF(V24="-", 0, IF(V24&lt;0, -2, IF(V24&gt;0, 2, 0))),
        IF(V25="-", 0, IF(V25&lt;0, -2, IF(V25&gt;0, 2, 0))),
        IF(V26="-", 0, IF(V26&lt;0, -2, IF(V26&gt;0, 2, 0))),
        IF(V27="-", 0, IF(V27&lt;0, -2, IF(V27&gt;0, 2, 0))),
        IF(V28="-", 0, IF(V28&lt;0, -1, IF(V28&gt;0, 1, 0))),
        IF(V29="-", 0, IF(V29&lt;0, -1, IF(V29&gt;0, 1, 0))),
        IF(V30="-", 0, IF(V30&lt;0, -1, IF(V30&gt;0, 1, 0))),
        IF(V31="-", 0, IF(V31&lt;0, -1, IF(V31&gt;0, 1, 0))),
        IF(V32="-", 0, IF(V32&lt;0, -1, IF(V32&gt;0, 1, 0))),
        IF(V33="-", 0, IF(V33&lt;0, -1, IF(V33&gt;0, 1, 0))),
        IF(V34="-", 0, IF(V34&lt;0, -1, IF(V34&gt;0, 1, 0)))
    ) / 15 &gt; -0.1, "NEUTRO", "")))))</f>
        <v>BEARISH</v>
      </c>
      <c r="U23" s="332"/>
      <c r="V23" s="332"/>
      <c r="W23" s="332" t="str">
        <f>IF(AND(Y24="-", Y25="-", Y26="-", Y27="-", Y28="-", Y29="-", Y30="-", Y31="-", Y32="-", Y33="-", Y34="-"), "",
    IF(SUM(
        IF(Y24="-", 0, IF(Y24&lt;0, -2, IF(Y24&gt;0, 2, 0))),
        IF(Y25="-", 0, IF(Y25&lt;0, -2, IF(Y25&gt;0, 2, 0))),
        IF(Y26="-", 0, IF(Y26&lt;0, -2, IF(Y26&gt;0, 2, 0))),
        IF(Y27="-", 0, IF(Y27&lt;0, -2, IF(Y27&gt;0, 2, 0))),
        IF(Y28="-", 0, IF(Y28&lt;0, -1, IF(Y28&gt;0, 1, 0))),
        IF(Y29="-", 0, IF(Y29&lt;0, -1, IF(Y29&gt;0, 1, 0))),
        IF(Y30="-", 0, IF(Y30&lt;0, -1, IF(Y30&gt;0, 1, 0))),
        IF(Y31="-", 0, IF(Y31&lt;0, -1, IF(Y31&gt;0, 1, 0))),
        IF(Y32="-", 0, IF(Y32&lt;0, -1, IF(Y32&gt;0, 1, 0))),
        IF(Y33="-", 0, IF(Y33&lt;0, -1, IF(Y33&gt;0, 1, 0))),
        IF(Y34="-", 0, IF(Y34&lt;0, -1, IF(Y34&gt;0, 1, 0)))
    ) / 15 &gt; 0.1, "BULLISH",
    IF(SUM(
        IF(Y24="-", 0, IF(Y24&lt;0, -2, IF(Y24&gt;0, 2, 0))),
        IF(Y25="-", 0, IF(Y25&lt;0, -2, IF(Y25&gt;0, 2, 0))),
        IF(Y26="-", 0, IF(Y26&lt;0, -2, IF(Y26&gt;0, 2, 0))),
        IF(Y27="-", 0, IF(Y27&lt;0, -2, IF(Y27&gt;0, 2, 0))),
        IF(Y28="-", 0, IF(Y28&lt;0, -1, IF(Y28&gt;0, 1, 0))),
        IF(Y29="-", 0, IF(Y29&lt;0, -1, IF(Y29&gt;0, 1, 0))),
        IF(Y30="-", 0, IF(Y30&lt;0, -1, IF(Y30&gt;0, 1, 0))),
        IF(Y31="-", 0, IF(Y31&lt;0, -1, IF(Y31&gt;0, 1, 0))),
        IF(Y32="-", 0, IF(Y32&lt;0, -1, IF(Y32&gt;0, 1, 0))),
        IF(Y33="-", 0, IF(Y33&lt;0, -1, IF(Y33&gt;0, 1, 0))),
        IF(Y34="-", 0, IF(Y34&lt;0, -1, IF(Y34&gt;0, 1, 0)))
    ) / 15 &lt; -0.1, "BEARISH",
    IF(SUM(
        IF(Y24="-", 0, IF(Y24&lt;0, -2, IF(Y24&gt;0, 2, 0))),
        IF(Y25="-", 0, IF(Y25&lt;0, -2, IF(Y25&gt;0, 2, 0))),
        IF(Y26="-", 0, IF(Y26&lt;0, -2, IF(Y26&gt;0, 2, 0))),
        IF(Y27="-", 0, IF(Y27&lt;0, -2, IF(Y27&gt;0, 2, 0))),
        IF(Y28="-", 0, IF(Y28&lt;0, -1, IF(Y28&gt;0, 1, 0))),
        IF(Y29="-", 0, IF(Y29&lt;0, -1, IF(Y29&gt;0, 1, 0))),
        IF(Y30="-", 0, IF(Y30&lt;0, -1, IF(Y30&gt;0, 1, 0))),
        IF(Y31="-", 0, IF(Y31&lt;0, -1, IF(Y31&gt;0, 1, 0))),
        IF(Y32="-", 0, IF(Y32&lt;0, -1, IF(Y32&gt;0, 1, 0))),
        IF(Y33="-", 0, IF(Y33&lt;0, -1, IF(Y33&gt;0, 1, 0))),
        IF(Y34="-", 0, IF(Y34&lt;0, -1, IF(Y34&gt;0, 1, 0)))
    ) / 15 &lt; 0.1, "NEUTRO",
    IF(SUM(
        IF(Y24="-", 0, IF(Y24&lt;0, -2, IF(Y24&gt;0, 2, 0))),
        IF(Y25="-", 0, IF(Y25&lt;0, -2, IF(Y25&gt;0, 2, 0))),
        IF(Y26="-", 0, IF(Y26&lt;0, -2, IF(Y26&gt;0, 2, 0))),
        IF(Y27="-", 0, IF(Y27&lt;0, -2, IF(Y27&gt;0, 2, 0))),
        IF(Y28="-", 0, IF(Y28&lt;0, -1, IF(Y28&gt;0, 1, 0))),
        IF(Y29="-", 0, IF(Y29&lt;0, -1, IF(Y29&gt;0, 1, 0))),
        IF(Y30="-", 0, IF(Y30&lt;0, -1, IF(Y30&gt;0, 1, 0))),
        IF(Y31="-", 0, IF(Y31&lt;0, -1, IF(Y31&gt;0, 1, 0))),
        IF(Y32="-", 0, IF(Y32&lt;0, -1, IF(Y32&gt;0, 1, 0))),
        IF(Y33="-", 0, IF(Y33&lt;0, -1, IF(Y33&gt;0, 1, 0))),
        IF(Y34="-", 0, IF(Y34&lt;0, -1, IF(Y34&gt;0, 1, 0)))
    ) / 15 &gt; -0.1, "NEUTRO", "")))))</f>
        <v>NEUTRO</v>
      </c>
      <c r="X23" s="332"/>
      <c r="Y23" s="332"/>
      <c r="Z23" s="320" t="str">
        <f>IF(AND(AB24="-", AB25="-", AB26="-", AB27="-", AB28="-", AB29="-", AB30="-", AB31="-", AB32="-", AB33="-", AB34="-"), "",
    IF(SUM(
        IF(AB24="-", 0, IF(AB24&lt;0, -2, IF(AB24&gt;0, 2, 0))),
        IF(AB25="-", 0, IF(AB25&lt;0, -2, IF(AB25&gt;0, 2, 0))),
        IF(AB26="-", 0, IF(AB26&lt;0, -2, IF(AB26&gt;0, 2, 0))),
        IF(AB27="-", 0, IF(AB27&lt;0, -2, IF(AB27&gt;0, 2, 0))),
        IF(AB28="-", 0, IF(AB28&lt;0, -1, IF(AB28&gt;0, 1, 0))),
        IF(AB29="-", 0, IF(AB29&lt;0, -1, IF(AB29&gt;0, 1, 0))),
        IF(AB30="-", 0, IF(AB30&lt;0, -1, IF(AB30&gt;0, 1, 0))),
        IF(AB31="-", 0, IF(AB31&lt;0, -1, IF(AB31&gt;0, 1, 0))),
        IF(AB32="-", 0, IF(AB32&lt;0, -1, IF(AB32&gt;0, 1, 0))),
        IF(AB33="-", 0, IF(AB33&lt;0, -1, IF(AB33&gt;0, 1, 0))),
        IF(AB34="-", 0, IF(AB34&lt;0, -1, IF(AB34&gt;0, 1, 0)))
    ) / 15 &gt; 0.1, "BULLISH",
    IF(SUM(
        IF(AB24="-", 0, IF(AB24&lt;0, -2, IF(AB24&gt;0, 2, 0))),
        IF(AB25="-", 0, IF(AB25&lt;0, -2, IF(AB25&gt;0, 2, 0))),
        IF(AB26="-", 0, IF(AB26&lt;0, -2, IF(AB26&gt;0, 2, 0))),
        IF(AB27="-", 0, IF(AB27&lt;0, -2, IF(AB27&gt;0, 2, 0))),
        IF(AB28="-", 0, IF(AB28&lt;0, -1, IF(AB28&gt;0, 1, 0))),
        IF(AB29="-", 0, IF(AB29&lt;0, -1, IF(AB29&gt;0, 1, 0))),
        IF(AB30="-", 0, IF(AB30&lt;0, -1, IF(AB30&gt;0, 1, 0))),
        IF(AB31="-", 0, IF(AB31&lt;0, -1, IF(AB31&gt;0, 1, 0))),
        IF(AB32="-", 0, IF(AB32&lt;0, -1, IF(AB32&gt;0, 1, 0))),
        IF(AB33="-", 0, IF(AB33&lt;0, -1, IF(AB33&gt;0, 1, 0))),
        IF(AB34="-", 0, IF(AB34&lt;0, -1, IF(AB34&gt;0, 1, 0)))
    ) / 15 &lt; -0.1, "BEARISH",
    IF(SUM(
        IF(AB24="-", 0, IF(AB24&lt;0, -2, IF(AB24&gt;0, 2, 0))),
        IF(AB25="-", 0, IF(AB25&lt;0, -2, IF(AB25&gt;0, 2, 0))),
        IF(AB26="-", 0, IF(AB26&lt;0, -2, IF(AB26&gt;0, 2, 0))),
        IF(AB27="-", 0, IF(AB27&lt;0, -2, IF(AB27&gt;0, 2, 0))),
        IF(AB28="-", 0, IF(AB28&lt;0, -1, IF(AB28&gt;0, 1, 0))),
        IF(AB29="-", 0, IF(AB29&lt;0, -1, IF(AB29&gt;0, 1, 0))),
        IF(AB30="-", 0, IF(AB30&lt;0, -1, IF(AB30&gt;0, 1, 0))),
        IF(AB31="-", 0, IF(AB31&lt;0, -1, IF(AB31&gt;0, 1, 0))),
        IF(AB32="-", 0, IF(AB32&lt;0, -1, IF(AB32&gt;0, 1, 0))),
        IF(AB33="-", 0, IF(AB33&lt;0, -1, IF(AB33&gt;0, 1, 0))),
        IF(AB34="-", 0, IF(AB34&lt;0, -1, IF(AB34&gt;0, 1, 0)))
    ) / 15 &lt; 0.1, "NEUTRO",
    IF(SUM(
        IF(AB24="-", 0, IF(AB24&lt;0, -2, IF(AB24&gt;0, 2, 0))),
        IF(AB25="-", 0, IF(AB25&lt;0, -2, IF(AB25&gt;0, 2, 0))),
        IF(AB26="-", 0, IF(AB26&lt;0, -2, IF(AB26&gt;0, 2, 0))),
        IF(AB27="-", 0, IF(AB27&lt;0, -2, IF(AB27&gt;0, 2, 0))),
        IF(AB28="-", 0, IF(AB28&lt;0, -1, IF(AB28&gt;0, 1, 0))),
        IF(AB29="-", 0, IF(AB29&lt;0, -1, IF(AB29&gt;0, 1, 0))),
        IF(AB30="-", 0, IF(AB30&lt;0, -1, IF(AB30&gt;0, 1, 0))),
        IF(AB31="-", 0, IF(AB31&lt;0, -1, IF(AB31&gt;0, 1, 0))),
        IF(AB32="-", 0, IF(AB32&lt;0, -1, IF(AB32&gt;0, 1, 0))),
        IF(AB33="-", 0, IF(AB33&lt;0, -1, IF(AB33&gt;0, 1, 0))),
        IF(AB34="-", 0, IF(AB34&lt;0, -1, IF(AB34&gt;0, 1, 0)))
    ) / 15 &gt; -0.1, "NEUTRO", "")))))</f>
        <v>BULLISH</v>
      </c>
      <c r="AA23" s="321"/>
      <c r="AB23" s="319"/>
      <c r="AC23" s="320" t="str">
        <f>IF(AND(AE24="-", AE25="-", AE26="-", AE27="-", AE28="-", AE29="-", AE30="-", AE31="-", AE32="-", AE33="-", AE34="-"), "",
    IF(SUM(
        IF(AE24="-", 0, IF(AE24&lt;0, -2, IF(AE24&gt;0, 2, 0))),
        IF(AE25="-", 0, IF(AE25&lt;0, -2, IF(AE25&gt;0, 2, 0))),
        IF(AE26="-", 0, IF(AE26&lt;0, -2, IF(AE26&gt;0, 2, 0))),
        IF(AE27="-", 0, IF(AE27&lt;0, -2, IF(AE27&gt;0, 2, 0))),
        IF(AE28="-", 0, IF(AE28&lt;0, -1, IF(AE28&gt;0, 1, 0))),
        IF(AE29="-", 0, IF(AE29&lt;0, -1, IF(AE29&gt;0, 1, 0))),
        IF(AE30="-", 0, IF(AE30&lt;0, -1, IF(AE30&gt;0, 1, 0))),
        IF(AE31="-", 0, IF(AE31&lt;0, -1, IF(AE31&gt;0, 1, 0))),
        IF(AE32="-", 0, IF(AE32&lt;0, -1, IF(AE32&gt;0, 1, 0))),
        IF(AE33="-", 0, IF(AE33&lt;0, -1, IF(AE33&gt;0, 1, 0))),
        IF(AE34="-", 0, IF(AE34&lt;0, -1, IF(AE34&gt;0, 1, 0)))
    ) / 15 &gt; 0.1, "BULLISH",
    IF(SUM(
        IF(AE24="-", 0, IF(AE24&lt;0, -2, IF(AE24&gt;0, 2, 0))),
        IF(AE25="-", 0, IF(AE25&lt;0, -2, IF(AE25&gt;0, 2, 0))),
        IF(AE26="-", 0, IF(AE26&lt;0, -2, IF(AE26&gt;0, 2, 0))),
        IF(AE27="-", 0, IF(AE27&lt;0, -2, IF(AE27&gt;0, 2, 0))),
        IF(AE28="-", 0, IF(AE28&lt;0, -1, IF(AE28&gt;0, 1, 0))),
        IF(AE29="-", 0, IF(AE29&lt;0, -1, IF(AE29&gt;0, 1, 0))),
        IF(AE30="-", 0, IF(AE30&lt;0, -1, IF(AE30&gt;0, 1, 0))),
        IF(AE31="-", 0, IF(AE31&lt;0, -1, IF(AE31&gt;0, 1, 0))),
        IF(AE32="-", 0, IF(AE32&lt;0, -1, IF(AE32&gt;0, 1, 0))),
        IF(AE33="-", 0, IF(AE33&lt;0, -1, IF(AE33&gt;0, 1, 0))),
        IF(AE34="-", 0, IF(AE34&lt;0, -1, IF(AE34&gt;0, 1, 0)))
    ) / 15 &lt; -0.1, "BEARISH",
    IF(SUM(
        IF(AE24="-", 0, IF(AE24&lt;0, -2, IF(AE24&gt;0, 2, 0))),
        IF(AE25="-", 0, IF(AE25&lt;0, -2, IF(AE25&gt;0, 2, 0))),
        IF(AE26="-", 0, IF(AE26&lt;0, -2, IF(AE26&gt;0, 2, 0))),
        IF(AE27="-", 0, IF(AE27&lt;0, -2, IF(AE27&gt;0, 2, 0))),
        IF(AE28="-", 0, IF(AE28&lt;0, -1, IF(AE28&gt;0, 1, 0))),
        IF(AE29="-", 0, IF(AE29&lt;0, -1, IF(AE29&gt;0, 1, 0))),
        IF(AE30="-", 0, IF(AE30&lt;0, -1, IF(AE30&gt;0, 1, 0))),
        IF(AE31="-", 0, IF(AE31&lt;0, -1, IF(AE31&gt;0, 1, 0))),
        IF(AE32="-", 0, IF(AE32&lt;0, -1, IF(AE32&gt;0, 1, 0))),
        IF(AE33="-", 0, IF(AE33&lt;0, -1, IF(AE33&gt;0, 1, 0))),
        IF(AE34="-", 0, IF(AE34&lt;0, -1, IF(AE34&gt;0, 1, 0)))
    ) / 15 &lt; 0.1, "NEUTRO",
    IF(SUM(
        IF(AE24="-", 0, IF(AE24&lt;0, -2, IF(AE24&gt;0, 2, 0))),
        IF(AE25="-", 0, IF(AE25&lt;0, -2, IF(AE25&gt;0, 2, 0))),
        IF(AE26="-", 0, IF(AE26&lt;0, -2, IF(AE26&gt;0, 2, 0))),
        IF(AE27="-", 0, IF(AE27&lt;0, -2, IF(AE27&gt;0, 2, 0))),
        IF(AE28="-", 0, IF(AE28&lt;0, -1, IF(AE28&gt;0, 1, 0))),
        IF(AE29="-", 0, IF(AE29&lt;0, -1, IF(AE29&gt;0, 1, 0))),
        IF(AE30="-", 0, IF(AE30&lt;0, -1, IF(AE30&gt;0, 1, 0))),
        IF(AE31="-", 0, IF(AE31&lt;0, -1, IF(AE31&gt;0, 1, 0))),
        IF(AE32="-", 0, IF(AE32&lt;0, -1, IF(AE32&gt;0, 1, 0))),
        IF(AE33="-", 0, IF(AE33&lt;0, -1, IF(AE33&gt;0, 1, 0))),
        IF(AE34="-", 0, IF(AE34&lt;0, -1, IF(AE34&gt;0, 1, 0)))
    ) / 15 &gt; -0.1, "NEUTRO", "")))))</f>
        <v>BEARISH</v>
      </c>
      <c r="AD23" s="321"/>
      <c r="AE23" s="319"/>
      <c r="AF23" s="320" t="str">
        <f>IF(AND(AH24="-", AH25="-", AH26="-", AH27="-", AH28="-", AH29="-", AH30="-", AH31="-", AH32="-", AH33="-", AH34="-"), "",
    IF(SUM(
        IF(AH24="-", 0, IF(AH24&lt;0, -2, IF(AH24&gt;0, 2, 0))),
        IF(AH25="-", 0, IF(AH25&lt;0, -2, IF(AH25&gt;0, 2, 0))),
        IF(AH26="-", 0, IF(AH26&lt;0, -2, IF(AH26&gt;0, 2, 0))),
        IF(AH27="-", 0, IF(AH27&lt;0, -2, IF(AH27&gt;0, 2, 0))),
        IF(AH28="-", 0, IF(AH28&lt;0, -1, IF(AH28&gt;0, 1, 0))),
        IF(AH29="-", 0, IF(AH29&lt;0, -1, IF(AH29&gt;0, 1, 0))),
        IF(AH30="-", 0, IF(AH30&lt;0, -1, IF(AH30&gt;0, 1, 0))),
        IF(AH31="-", 0, IF(AH31&lt;0, -1, IF(AH31&gt;0, 1, 0))),
        IF(AH32="-", 0, IF(AH32&lt;0, -1, IF(AH32&gt;0, 1, 0))),
        IF(AH33="-", 0, IF(AH33&lt;0, -1, IF(AH33&gt;0, 1, 0))),
        IF(AH34="-", 0, IF(AH34&lt;0, -1, IF(AH34&gt;0, 1, 0)))
    ) / 15 &gt; 0.1, "BULLISH",
    IF(SUM(
        IF(AH24="-", 0, IF(AH24&lt;0, -2, IF(AH24&gt;0, 2, 0))),
        IF(AH25="-", 0, IF(AH25&lt;0, -2, IF(AH25&gt;0, 2, 0))),
        IF(AH26="-", 0, IF(AH26&lt;0, -2, IF(AH26&gt;0, 2, 0))),
        IF(AH27="-", 0, IF(AH27&lt;0, -2, IF(AH27&gt;0, 2, 0))),
        IF(AH28="-", 0, IF(AH28&lt;0, -1, IF(AH28&gt;0, 1, 0))),
        IF(AH29="-", 0, IF(AH29&lt;0, -1, IF(AH29&gt;0, 1, 0))),
        IF(AH30="-", 0, IF(AH30&lt;0, -1, IF(AH30&gt;0, 1, 0))),
        IF(AH31="-", 0, IF(AH31&lt;0, -1, IF(AH31&gt;0, 1, 0))),
        IF(AH32="-", 0, IF(AH32&lt;0, -1, IF(AH32&gt;0, 1, 0))),
        IF(AH33="-", 0, IF(AH33&lt;0, -1, IF(AH33&gt;0, 1, 0))),
        IF(AH34="-", 0, IF(AH34&lt;0, -1, IF(AH34&gt;0, 1, 0)))
    ) / 15 &lt; -0.1, "BEARISH",
    IF(SUM(
        IF(AH24="-", 0, IF(AH24&lt;0, -2, IF(AH24&gt;0, 2, 0))),
        IF(AH25="-", 0, IF(AH25&lt;0, -2, IF(AH25&gt;0, 2, 0))),
        IF(AH26="-", 0, IF(AH26&lt;0, -2, IF(AH26&gt;0, 2, 0))),
        IF(AH27="-", 0, IF(AH27&lt;0, -2, IF(AH27&gt;0, 2, 0))),
        IF(AH28="-", 0, IF(AH28&lt;0, -1, IF(AH28&gt;0, 1, 0))),
        IF(AH29="-", 0, IF(AH29&lt;0, -1, IF(AH29&gt;0, 1, 0))),
        IF(AH30="-", 0, IF(AH30&lt;0, -1, IF(AH30&gt;0, 1, 0))),
        IF(AH31="-", 0, IF(AH31&lt;0, -1, IF(AH31&gt;0, 1, 0))),
        IF(AH32="-", 0, IF(AH32&lt;0, -1, IF(AH32&gt;0, 1, 0))),
        IF(AH33="-", 0, IF(AH33&lt;0, -1, IF(AH33&gt;0, 1, 0))),
        IF(AH34="-", 0, IF(AH34&lt;0, -1, IF(AH34&gt;0, 1, 0)))
    ) / 15 &lt; 0.1, "NEUTRO",
    IF(SUM(
        IF(AH24="-", 0, IF(AH24&lt;0, -2, IF(AH24&gt;0, 2, 0))),
        IF(AH25="-", 0, IF(AH25&lt;0, -2, IF(AH25&gt;0, 2, 0))),
        IF(AH26="-", 0, IF(AH26&lt;0, -2, IF(AH26&gt;0, 2, 0))),
        IF(AH27="-", 0, IF(AH27&lt;0, -2, IF(AH27&gt;0, 2, 0))),
        IF(AH28="-", 0, IF(AH28&lt;0, -1, IF(AH28&gt;0, 1, 0))),
        IF(AH29="-", 0, IF(AH29&lt;0, -1, IF(AH29&gt;0, 1, 0))),
        IF(AH30="-", 0, IF(AH30&lt;0, -1, IF(AH30&gt;0, 1, 0))),
        IF(AH31="-", 0, IF(AH31&lt;0, -1, IF(AH31&gt;0, 1, 0))),
        IF(AH32="-", 0, IF(AH32&lt;0, -1, IF(AH32&gt;0, 1, 0))),
        IF(AH33="-", 0, IF(AH33&lt;0, -1, IF(AH33&gt;0, 1, 0))),
        IF(AH34="-", 0, IF(AH34&lt;0, -1, IF(AH34&gt;0, 1, 0)))
    ) / 15 &gt; -0.1, "NEUTRO", "")))))</f>
        <v>BEARISH</v>
      </c>
      <c r="AG23" s="321"/>
      <c r="AH23" s="319"/>
      <c r="AI23" s="320" t="str">
        <f>IF(AND(AK24="-", AK25="-", AK26="-", AK27="-", AK28="-", AK29="-", AK30="-", AK31="-", AK32="-", AK33="-", AK34="-"), "",
    IF(SUM(
        IF(AK24="-", 0, IF(AK24&lt;0, -2, IF(AK24&gt;0, 2, 0))),
        IF(AK25="-", 0, IF(AK25&lt;0, -2, IF(AK25&gt;0, 2, 0))),
        IF(AK26="-", 0, IF(AK26&lt;0, -2, IF(AK26&gt;0, 2, 0))),
        IF(AK27="-", 0, IF(AK27&lt;0, -2, IF(AK27&gt;0, 2, 0))),
        IF(AK28="-", 0, IF(AK28&lt;0, -1, IF(AK28&gt;0, 1, 0))),
        IF(AK29="-", 0, IF(AK29&lt;0, -1, IF(AK29&gt;0, 1, 0))),
        IF(AK30="-", 0, IF(AK30&lt;0, -1, IF(AK30&gt;0, 1, 0))),
        IF(AK31="-", 0, IF(AK31&lt;0, -1, IF(AK31&gt;0, 1, 0))),
        IF(AK32="-", 0, IF(AK32&lt;0, -1, IF(AK32&gt;0, 1, 0))),
        IF(AK33="-", 0, IF(AK33&lt;0, -1, IF(AK33&gt;0, 1, 0))),
        IF(AK34="-", 0, IF(AK34&lt;0, -1, IF(AK34&gt;0, 1, 0)))
    ) / 15 &gt; 0.1, "BULLISH",
    IF(SUM(
        IF(AK24="-", 0, IF(AK24&lt;0, -2, IF(AK24&gt;0, 2, 0))),
        IF(AK25="-", 0, IF(AK25&lt;0, -2, IF(AK25&gt;0, 2, 0))),
        IF(AK26="-", 0, IF(AK26&lt;0, -2, IF(AK26&gt;0, 2, 0))),
        IF(AK27="-", 0, IF(AK27&lt;0, -2, IF(AK27&gt;0, 2, 0))),
        IF(AK28="-", 0, IF(AK28&lt;0, -1, IF(AK28&gt;0, 1, 0))),
        IF(AK29="-", 0, IF(AK29&lt;0, -1, IF(AK29&gt;0, 1, 0))),
        IF(AK30="-", 0, IF(AK30&lt;0, -1, IF(AK30&gt;0, 1, 0))),
        IF(AK31="-", 0, IF(AK31&lt;0, -1, IF(AK31&gt;0, 1, 0))),
        IF(AK32="-", 0, IF(AK32&lt;0, -1, IF(AK32&gt;0, 1, 0))),
        IF(AK33="-", 0, IF(AK33&lt;0, -1, IF(AK33&gt;0, 1, 0))),
        IF(AK34="-", 0, IF(AK34&lt;0, -1, IF(AK34&gt;0, 1, 0)))
    ) / 15 &lt; -0.1, "BEARISH",
    IF(SUM(
        IF(AK24="-", 0, IF(AK24&lt;0, -2, IF(AK24&gt;0, 2, 0))),
        IF(AK25="-", 0, IF(AK25&lt;0, -2, IF(AK25&gt;0, 2, 0))),
        IF(AK26="-", 0, IF(AK26&lt;0, -2, IF(AK26&gt;0, 2, 0))),
        IF(AK27="-", 0, IF(AK27&lt;0, -2, IF(AK27&gt;0, 2, 0))),
        IF(AK28="-", 0, IF(AK28&lt;0, -1, IF(AK28&gt;0, 1, 0))),
        IF(AK29="-", 0, IF(AK29&lt;0, -1, IF(AK29&gt;0, 1, 0))),
        IF(AK30="-", 0, IF(AK30&lt;0, -1, IF(AK30&gt;0, 1, 0))),
        IF(AK31="-", 0, IF(AK31&lt;0, -1, IF(AK31&gt;0, 1, 0))),
        IF(AK32="-", 0, IF(AK32&lt;0, -1, IF(AK32&gt;0, 1, 0))),
        IF(AK33="-", 0, IF(AK33&lt;0, -1, IF(AK33&gt;0, 1, 0))),
        IF(AK34="-", 0, IF(AK34&lt;0, -1, IF(AK34&gt;0, 1, 0)))
    ) / 15 &lt; 0.1, "NEUTRO",
    IF(SUM(
        IF(AK24="-", 0, IF(AK24&lt;0, -2, IF(AK24&gt;0, 2, 0))),
        IF(AK25="-", 0, IF(AK25&lt;0, -2, IF(AK25&gt;0, 2, 0))),
        IF(AK26="-", 0, IF(AK26&lt;0, -2, IF(AK26&gt;0, 2, 0))),
        IF(AK27="-", 0, IF(AK27&lt;0, -2, IF(AK27&gt;0, 2, 0))),
        IF(AK28="-", 0, IF(AK28&lt;0, -1, IF(AK28&gt;0, 1, 0))),
        IF(AK29="-", 0, IF(AK29&lt;0, -1, IF(AK29&gt;0, 1, 0))),
        IF(AK30="-", 0, IF(AK30&lt;0, -1, IF(AK30&gt;0, 1, 0))),
        IF(AK31="-", 0, IF(AK31&lt;0, -1, IF(AK31&gt;0, 1, 0))),
        IF(AK32="-", 0, IF(AK32&lt;0, -1, IF(AK32&gt;0, 1, 0))),
        IF(AK33="-", 0, IF(AK33&lt;0, -1, IF(AK33&gt;0, 1, 0))),
        IF(AK34="-", 0, IF(AK34&lt;0, -1, IF(AK34&gt;0, 1, 0)))
    ) / 15 &gt; -0.1, "NEUTRO", "")))))</f>
        <v>BULLISH</v>
      </c>
      <c r="AJ23" s="321"/>
      <c r="AK23" s="319"/>
      <c r="AL23" s="320" t="str">
        <f>IF(AND(AN24="-", AN25="-", AN26="-", AN27="-", AN28="-", AN29="-", AN30="-", AN31="-", AN32="-", AN33="-", AN34="-"), "",
    IF(SUM(
        IF(AN24="-", 0, IF(AN24&lt;0, -2, IF(AN24&gt;0, 2, 0))),
        IF(AN25="-", 0, IF(AN25&lt;0, -2, IF(AN25&gt;0, 2, 0))),
        IF(AN26="-", 0, IF(AN26&lt;0, -2, IF(AN26&gt;0, 2, 0))),
        IF(AN27="-", 0, IF(AN27&lt;0, -2, IF(AN27&gt;0, 2, 0))),
        IF(AN28="-", 0, IF(AN28&lt;0, -1, IF(AN28&gt;0, 1, 0))),
        IF(AN29="-", 0, IF(AN29&lt;0, -1, IF(AN29&gt;0, 1, 0))),
        IF(AN30="-", 0, IF(AN30&lt;0, -1, IF(AN30&gt;0, 1, 0))),
        IF(AN31="-", 0, IF(AN31&lt;0, -1, IF(AN31&gt;0, 1, 0))),
        IF(AN32="-", 0, IF(AN32&lt;0, -1, IF(AN32&gt;0, 1, 0))),
        IF(AN33="-", 0, IF(AN33&lt;0, -1, IF(AN33&gt;0, 1, 0))),
        IF(AN34="-", 0, IF(AN34&lt;0, -1, IF(AN34&gt;0, 1, 0)))
    ) / 15 &gt; 0.1, "BULLISH",
    IF(SUM(
        IF(AN24="-", 0, IF(AN24&lt;0, -2, IF(AN24&gt;0, 2, 0))),
        IF(AN25="-", 0, IF(AN25&lt;0, -2, IF(AN25&gt;0, 2, 0))),
        IF(AN26="-", 0, IF(AN26&lt;0, -2, IF(AN26&gt;0, 2, 0))),
        IF(AN27="-", 0, IF(AN27&lt;0, -2, IF(AN27&gt;0, 2, 0))),
        IF(AN28="-", 0, IF(AN28&lt;0, -1, IF(AN28&gt;0, 1, 0))),
        IF(AN29="-", 0, IF(AN29&lt;0, -1, IF(AN29&gt;0, 1, 0))),
        IF(AN30="-", 0, IF(AN30&lt;0, -1, IF(AN30&gt;0, 1, 0))),
        IF(AN31="-", 0, IF(AN31&lt;0, -1, IF(AN31&gt;0, 1, 0))),
        IF(AN32="-", 0, IF(AN32&lt;0, -1, IF(AN32&gt;0, 1, 0))),
        IF(AN33="-", 0, IF(AN33&lt;0, -1, IF(AN33&gt;0, 1, 0))),
        IF(AN34="-", 0, IF(AN34&lt;0, -1, IF(AN34&gt;0, 1, 0)))
    ) / 15 &lt; -0.1, "BEARISH",
    IF(SUM(
        IF(AN24="-", 0, IF(AN24&lt;0, -2, IF(AN24&gt;0, 2, 0))),
        IF(AN25="-", 0, IF(AN25&lt;0, -2, IF(AN25&gt;0, 2, 0))),
        IF(AN26="-", 0, IF(AN26&lt;0, -2, IF(AN26&gt;0, 2, 0))),
        IF(AN27="-", 0, IF(AN27&lt;0, -2, IF(AN27&gt;0, 2, 0))),
        IF(AN28="-", 0, IF(AN28&lt;0, -1, IF(AN28&gt;0, 1, 0))),
        IF(AN29="-", 0, IF(AN29&lt;0, -1, IF(AN29&gt;0, 1, 0))),
        IF(AN30="-", 0, IF(AN30&lt;0, -1, IF(AN30&gt;0, 1, 0))),
        IF(AN31="-", 0, IF(AN31&lt;0, -1, IF(AN31&gt;0, 1, 0))),
        IF(AN32="-", 0, IF(AN32&lt;0, -1, IF(AN32&gt;0, 1, 0))),
        IF(AN33="-", 0, IF(AN33&lt;0, -1, IF(AN33&gt;0, 1, 0))),
        IF(AN34="-", 0, IF(AN34&lt;0, -1, IF(AN34&gt;0, 1, 0)))
    ) / 15 &lt; 0.1, "NEUTRO",
    IF(SUM(
        IF(AN24="-", 0, IF(AN24&lt;0, -2, IF(AN24&gt;0, 2, 0))),
        IF(AN25="-", 0, IF(AN25&lt;0, -2, IF(AN25&gt;0, 2, 0))),
        IF(AN26="-", 0, IF(AN26&lt;0, -2, IF(AN26&gt;0, 2, 0))),
        IF(AN27="-", 0, IF(AN27&lt;0, -2, IF(AN27&gt;0, 2, 0))),
        IF(AN28="-", 0, IF(AN28&lt;0, -1, IF(AN28&gt;0, 1, 0))),
        IF(AN29="-", 0, IF(AN29&lt;0, -1, IF(AN29&gt;0, 1, 0))),
        IF(AN30="-", 0, IF(AN30&lt;0, -1, IF(AN30&gt;0, 1, 0))),
        IF(AN31="-", 0, IF(AN31&lt;0, -1, IF(AN31&gt;0, 1, 0))),
        IF(AN32="-", 0, IF(AN32&lt;0, -1, IF(AN32&gt;0, 1, 0))),
        IF(AN33="-", 0, IF(AN33&lt;0, -1, IF(AN33&gt;0, 1, 0))),
        IF(AN34="-", 0, IF(AN34&lt;0, -1, IF(AN34&gt;0, 1, 0)))
    ) / 15 &gt; -0.1, "NEUTRO", "")))))</f>
        <v>BEARISH</v>
      </c>
      <c r="AM23" s="321"/>
      <c r="AN23" s="319"/>
      <c r="AO23" s="320" t="str">
        <f>IF(AND(AQ24="-", AQ25="-", AQ26="-", AQ27="-", AQ28="-", AQ29="-", AQ30="-", AQ31="-", AQ32="-", AQ33="-", AQ34="-"), "",
    IF(SUM(
        IF(AQ24="-", 0, IF(AQ24&lt;0, -2, IF(AQ24&gt;0, 2, 0))),
        IF(AQ25="-", 0, IF(AQ25&lt;0, -2, IF(AQ25&gt;0, 2, 0))),
        IF(AQ26="-", 0, IF(AQ26&lt;0, -2, IF(AQ26&gt;0, 2, 0))),
        IF(AQ27="-", 0, IF(AQ27&lt;0, -2, IF(AQ27&gt;0, 2, 0))),
        IF(AQ28="-", 0, IF(AQ28&lt;0, -1, IF(AQ28&gt;0, 1, 0))),
        IF(AQ29="-", 0, IF(AQ29&lt;0, -1, IF(AQ29&gt;0, 1, 0))),
        IF(AQ30="-", 0, IF(AQ30&lt;0, -1, IF(AQ30&gt;0, 1, 0))),
        IF(AQ31="-", 0, IF(AQ31&lt;0, -1, IF(AQ31&gt;0, 1, 0))),
        IF(AQ32="-", 0, IF(AQ32&lt;0, -1, IF(AQ32&gt;0, 1, 0))),
        IF(AQ33="-", 0, IF(AQ33&lt;0, -1, IF(AQ33&gt;0, 1, 0))),
        IF(AQ34="-", 0, IF(AQ34&lt;0, -1, IF(AQ34&gt;0, 1, 0)))
    ) / 15 &gt; 0.1, "BULLISH",
    IF(SUM(
        IF(AQ24="-", 0, IF(AQ24&lt;0, -2, IF(AQ24&gt;0, 2, 0))),
        IF(AQ25="-", 0, IF(AQ25&lt;0, -2, IF(AQ25&gt;0, 2, 0))),
        IF(AQ26="-", 0, IF(AQ26&lt;0, -2, IF(AQ26&gt;0, 2, 0))),
        IF(AQ27="-", 0, IF(AQ27&lt;0, -2, IF(AQ27&gt;0, 2, 0))),
        IF(AQ28="-", 0, IF(AQ28&lt;0, -1, IF(AQ28&gt;0, 1, 0))),
        IF(AQ29="-", 0, IF(AQ29&lt;0, -1, IF(AQ29&gt;0, 1, 0))),
        IF(AQ30="-", 0, IF(AQ30&lt;0, -1, IF(AQ30&gt;0, 1, 0))),
        IF(AQ31="-", 0, IF(AQ31&lt;0, -1, IF(AQ31&gt;0, 1, 0))),
        IF(AQ32="-", 0, IF(AQ32&lt;0, -1, IF(AQ32&gt;0, 1, 0))),
        IF(AQ33="-", 0, IF(AQ33&lt;0, -1, IF(AQ33&gt;0, 1, 0))),
        IF(AQ34="-", 0, IF(AQ34&lt;0, -1, IF(AQ34&gt;0, 1, 0)))
    ) / 15 &lt; -0.1, "BEARISH",
    IF(SUM(
        IF(AQ24="-", 0, IF(AQ24&lt;0, -2, IF(AQ24&gt;0, 2, 0))),
        IF(AQ25="-", 0, IF(AQ25&lt;0, -2, IF(AQ25&gt;0, 2, 0))),
        IF(AQ26="-", 0, IF(AQ26&lt;0, -2, IF(AQ26&gt;0, 2, 0))),
        IF(AQ27="-", 0, IF(AQ27&lt;0, -2, IF(AQ27&gt;0, 2, 0))),
        IF(AQ28="-", 0, IF(AQ28&lt;0, -1, IF(AQ28&gt;0, 1, 0))),
        IF(AQ29="-", 0, IF(AQ29&lt;0, -1, IF(AQ29&gt;0, 1, 0))),
        IF(AQ30="-", 0, IF(AQ30&lt;0, -1, IF(AQ30&gt;0, 1, 0))),
        IF(AQ31="-", 0, IF(AQ31&lt;0, -1, IF(AQ31&gt;0, 1, 0))),
        IF(AQ32="-", 0, IF(AQ32&lt;0, -1, IF(AQ32&gt;0, 1, 0))),
        IF(AQ33="-", 0, IF(AQ33&lt;0, -1, IF(AQ33&gt;0, 1, 0))),
        IF(AQ34="-", 0, IF(AQ34&lt;0, -1, IF(AQ34&gt;0, 1, 0)))
    ) / 15 &lt; 0.1, "NEUTRO",
    IF(SUM(
        IF(AQ24="-", 0, IF(AQ24&lt;0, -2, IF(AQ24&gt;0, 2, 0))),
        IF(AQ25="-", 0, IF(AQ25&lt;0, -2, IF(AQ25&gt;0, 2, 0))),
        IF(AQ26="-", 0, IF(AQ26&lt;0, -2, IF(AQ26&gt;0, 2, 0))),
        IF(AQ27="-", 0, IF(AQ27&lt;0, -2, IF(AQ27&gt;0, 2, 0))),
        IF(AQ28="-", 0, IF(AQ28&lt;0, -1, IF(AQ28&gt;0, 1, 0))),
        IF(AQ29="-", 0, IF(AQ29&lt;0, -1, IF(AQ29&gt;0, 1, 0))),
        IF(AQ30="-", 0, IF(AQ30&lt;0, -1, IF(AQ30&gt;0, 1, 0))),
        IF(AQ31="-", 0, IF(AQ31&lt;0, -1, IF(AQ31&gt;0, 1, 0))),
        IF(AQ32="-", 0, IF(AQ32&lt;0, -1, IF(AQ32&gt;0, 1, 0))),
        IF(AQ33="-", 0, IF(AQ33&lt;0, -1, IF(AQ33&gt;0, 1, 0))),
        IF(AQ34="-", 0, IF(AQ34&lt;0, -1, IF(AQ34&gt;0, 1, 0)))
    ) / 15 &gt; -0.1, "NEUTRO", "")))))</f>
        <v>NEUTRO</v>
      </c>
      <c r="AP23" s="321"/>
      <c r="AQ23" s="319"/>
      <c r="AR23" s="320" t="str">
        <f>IF(AND(AT24="-", AT25="-", AT26="-", AT27="-", AT28="-", AT29="-", AT30="-", AT31="-", AT32="-", AT33="-", AT34="-"), "",
    IF(SUM(
        IF(AT24="-", 0, IF(AT24&lt;0, -2, IF(AT24&gt;0, 2, 0))),
        IF(AT25="-", 0, IF(AT25&lt;0, -2, IF(AT25&gt;0, 2, 0))),
        IF(AT26="-", 0, IF(AT26&lt;0, -2, IF(AT26&gt;0, 2, 0))),
        IF(AT27="-", 0, IF(AT27&lt;0, -2, IF(AT27&gt;0, 2, 0))),
        IF(AT28="-", 0, IF(AT28&lt;0, -1, IF(AT28&gt;0, 1, 0))),
        IF(AT29="-", 0, IF(AT29&lt;0, -1, IF(AT29&gt;0, 1, 0))),
        IF(AT30="-", 0, IF(AT30&lt;0, -1, IF(AT30&gt;0, 1, 0))),
        IF(AT31="-", 0, IF(AT31&lt;0, -1, IF(AT31&gt;0, 1, 0))),
        IF(AT32="-", 0, IF(AT32&lt;0, -1, IF(AT32&gt;0, 1, 0))),
        IF(AT33="-", 0, IF(AT33&lt;0, -1, IF(AT33&gt;0, 1, 0))),
        IF(AT34="-", 0, IF(AT34&lt;0, -1, IF(AT34&gt;0, 1, 0)))
    ) / 15 &gt; 0.1, "BULLISH",
    IF(SUM(
        IF(AT24="-", 0, IF(AT24&lt;0, -2, IF(AT24&gt;0, 2, 0))),
        IF(AT25="-", 0, IF(AT25&lt;0, -2, IF(AT25&gt;0, 2, 0))),
        IF(AT26="-", 0, IF(AT26&lt;0, -2, IF(AT26&gt;0, 2, 0))),
        IF(AT27="-", 0, IF(AT27&lt;0, -2, IF(AT27&gt;0, 2, 0))),
        IF(AT28="-", 0, IF(AT28&lt;0, -1, IF(AT28&gt;0, 1, 0))),
        IF(AT29="-", 0, IF(AT29&lt;0, -1, IF(AT29&gt;0, 1, 0))),
        IF(AT30="-", 0, IF(AT30&lt;0, -1, IF(AT30&gt;0, 1, 0))),
        IF(AT31="-", 0, IF(AT31&lt;0, -1, IF(AT31&gt;0, 1, 0))),
        IF(AT32="-", 0, IF(AT32&lt;0, -1, IF(AT32&gt;0, 1, 0))),
        IF(AT33="-", 0, IF(AT33&lt;0, -1, IF(AT33&gt;0, 1, 0))),
        IF(AT34="-", 0, IF(AT34&lt;0, -1, IF(AT34&gt;0, 1, 0)))
    ) / 15 &lt; -0.1, "BEARISH",
    IF(SUM(
        IF(AT24="-", 0, IF(AT24&lt;0, -2, IF(AT24&gt;0, 2, 0))),
        IF(AT25="-", 0, IF(AT25&lt;0, -2, IF(AT25&gt;0, 2, 0))),
        IF(AT26="-", 0, IF(AT26&lt;0, -2, IF(AT26&gt;0, 2, 0))),
        IF(AT27="-", 0, IF(AT27&lt;0, -2, IF(AT27&gt;0, 2, 0))),
        IF(AT28="-", 0, IF(AT28&lt;0, -1, IF(AT28&gt;0, 1, 0))),
        IF(AT29="-", 0, IF(AT29&lt;0, -1, IF(AT29&gt;0, 1, 0))),
        IF(AT30="-", 0, IF(AT30&lt;0, -1, IF(AT30&gt;0, 1, 0))),
        IF(AT31="-", 0, IF(AT31&lt;0, -1, IF(AT31&gt;0, 1, 0))),
        IF(AT32="-", 0, IF(AT32&lt;0, -1, IF(AT32&gt;0, 1, 0))),
        IF(AT33="-", 0, IF(AT33&lt;0, -1, IF(AT33&gt;0, 1, 0))),
        IF(AT34="-", 0, IF(AT34&lt;0, -1, IF(AT34&gt;0, 1, 0)))
    ) / 15 &lt; 0.1, "NEUTRO",
    IF(SUM(
        IF(AT24="-", 0, IF(AT24&lt;0, -2, IF(AT24&gt;0, 2, 0))),
        IF(AT25="-", 0, IF(AT25&lt;0, -2, IF(AT25&gt;0, 2, 0))),
        IF(AT26="-", 0, IF(AT26&lt;0, -2, IF(AT26&gt;0, 2, 0))),
        IF(AT27="-", 0, IF(AT27&lt;0, -2, IF(AT27&gt;0, 2, 0))),
        IF(AT28="-", 0, IF(AT28&lt;0, -1, IF(AT28&gt;0, 1, 0))),
        IF(AT29="-", 0, IF(AT29&lt;0, -1, IF(AT29&gt;0, 1, 0))),
        IF(AT30="-", 0, IF(AT30&lt;0, -1, IF(AT30&gt;0, 1, 0))),
        IF(AT31="-", 0, IF(AT31&lt;0, -1, IF(AT31&gt;0, 1, 0))),
        IF(AT32="-", 0, IF(AT32&lt;0, -1, IF(AT32&gt;0, 1, 0))),
        IF(AT33="-", 0, IF(AT33&lt;0, -1, IF(AT33&gt;0, 1, 0))),
        IF(AT34="-", 0, IF(AT34&lt;0, -1, IF(AT34&gt;0, 1, 0)))
    ) / 15 &gt; -0.1, "NEUTRO", "")))))</f>
        <v>BEARISH</v>
      </c>
      <c r="AS23" s="321"/>
      <c r="AT23" s="319"/>
      <c r="AU23" s="320" t="str">
        <f>IF(AND(AW24="-", AW25="-", AW26="-", AW27="-", AW28="-", AW29="-", AW30="-", AW31="-", AW32="-", AW33="-", AW34="-"), "",
    IF(SUM(
        IF(AW24="-", 0, IF(AW24&lt;0, -2, IF(AW24&gt;0, 2, 0))),
        IF(AW25="-", 0, IF(AW25&lt;0, -2, IF(AW25&gt;0, 2, 0))),
        IF(AW26="-", 0, IF(AW26&lt;0, -2, IF(AW26&gt;0, 2, 0))),
        IF(AW27="-", 0, IF(AW27&lt;0, -2, IF(AW27&gt;0, 2, 0))),
        IF(AW28="-", 0, IF(AW28&lt;0, -1, IF(AW28&gt;0, 1, 0))),
        IF(AW29="-", 0, IF(AW29&lt;0, -1, IF(AW29&gt;0, 1, 0))),
        IF(AW30="-", 0, IF(AW30&lt;0, -1, IF(AW30&gt;0, 1, 0))),
        IF(AW31="-", 0, IF(AW31&lt;0, -1, IF(AW31&gt;0, 1, 0))),
        IF(AW32="-", 0, IF(AW32&lt;0, -1, IF(AW32&gt;0, 1, 0))),
        IF(AW33="-", 0, IF(AW33&lt;0, -1, IF(AW33&gt;0, 1, 0))),
        IF(AW34="-", 0, IF(AW34&lt;0, -1, IF(AW34&gt;0, 1, 0)))
    ) / 15 &gt; 0.1, "BULLISH",
    IF(SUM(
        IF(AW24="-", 0, IF(AW24&lt;0, -2, IF(AW24&gt;0, 2, 0))),
        IF(AW25="-", 0, IF(AW25&lt;0, -2, IF(AW25&gt;0, 2, 0))),
        IF(AW26="-", 0, IF(AW26&lt;0, -2, IF(AW26&gt;0, 2, 0))),
        IF(AW27="-", 0, IF(AW27&lt;0, -2, IF(AW27&gt;0, 2, 0))),
        IF(AW28="-", 0, IF(AW28&lt;0, -1, IF(AW28&gt;0, 1, 0))),
        IF(AW29="-", 0, IF(AW29&lt;0, -1, IF(AW29&gt;0, 1, 0))),
        IF(AW30="-", 0, IF(AW30&lt;0, -1, IF(AW30&gt;0, 1, 0))),
        IF(AW31="-", 0, IF(AW31&lt;0, -1, IF(AW31&gt;0, 1, 0))),
        IF(AW32="-", 0, IF(AW32&lt;0, -1, IF(AW32&gt;0, 1, 0))),
        IF(AW33="-", 0, IF(AW33&lt;0, -1, IF(AW33&gt;0, 1, 0))),
        IF(AW34="-", 0, IF(AW34&lt;0, -1, IF(AW34&gt;0, 1, 0)))
    ) / 15 &lt; -0.1, "BEARISH",
    IF(SUM(
        IF(AW24="-", 0, IF(AW24&lt;0, -2, IF(AW24&gt;0, 2, 0))),
        IF(AW25="-", 0, IF(AW25&lt;0, -2, IF(AW25&gt;0, 2, 0))),
        IF(AW26="-", 0, IF(AW26&lt;0, -2, IF(AW26&gt;0, 2, 0))),
        IF(AW27="-", 0, IF(AW27&lt;0, -2, IF(AW27&gt;0, 2, 0))),
        IF(AW28="-", 0, IF(AW28&lt;0, -1, IF(AW28&gt;0, 1, 0))),
        IF(AW29="-", 0, IF(AW29&lt;0, -1, IF(AW29&gt;0, 1, 0))),
        IF(AW30="-", 0, IF(AW30&lt;0, -1, IF(AW30&gt;0, 1, 0))),
        IF(AW31="-", 0, IF(AW31&lt;0, -1, IF(AW31&gt;0, 1, 0))),
        IF(AW32="-", 0, IF(AW32&lt;0, -1, IF(AW32&gt;0, 1, 0))),
        IF(AW33="-", 0, IF(AW33&lt;0, -1, IF(AW33&gt;0, 1, 0))),
        IF(AW34="-", 0, IF(AW34&lt;0, -1, IF(AW34&gt;0, 1, 0)))
    ) / 15 &lt; 0.1, "NEUTRO",
    IF(SUM(
        IF(AW24="-", 0, IF(AW24&lt;0, -2, IF(AW24&gt;0, 2, 0))),
        IF(AW25="-", 0, IF(AW25&lt;0, -2, IF(AW25&gt;0, 2, 0))),
        IF(AW26="-", 0, IF(AW26&lt;0, -2, IF(AW26&gt;0, 2, 0))),
        IF(AW27="-", 0, IF(AW27&lt;0, -2, IF(AW27&gt;0, 2, 0))),
        IF(AW28="-", 0, IF(AW28&lt;0, -1, IF(AW28&gt;0, 1, 0))),
        IF(AW29="-", 0, IF(AW29&lt;0, -1, IF(AW29&gt;0, 1, 0))),
        IF(AW30="-", 0, IF(AW30&lt;0, -1, IF(AW30&gt;0, 1, 0))),
        IF(AW31="-", 0, IF(AW31&lt;0, -1, IF(AW31&gt;0, 1, 0))),
        IF(AW32="-", 0, IF(AW32&lt;0, -1, IF(AW32&gt;0, 1, 0))),
        IF(AW33="-", 0, IF(AW33&lt;0, -1, IF(AW33&gt;0, 1, 0))),
        IF(AW34="-", 0, IF(AW34&lt;0, -1, IF(AW34&gt;0, 1, 0)))
    ) / 15 &gt; -0.1, "NEUTRO", "")))))</f>
        <v>BULLISH</v>
      </c>
      <c r="AV23" s="321"/>
      <c r="AW23" s="319"/>
      <c r="AX23" s="320" t="str">
        <f>IF(AND(AZ24="-", AZ25="-", AZ26="-", AZ27="-", AZ28="-", AZ29="-", AZ30="-", AZ31="-", AZ32="-", AZ33="-", AZ34="-"), "",
    IF(SUM(
        IF(AZ24="-", 0, IF(AZ24&lt;0, -2, IF(AZ24&gt;0, 2, 0))),
        IF(AZ25="-", 0, IF(AZ25&lt;0, -2, IF(AZ25&gt;0, 2, 0))),
        IF(AZ26="-", 0, IF(AZ26&lt;0, -2, IF(AZ26&gt;0, 2, 0))),
        IF(AZ27="-", 0, IF(AZ27&lt;0, -2, IF(AZ27&gt;0, 2, 0))),
        IF(AZ28="-", 0, IF(AZ28&lt;0, -1, IF(AZ28&gt;0, 1, 0))),
        IF(AZ29="-", 0, IF(AZ29&lt;0, -1, IF(AZ29&gt;0, 1, 0))),
        IF(AZ30="-", 0, IF(AZ30&lt;0, -1, IF(AZ30&gt;0, 1, 0))),
        IF(AZ31="-", 0, IF(AZ31&lt;0, -1, IF(AZ31&gt;0, 1, 0))),
        IF(AZ32="-", 0, IF(AZ32&lt;0, -1, IF(AZ32&gt;0, 1, 0))),
        IF(AZ33="-", 0, IF(AZ33&lt;0, -1, IF(AZ33&gt;0, 1, 0))),
        IF(AZ34="-", 0, IF(AZ34&lt;0, -1, IF(AZ34&gt;0, 1, 0)))
    ) / 15 &gt; 0.1, "BULLISH",
    IF(SUM(
        IF(AZ24="-", 0, IF(AZ24&lt;0, -2, IF(AZ24&gt;0, 2, 0))),
        IF(AZ25="-", 0, IF(AZ25&lt;0, -2, IF(AZ25&gt;0, 2, 0))),
        IF(AZ26="-", 0, IF(AZ26&lt;0, -2, IF(AZ26&gt;0, 2, 0))),
        IF(AZ27="-", 0, IF(AZ27&lt;0, -2, IF(AZ27&gt;0, 2, 0))),
        IF(AZ28="-", 0, IF(AZ28&lt;0, -1, IF(AZ28&gt;0, 1, 0))),
        IF(AZ29="-", 0, IF(AZ29&lt;0, -1, IF(AZ29&gt;0, 1, 0))),
        IF(AZ30="-", 0, IF(AZ30&lt;0, -1, IF(AZ30&gt;0, 1, 0))),
        IF(AZ31="-", 0, IF(AZ31&lt;0, -1, IF(AZ31&gt;0, 1, 0))),
        IF(AZ32="-", 0, IF(AZ32&lt;0, -1, IF(AZ32&gt;0, 1, 0))),
        IF(AZ33="-", 0, IF(AZ33&lt;0, -1, IF(AZ33&gt;0, 1, 0))),
        IF(AZ34="-", 0, IF(AZ34&lt;0, -1, IF(AZ34&gt;0, 1, 0)))
    ) / 15 &lt; -0.1, "BEARISH",
    IF(SUM(
        IF(AZ24="-", 0, IF(AZ24&lt;0, -2, IF(AZ24&gt;0, 2, 0))),
        IF(AZ25="-", 0, IF(AZ25&lt;0, -2, IF(AZ25&gt;0, 2, 0))),
        IF(AZ26="-", 0, IF(AZ26&lt;0, -2, IF(AZ26&gt;0, 2, 0))),
        IF(AZ27="-", 0, IF(AZ27&lt;0, -2, IF(AZ27&gt;0, 2, 0))),
        IF(AZ28="-", 0, IF(AZ28&lt;0, -1, IF(AZ28&gt;0, 1, 0))),
        IF(AZ29="-", 0, IF(AZ29&lt;0, -1, IF(AZ29&gt;0, 1, 0))),
        IF(AZ30="-", 0, IF(AZ30&lt;0, -1, IF(AZ30&gt;0, 1, 0))),
        IF(AZ31="-", 0, IF(AZ31&lt;0, -1, IF(AZ31&gt;0, 1, 0))),
        IF(AZ32="-", 0, IF(AZ32&lt;0, -1, IF(AZ32&gt;0, 1, 0))),
        IF(AZ33="-", 0, IF(AZ33&lt;0, -1, IF(AZ33&gt;0, 1, 0))),
        IF(AZ34="-", 0, IF(AZ34&lt;0, -1, IF(AZ34&gt;0, 1, 0)))
    ) / 15 &lt; 0.1, "NEUTRO",
    IF(SUM(
        IF(AZ24="-", 0, IF(AZ24&lt;0, -2, IF(AZ24&gt;0, 2, 0))),
        IF(AZ25="-", 0, IF(AZ25&lt;0, -2, IF(AZ25&gt;0, 2, 0))),
        IF(AZ26="-", 0, IF(AZ26&lt;0, -2, IF(AZ26&gt;0, 2, 0))),
        IF(AZ27="-", 0, IF(AZ27&lt;0, -2, IF(AZ27&gt;0, 2, 0))),
        IF(AZ28="-", 0, IF(AZ28&lt;0, -1, IF(AZ28&gt;0, 1, 0))),
        IF(AZ29="-", 0, IF(AZ29&lt;0, -1, IF(AZ29&gt;0, 1, 0))),
        IF(AZ30="-", 0, IF(AZ30&lt;0, -1, IF(AZ30&gt;0, 1, 0))),
        IF(AZ31="-", 0, IF(AZ31&lt;0, -1, IF(AZ31&gt;0, 1, 0))),
        IF(AZ32="-", 0, IF(AZ32&lt;0, -1, IF(AZ32&gt;0, 1, 0))),
        IF(AZ33="-", 0, IF(AZ33&lt;0, -1, IF(AZ33&gt;0, 1, 0))),
        IF(AZ34="-", 0, IF(AZ34&lt;0, -1, IF(AZ34&gt;0, 1, 0)))
    ) / 15 &gt; -0.1, "NEUTRO", "")))))</f>
        <v>NEUTRO</v>
      </c>
      <c r="AY23" s="321"/>
      <c r="AZ23" s="319"/>
    </row>
    <row r="24" spans="1:52" x14ac:dyDescent="0.25">
      <c r="A24" s="240" t="s">
        <v>104</v>
      </c>
      <c r="B24" s="220"/>
      <c r="C24" s="220"/>
      <c r="D24" s="221" t="str">
        <f>IF(OR(B24="",C24="",B24="-",C24="-"),"-",B24-C24)</f>
        <v>-</v>
      </c>
      <c r="E24" s="220">
        <v>178</v>
      </c>
      <c r="F24" s="220">
        <v>-133</v>
      </c>
      <c r="G24" s="221">
        <f>IF(OR(E24="",F24="",E24="-",F24="-"),"-",E24-F24)</f>
        <v>311</v>
      </c>
      <c r="H24" s="220">
        <v>303</v>
      </c>
      <c r="I24" s="220">
        <v>272</v>
      </c>
      <c r="J24" s="221">
        <f>IF(OR(H24="",I24="",H24="-",I24="-"),"-",H24-I24)</f>
        <v>31</v>
      </c>
      <c r="K24" s="220">
        <v>272</v>
      </c>
      <c r="L24" s="220"/>
      <c r="M24" s="221" t="str">
        <f>IF(OR(K24="",L24="",K24="-",L24="-"),"-",K24-L24)</f>
        <v>-</v>
      </c>
      <c r="N24" s="220"/>
      <c r="O24" s="220"/>
      <c r="P24" s="221" t="str">
        <f>IF(OR(N24="",O24="",N24="-",O24="-"),"-",N24-O24)</f>
        <v>-</v>
      </c>
      <c r="Q24" s="220">
        <v>22</v>
      </c>
      <c r="R24" s="220">
        <v>79</v>
      </c>
      <c r="S24" s="221">
        <f>IF(OR(Q24="",R24="",Q24="-",R24="-"),"-",Q24-R24)</f>
        <v>-57</v>
      </c>
      <c r="T24" s="220">
        <v>73</v>
      </c>
      <c r="U24" s="220">
        <v>144</v>
      </c>
      <c r="V24" s="221">
        <f>IF(OR(T24="",U24="",T24="-",U24="-"),"-",T24-U24)</f>
        <v>-71</v>
      </c>
      <c r="W24" s="220">
        <v>139</v>
      </c>
      <c r="X24" s="220">
        <v>147</v>
      </c>
      <c r="Y24" s="221">
        <f>IF(OR(W24="",X24="",W24="-",X24="-"),"-",W24-X24)</f>
        <v>-8</v>
      </c>
      <c r="Z24" s="21">
        <v>177</v>
      </c>
      <c r="AA24" s="21">
        <v>117</v>
      </c>
      <c r="AB24" s="11">
        <f>IF(OR(Z24="",AA24="",Z24="-",AA24="-"),"-",Z24-AA24)</f>
        <v>60</v>
      </c>
      <c r="AC24" s="21">
        <v>151</v>
      </c>
      <c r="AD24" s="21">
        <v>307</v>
      </c>
      <c r="AE24" s="11">
        <f>IF(OR(AC24="",AD24="",AC24="-",AD24="-"),"-",AC24-AD24)</f>
        <v>-156</v>
      </c>
      <c r="AF24" s="21">
        <v>256</v>
      </c>
      <c r="AG24" s="21">
        <v>212</v>
      </c>
      <c r="AH24" s="11">
        <f>IF(OR(AF24="",AG24="",AF24="-",AG24="-"),"-",AF24-AG24)</f>
        <v>44</v>
      </c>
      <c r="AI24" s="21">
        <v>227</v>
      </c>
      <c r="AJ24" s="21">
        <v>36</v>
      </c>
      <c r="AK24" s="11">
        <f>IF(OR(AI24="",AJ24="",AI24="-",AJ24="-"),"-",AI24-AJ24)</f>
        <v>191</v>
      </c>
      <c r="AL24" s="21">
        <v>12</v>
      </c>
      <c r="AM24" s="21">
        <v>223</v>
      </c>
      <c r="AN24" s="11">
        <f>IF(OR(AL24="",AM24="",AL24="-",AM24="-"),"-",AL24-AM24)</f>
        <v>-211</v>
      </c>
      <c r="AO24" s="21">
        <v>142</v>
      </c>
      <c r="AP24" s="21">
        <v>89</v>
      </c>
      <c r="AQ24" s="11">
        <f>IF(OR(AO24="",AP24="",AO24="-",AP24="-"),"-",AO24-AP24)</f>
        <v>53</v>
      </c>
      <c r="AR24" s="21">
        <v>206</v>
      </c>
      <c r="AS24" s="21">
        <v>218</v>
      </c>
      <c r="AT24" s="11">
        <f>IF(OR(AR24="",AS24="",AR24="-",AS24="-"),"-",AR24-AS24)</f>
        <v>-12</v>
      </c>
      <c r="AU24" s="21">
        <v>272</v>
      </c>
      <c r="AV24" s="21">
        <v>165</v>
      </c>
      <c r="AW24" s="11">
        <f>IF(OR(AU24="",AV24="",AU24="-",AV24="-"),"-",AU24-AV24)</f>
        <v>107</v>
      </c>
      <c r="AX24" s="21">
        <v>303</v>
      </c>
      <c r="AY24" s="91">
        <v>270</v>
      </c>
      <c r="AZ24" s="11">
        <f>IF(OR(AX24="",AY24="",AX24="-",AY24="-"),"-",AX24-AY24)</f>
        <v>33</v>
      </c>
    </row>
    <row r="25" spans="1:52" x14ac:dyDescent="0.25">
      <c r="A25" s="240" t="s">
        <v>105</v>
      </c>
      <c r="B25" s="220"/>
      <c r="C25" s="220"/>
      <c r="D25" s="212" t="str">
        <f>IF(OR(B25="",C25="",B25="-",C25="-"),"-",B25-C25)</f>
        <v>-</v>
      </c>
      <c r="E25" s="220">
        <v>4.2999999999999997E-2</v>
      </c>
      <c r="F25" s="220">
        <v>4.3999999999999997E-2</v>
      </c>
      <c r="G25" s="212">
        <f>IF(OR(E25="",F25="",E25="-",F25="-"),"-",E25-F25)</f>
        <v>-1.0000000000000009E-3</v>
      </c>
      <c r="H25" s="219">
        <v>3.7999999999999999E-2</v>
      </c>
      <c r="I25" s="219">
        <v>0.04</v>
      </c>
      <c r="J25" s="212">
        <f>IF(OR(H25="",I25="",H25="-",I25="-"),"-",H25-I25)</f>
        <v>-2.0000000000000018E-3</v>
      </c>
      <c r="K25" s="219">
        <v>0.04</v>
      </c>
      <c r="L25" s="220"/>
      <c r="M25" s="212" t="str">
        <f>IF(OR(K25="",L25="",K25="-",L25="-"),"-",K25-L25)</f>
        <v>-</v>
      </c>
      <c r="N25" s="220"/>
      <c r="O25" s="220"/>
      <c r="P25" s="212" t="str">
        <f>IF(OR(N25="",O25="",N25="-",O25="-"),"-",N25-O25)</f>
        <v>-</v>
      </c>
      <c r="Q25" s="219">
        <v>4.2999999999999997E-2</v>
      </c>
      <c r="R25" s="219">
        <v>4.2000000000000003E-2</v>
      </c>
      <c r="S25" s="212">
        <f>IF(OR(Q25="",R25="",Q25="-",R25="-"),"-",Q25-R25)</f>
        <v>9.9999999999999395E-4</v>
      </c>
      <c r="T25" s="219">
        <v>4.2000000000000003E-2</v>
      </c>
      <c r="U25" s="219">
        <v>4.2000000000000003E-2</v>
      </c>
      <c r="V25" s="212">
        <f>IF(OR(T25="",U25="",T25="-",U25="-"),"-",T25-U25)</f>
        <v>0</v>
      </c>
      <c r="W25" s="219">
        <v>4.2000000000000003E-2</v>
      </c>
      <c r="X25" s="219">
        <v>4.2000000000000003E-2</v>
      </c>
      <c r="Y25" s="212">
        <f>IF(OR(W25="",X25="",W25="-",X25="-"),"-",W25-X25)</f>
        <v>0</v>
      </c>
      <c r="Z25" s="89">
        <v>4.2000000000000003E-2</v>
      </c>
      <c r="AA25" s="89">
        <v>4.1000000000000002E-2</v>
      </c>
      <c r="AB25" s="3">
        <f>IF(OR(Z25="",AA25="",Z25="-",AA25="-"),"-",Z25-AA25)</f>
        <v>1.0000000000000009E-3</v>
      </c>
      <c r="AC25" s="90">
        <v>4.1000000000000002E-2</v>
      </c>
      <c r="AD25" s="89">
        <v>4.1000000000000002E-2</v>
      </c>
      <c r="AE25" s="3">
        <f>IF(OR(AC25="",AD25="",AC25="-",AD25="-"),"-",AC25-AD25)</f>
        <v>0</v>
      </c>
      <c r="AF25" s="89">
        <v>4.1000000000000002E-2</v>
      </c>
      <c r="AG25" s="89">
        <v>4.2000000000000003E-2</v>
      </c>
      <c r="AH25" s="3">
        <f>IF(OR(AF25="",AG25="",AF25="-",AG25="-"),"-",AF25-AG25)</f>
        <v>-1.0000000000000009E-3</v>
      </c>
      <c r="AI25" s="89">
        <v>4.2000000000000003E-2</v>
      </c>
      <c r="AJ25" s="89">
        <v>4.1000000000000002E-2</v>
      </c>
      <c r="AK25" s="3">
        <f>IF(OR(AI25="",AJ25="",AI25="-",AJ25="-"),"-",AI25-AJ25)</f>
        <v>1.0000000000000009E-3</v>
      </c>
      <c r="AL25" s="89">
        <v>4.1000000000000002E-2</v>
      </c>
      <c r="AM25" s="89">
        <v>4.1000000000000002E-2</v>
      </c>
      <c r="AN25" s="3">
        <f>IF(OR(AL25="",AM25="",AL25="-",AM25="-"),"-",AL25-AM25)</f>
        <v>0</v>
      </c>
      <c r="AO25" s="89">
        <v>4.2000000000000003E-2</v>
      </c>
      <c r="AP25" s="89">
        <v>4.2999999999999997E-2</v>
      </c>
      <c r="AQ25" s="3">
        <f>IF(OR(AO25="",AP25="",AO25="-",AP25="-"),"-",AO25-AP25)</f>
        <v>-9.9999999999999395E-4</v>
      </c>
      <c r="AR25" s="89">
        <v>4.2999999999999997E-2</v>
      </c>
      <c r="AS25" s="90">
        <v>4.1000000000000002E-2</v>
      </c>
      <c r="AT25" s="3">
        <f>IF(OR(AR25="",AS25="",AR25="-",AS25="-"),"-",AR25-AS25)</f>
        <v>1.9999999999999948E-3</v>
      </c>
      <c r="AU25" s="89">
        <v>0.04</v>
      </c>
      <c r="AV25" s="89">
        <v>3.9E-2</v>
      </c>
      <c r="AW25" s="3">
        <f>IF(OR(AU25="",AV25="",AU25="-",AV25="-"),"-",AU25-AV25)</f>
        <v>1.0000000000000009E-3</v>
      </c>
      <c r="AX25" s="89">
        <v>3.7999999999999999E-2</v>
      </c>
      <c r="AY25" s="89">
        <v>3.9E-2</v>
      </c>
      <c r="AZ25" s="3">
        <f>IF(OR(AX25="",AY25="",AX25="-",AY25="-"),"-",AX25-AY25)</f>
        <v>-1.0000000000000009E-3</v>
      </c>
    </row>
    <row r="26" spans="1:52" x14ac:dyDescent="0.25">
      <c r="A26" s="240" t="s">
        <v>106</v>
      </c>
      <c r="B26" s="220"/>
      <c r="C26" s="220"/>
      <c r="D26" s="212" t="str">
        <f>IF(OR(B26="",C26="",B26="-",C26="-"),"-",B26-C26)</f>
        <v>-</v>
      </c>
      <c r="E26" s="220">
        <v>2E-3</v>
      </c>
      <c r="F26" s="220">
        <v>4.0000000000000001E-3</v>
      </c>
      <c r="G26" s="212">
        <f>IF(OR(E26="",F26="",E26="-",F26="-"),"-",E26-F26)</f>
        <v>-2E-3</v>
      </c>
      <c r="H26" s="219">
        <v>3.0000000000000001E-3</v>
      </c>
      <c r="I26" s="219">
        <v>4.0000000000000001E-3</v>
      </c>
      <c r="J26" s="212">
        <f>IF(OR(H26="",I26="",H26="-",I26="-"),"-",H26-I26)</f>
        <v>-1E-3</v>
      </c>
      <c r="K26" s="219">
        <v>4.0000000000000001E-3</v>
      </c>
      <c r="L26" s="220"/>
      <c r="M26" s="212" t="str">
        <f>IF(OR(K26="",L26="",K26="-",L26="-"),"-",K26-L26)</f>
        <v>-</v>
      </c>
      <c r="N26" s="220"/>
      <c r="O26" s="220"/>
      <c r="P26" s="212" t="str">
        <f>IF(OR(N26="",O26="",N26="-",O26="-"),"-",N26-O26)</f>
        <v>-</v>
      </c>
      <c r="Q26" s="219">
        <v>3.0000000000000001E-3</v>
      </c>
      <c r="R26" s="219">
        <v>3.0000000000000001E-3</v>
      </c>
      <c r="S26" s="212">
        <f>IF(OR(Q26="",R26="",Q26="-",R26="-"),"-",Q26-R26)</f>
        <v>0</v>
      </c>
      <c r="T26" s="219">
        <v>3.0000000000000001E-3</v>
      </c>
      <c r="U26" s="219">
        <v>4.0000000000000001E-3</v>
      </c>
      <c r="V26" s="212">
        <f>IF(OR(T26="",U26="",T26="-",U26="-"),"-",T26-U26)</f>
        <v>-1E-3</v>
      </c>
      <c r="W26" s="219">
        <v>4.0000000000000001E-3</v>
      </c>
      <c r="X26" s="219">
        <v>2E-3</v>
      </c>
      <c r="Y26" s="212">
        <f>IF(OR(W26="",X26="",W26="-",X26="-"),"-",W26-X26)</f>
        <v>2E-3</v>
      </c>
      <c r="Z26" s="89">
        <v>2E-3</v>
      </c>
      <c r="AA26" s="89">
        <v>2E-3</v>
      </c>
      <c r="AB26" s="3">
        <f>IF(OR(Z26="",AA26="",Z26="-",AA26="-"),"-",Z26-AA26)</f>
        <v>0</v>
      </c>
      <c r="AC26" s="89">
        <v>3.0000000000000001E-3</v>
      </c>
      <c r="AD26" s="89">
        <v>3.0000000000000001E-3</v>
      </c>
      <c r="AE26" s="3">
        <f>IF(OR(AC26="",AD26="",AC26="-",AD26="-"),"-",AC26-AD26)</f>
        <v>0</v>
      </c>
      <c r="AF26" s="89">
        <v>3.0000000000000001E-3</v>
      </c>
      <c r="AG26" s="89">
        <v>4.0000000000000001E-3</v>
      </c>
      <c r="AH26" s="3">
        <f>IF(OR(AF26="",AG26="",AF26="-",AG26="-"),"-",AF26-AG26)</f>
        <v>-1E-3</v>
      </c>
      <c r="AI26" s="89">
        <v>4.0000000000000001E-3</v>
      </c>
      <c r="AJ26" s="89">
        <v>4.0000000000000001E-3</v>
      </c>
      <c r="AK26" s="3">
        <f>IF(OR(AI26="",AJ26="",AI26="-",AJ26="-"),"-",AI26-AJ26)</f>
        <v>0</v>
      </c>
      <c r="AL26" s="89">
        <v>4.0000000000000001E-3</v>
      </c>
      <c r="AM26" s="89">
        <v>3.0000000000000001E-3</v>
      </c>
      <c r="AN26" s="3">
        <f>IF(OR(AL26="",AM26="",AL26="-",AM26="-"),"-",AL26-AM26)</f>
        <v>1E-3</v>
      </c>
      <c r="AO26" s="89">
        <v>4.0000000000000001E-3</v>
      </c>
      <c r="AP26" s="89">
        <v>2E-3</v>
      </c>
      <c r="AQ26" s="3">
        <f>IF(OR(AO26="",AP26="",AO26="-",AP26="-"),"-",AO26-AP26)</f>
        <v>2E-3</v>
      </c>
      <c r="AR26" s="89">
        <v>3.0000000000000001E-3</v>
      </c>
      <c r="AS26" s="89">
        <v>4.0000000000000001E-3</v>
      </c>
      <c r="AT26" s="3">
        <f>IF(OR(AR26="",AS26="",AR26="-",AS26="-"),"-",AR26-AS26)</f>
        <v>-1E-3</v>
      </c>
      <c r="AU26" s="89">
        <v>4.0000000000000001E-3</v>
      </c>
      <c r="AV26" s="89">
        <v>2E-3</v>
      </c>
      <c r="AW26" s="3">
        <f>IF(OR(AU26="",AV26="",AU26="-",AV26="-"),"-",AU26-AV26)</f>
        <v>2E-3</v>
      </c>
      <c r="AX26" s="89">
        <v>3.0000000000000001E-3</v>
      </c>
      <c r="AY26" s="89">
        <v>2E-3</v>
      </c>
      <c r="AZ26" s="3">
        <f>IF(OR(AX26="",AY26="",AX26="-",AY26="-"),"-",AX26-AY26)</f>
        <v>1E-3</v>
      </c>
    </row>
    <row r="27" spans="1:52" x14ac:dyDescent="0.25">
      <c r="A27" s="240" t="s">
        <v>107</v>
      </c>
      <c r="B27" s="220"/>
      <c r="C27" s="220"/>
      <c r="D27" s="222" t="str">
        <f>IF(OR(B27="",C27="",B27="-",C27="-"),"-",B27-C27)</f>
        <v>-</v>
      </c>
      <c r="E27" s="220">
        <v>231</v>
      </c>
      <c r="F27" s="220">
        <v>210</v>
      </c>
      <c r="G27" s="222">
        <f>IF(OR(E27="",F27="",E27="-",F27="-"),"-",E27-F27)</f>
        <v>21</v>
      </c>
      <c r="H27" s="220">
        <v>207</v>
      </c>
      <c r="I27" s="220">
        <v>229</v>
      </c>
      <c r="J27" s="222">
        <f>IF(OR(H27="",I27="",H27="-",I27="-"),"-",H27-I27)</f>
        <v>-22</v>
      </c>
      <c r="K27" s="220">
        <v>229</v>
      </c>
      <c r="L27" s="220"/>
      <c r="M27" s="222" t="str">
        <f>IF(OR(K27="",L27="",K27="-",L27="-"),"-",K27-L27)</f>
        <v>-</v>
      </c>
      <c r="N27" s="220">
        <v>218</v>
      </c>
      <c r="O27" s="220">
        <v>264</v>
      </c>
      <c r="P27" s="222">
        <f>IF(OR(N27="",O27="",N27="-",O27="-"),"-",N27-O27)</f>
        <v>-46</v>
      </c>
      <c r="Q27" s="220">
        <v>263</v>
      </c>
      <c r="R27" s="220">
        <v>217</v>
      </c>
      <c r="S27" s="222">
        <f>IF(OR(Q27="",R27="",Q27="-",R27="-"),"-",Q27-R27)</f>
        <v>46</v>
      </c>
      <c r="T27" s="220">
        <v>217</v>
      </c>
      <c r="U27" s="220">
        <v>246</v>
      </c>
      <c r="V27" s="222">
        <f>IF(OR(T27="",U27="",T27="-",U27="-"),"-",T27-U27)</f>
        <v>-29</v>
      </c>
      <c r="W27" s="220">
        <v>245</v>
      </c>
      <c r="X27" s="220">
        <v>241</v>
      </c>
      <c r="Y27" s="222">
        <f>IF(OR(W27="",X27="",W27="-",X27="-"),"-",W27-X27)</f>
        <v>4</v>
      </c>
      <c r="Z27" s="21">
        <v>241</v>
      </c>
      <c r="AA27" s="21">
        <v>221</v>
      </c>
      <c r="AB27" s="6">
        <f>IF(OR(Z27="",AA27="",Z27="-",AA27="-"),"-",Z27-AA27)</f>
        <v>20</v>
      </c>
      <c r="AC27" s="21">
        <v>220</v>
      </c>
      <c r="AD27" s="21">
        <v>220</v>
      </c>
      <c r="AE27" s="6">
        <f>IF(OR(AC27="",AD27="",AC27="-",AD27="-"),"-",AC27-AD27)</f>
        <v>0</v>
      </c>
      <c r="AF27" s="21">
        <v>223</v>
      </c>
      <c r="AG27" s="21">
        <v>242</v>
      </c>
      <c r="AH27" s="6">
        <f>IF(OR(AF27="",AG27="",AF27="-",AG27="-"),"-",AF27-AG27)</f>
        <v>-19</v>
      </c>
      <c r="AI27" s="92">
        <v>242</v>
      </c>
      <c r="AJ27" s="21">
        <v>221</v>
      </c>
      <c r="AK27" s="6">
        <f>IF(OR(AI27="",AJ27="",AI27="-",AJ27="-"),"-",AI27-AJ27)</f>
        <v>21</v>
      </c>
      <c r="AL27" s="92">
        <v>221</v>
      </c>
      <c r="AM27" s="21">
        <v>228</v>
      </c>
      <c r="AN27" s="6">
        <f>IF(OR(AL27="",AM27="",AL27="-",AM27="-"),"-",AL27-AM27)</f>
        <v>-7</v>
      </c>
      <c r="AO27" s="21">
        <v>230</v>
      </c>
      <c r="AP27" s="21">
        <v>228</v>
      </c>
      <c r="AQ27" s="6">
        <f>IF(OR(AO27="",AP27="",AO27="-",AP27="-"),"-",AO27-AP27)</f>
        <v>2</v>
      </c>
      <c r="AR27" s="92">
        <v>235</v>
      </c>
      <c r="AS27" s="92">
        <v>245</v>
      </c>
      <c r="AT27" s="6">
        <f>IF(OR(AR27="",AS27="",AR27="-",AS27="-"),"-",AR27-AS27)</f>
        <v>-10</v>
      </c>
      <c r="AU27" s="21">
        <v>229</v>
      </c>
      <c r="AV27" s="21">
        <v>221</v>
      </c>
      <c r="AW27" s="6">
        <f>IF(OR(AU27="",AV27="",AU27="-",AV27="-"),"-",AU27-AV27)</f>
        <v>8</v>
      </c>
      <c r="AX27" s="21">
        <v>207</v>
      </c>
      <c r="AY27" s="21">
        <v>212</v>
      </c>
      <c r="AZ27" s="6">
        <f>IF(OR(AX27="",AY27="",AX27="-",AY27="-"),"-",AX27-AY27)</f>
        <v>-5</v>
      </c>
    </row>
    <row r="28" spans="1:52" x14ac:dyDescent="0.25">
      <c r="A28" s="241" t="s">
        <v>108</v>
      </c>
      <c r="B28" s="223"/>
      <c r="C28" s="223"/>
      <c r="D28" s="224" t="str">
        <f>IF(OR(B28="",C28="",B28="-",C28="-"),"-",B28-C28)</f>
        <v>-</v>
      </c>
      <c r="E28" s="223">
        <v>22</v>
      </c>
      <c r="F28" s="223">
        <v>37</v>
      </c>
      <c r="G28" s="224">
        <f>IF(OR(E28="",F28="",E28="-",F28="-"),"-",E28-F28)</f>
        <v>-15</v>
      </c>
      <c r="H28" s="223">
        <v>192</v>
      </c>
      <c r="I28" s="223">
        <v>152</v>
      </c>
      <c r="J28" s="224">
        <f>IF(OR(H28="",I28="",H28="-",I28="-"),"-",H28-I28)</f>
        <v>40</v>
      </c>
      <c r="K28" s="223">
        <v>152</v>
      </c>
      <c r="L28" s="223"/>
      <c r="M28" s="224" t="str">
        <f>IF(OR(K28="",L28="",K28="-",L28="-"),"-",K28-L28)</f>
        <v>-</v>
      </c>
      <c r="N28" s="223">
        <v>-32</v>
      </c>
      <c r="O28" s="223">
        <v>-3</v>
      </c>
      <c r="P28" s="224">
        <f>IF(OR(N28="",O28="",N28="-",O28="-"),"-",N28-O28)</f>
        <v>-29</v>
      </c>
      <c r="Q28" s="223">
        <v>54</v>
      </c>
      <c r="R28" s="223">
        <v>-33</v>
      </c>
      <c r="S28" s="224">
        <f>IF(OR(Q28="",R28="",Q28="-",R28="-"),"-",Q28-R28)</f>
        <v>87</v>
      </c>
      <c r="T28" s="223">
        <v>-33</v>
      </c>
      <c r="U28" s="223">
        <v>29</v>
      </c>
      <c r="V28" s="224">
        <f>IF(OR(T28="",U28="",T28="-",U28="-"),"-",T28-U28)</f>
        <v>-62</v>
      </c>
      <c r="W28" s="223">
        <v>37</v>
      </c>
      <c r="X28" s="223">
        <v>60</v>
      </c>
      <c r="Y28" s="224">
        <f>IF(OR(W28="",X28="",W28="-",X28="-"),"-",W28-X28)</f>
        <v>-23</v>
      </c>
      <c r="Z28" s="5">
        <v>62</v>
      </c>
      <c r="AA28" s="5">
        <v>84</v>
      </c>
      <c r="AB28" s="23">
        <f>IF(OR(Z28="",AA28="",Z28="-",AA28="-"),"-",Z28-AA28)</f>
        <v>-22</v>
      </c>
      <c r="AC28" s="5">
        <v>77</v>
      </c>
      <c r="AD28" s="5">
        <v>176</v>
      </c>
      <c r="AE28" s="23">
        <f>IF(OR(AC28="",AD28="",AC28="-",AD28="-"),"-",AC28-AD28)</f>
        <v>-99</v>
      </c>
      <c r="AF28" s="5">
        <v>122</v>
      </c>
      <c r="AG28" s="5">
        <v>146</v>
      </c>
      <c r="AH28" s="23">
        <f>IF(OR(AF28="",AG28="",AF28="-",AG28="-"),"-",AF28-AG28)</f>
        <v>-24</v>
      </c>
      <c r="AI28" s="5">
        <v>146</v>
      </c>
      <c r="AJ28" s="5">
        <v>184</v>
      </c>
      <c r="AK28" s="23">
        <f>IF(OR(AI28="",AJ28="",AI28="-",AJ28="-"),"-",AI28-AJ28)</f>
        <v>-38</v>
      </c>
      <c r="AL28" s="5">
        <v>233</v>
      </c>
      <c r="AM28" s="5">
        <v>159</v>
      </c>
      <c r="AN28" s="23">
        <f>IF(OR(AL28="",AM28="",AL28="-",AM28="-"),"-",AL28-AM28)</f>
        <v>74</v>
      </c>
      <c r="AO28" s="5">
        <v>99</v>
      </c>
      <c r="AP28" s="5">
        <v>111</v>
      </c>
      <c r="AQ28" s="23">
        <f>IF(OR(AO28="",AP28="",AO28="-",AP28="-"),"-",AO28-AP28)</f>
        <v>-12</v>
      </c>
      <c r="AR28" s="5">
        <v>122</v>
      </c>
      <c r="AS28" s="5">
        <v>155</v>
      </c>
      <c r="AT28" s="23">
        <f>IF(OR(AR28="",AS28="",AR28="-",AS28="-"),"-",AR28-AS28)</f>
        <v>-33</v>
      </c>
      <c r="AU28" s="5">
        <v>152</v>
      </c>
      <c r="AV28" s="5">
        <v>188</v>
      </c>
      <c r="AW28" s="23">
        <f>IF(OR(AU28="",AV28="",AU28="-",AV28="-"),"-",AU28-AV28)</f>
        <v>-36</v>
      </c>
      <c r="AX28" s="93">
        <v>192</v>
      </c>
      <c r="AY28" s="5">
        <v>155</v>
      </c>
      <c r="AZ28" s="23">
        <f>IF(OR(AX28="",AY28="",AX28="-",AY28="-"),"-",AX28-AY28)</f>
        <v>37</v>
      </c>
    </row>
    <row r="29" spans="1:52" x14ac:dyDescent="0.25">
      <c r="A29" s="241" t="s">
        <v>109</v>
      </c>
      <c r="B29" s="223"/>
      <c r="C29" s="223"/>
      <c r="D29" s="226" t="str">
        <f>IF(OR(B29="",C29="",B29="-",C29="-"),"-",B29-C29)</f>
        <v>-</v>
      </c>
      <c r="E29" s="223">
        <v>1.7999999999999999E-2</v>
      </c>
      <c r="F29" s="223">
        <v>5.1999999999999998E-2</v>
      </c>
      <c r="G29" s="226">
        <f>IF(OR(E29="",F29="",E29="-",F29="-"),"-",E29-F29)</f>
        <v>-3.4000000000000002E-2</v>
      </c>
      <c r="H29" s="225">
        <v>3.0000000000000001E-3</v>
      </c>
      <c r="I29" s="225">
        <v>2.3E-2</v>
      </c>
      <c r="J29" s="226">
        <f>IF(OR(H29="",I29="",H29="-",I29="-"),"-",H29-I29)</f>
        <v>-0.02</v>
      </c>
      <c r="K29" s="225">
        <v>2.3E-2</v>
      </c>
      <c r="L29" s="223"/>
      <c r="M29" s="226" t="str">
        <f>IF(OR(K29="",L29="",K29="-",L29="-"),"-",K29-L29)</f>
        <v>-</v>
      </c>
      <c r="N29" s="223"/>
      <c r="O29" s="223"/>
      <c r="P29" s="226" t="str">
        <f>IF(OR(N29="",O29="",N29="-",O29="-"),"-",N29-O29)</f>
        <v>-</v>
      </c>
      <c r="Q29" s="225">
        <v>2.4E-2</v>
      </c>
      <c r="R29" s="225">
        <v>-1.4999999999999999E-2</v>
      </c>
      <c r="S29" s="226">
        <f>IF(OR(Q29="",R29="",Q29="-",R29="-"),"-",Q29-R29)</f>
        <v>3.9E-2</v>
      </c>
      <c r="T29" s="225">
        <v>-1.4999999999999999E-2</v>
      </c>
      <c r="U29" s="225">
        <v>-8.0000000000000002E-3</v>
      </c>
      <c r="V29" s="226">
        <f>IF(OR(T29="",U29="",T29="-",U29="-"),"-",T29-U29)</f>
        <v>-6.9999999999999993E-3</v>
      </c>
      <c r="W29" s="225">
        <v>-8.0000000000000002E-3</v>
      </c>
      <c r="X29" s="225">
        <v>1.4999999999999999E-2</v>
      </c>
      <c r="Y29" s="226">
        <f>IF(OR(W29="",X29="",W29="-",X29="-"),"-",W29-X29)</f>
        <v>-2.3E-2</v>
      </c>
      <c r="Z29" s="24">
        <v>-8.0000000000000002E-3</v>
      </c>
      <c r="AA29" s="24">
        <v>1.4999999999999999E-2</v>
      </c>
      <c r="AB29" s="7">
        <f>IF(OR(Z29="",AA29="",Z29="-",AA29="-"),"-",Z29-AA29)</f>
        <v>-2.3E-2</v>
      </c>
      <c r="AC29" s="24">
        <v>1.2E-2</v>
      </c>
      <c r="AD29" s="24">
        <v>2.3E-2</v>
      </c>
      <c r="AE29" s="7">
        <f>IF(OR(AC29="",AD29="",AC29="-",AD29="-"),"-",AC29-AD29)</f>
        <v>-1.0999999999999999E-2</v>
      </c>
      <c r="AH29" s="7" t="str">
        <f>IF(OR(AF29="",AG29="",AF29="-",AG29="-"),"-",AF29-AG29)</f>
        <v>-</v>
      </c>
      <c r="AK29" s="7" t="str">
        <f>IF(OR(AI29="",AJ29="",AI29="-",AJ29="-"),"-",AI29-AJ29)</f>
        <v>-</v>
      </c>
      <c r="AL29" s="24">
        <v>2.1999999999999999E-2</v>
      </c>
      <c r="AM29" s="24">
        <v>2.5000000000000001E-2</v>
      </c>
      <c r="AN29" s="7">
        <f>IF(OR(AL29="",AM29="",AL29="-",AM29="-"),"-",AL29-AM29)</f>
        <v>-3.0000000000000027E-3</v>
      </c>
      <c r="AO29" s="24">
        <v>2.3E-2</v>
      </c>
      <c r="AP29" s="24">
        <v>2E-3</v>
      </c>
      <c r="AQ29" s="7">
        <f>IF(OR(AO29="",AP29="",AO29="-",AP29="-"),"-",AO29-AP29)</f>
        <v>2.0999999999999998E-2</v>
      </c>
      <c r="AT29" s="7" t="str">
        <f>IF(OR(AR29="",AS29="",AR29="-",AS29="-"),"-",AR29-AS29)</f>
        <v>-</v>
      </c>
      <c r="AU29" s="24">
        <v>3.0000000000000001E-3</v>
      </c>
      <c r="AV29" s="24">
        <v>3.5000000000000003E-2</v>
      </c>
      <c r="AW29" s="7">
        <f>IF(OR(AU29="",AV29="",AU29="-",AV29="-"),"-",AU29-AV29)</f>
        <v>-3.2000000000000001E-2</v>
      </c>
      <c r="AZ29" s="7" t="str">
        <f>IF(OR(AX29="",AY29="",AX29="-",AY29="-"),"-",AX29-AY29)</f>
        <v>-</v>
      </c>
    </row>
    <row r="30" spans="1:52" x14ac:dyDescent="0.25">
      <c r="A30" s="241" t="s">
        <v>110</v>
      </c>
      <c r="B30" s="223"/>
      <c r="C30" s="223"/>
      <c r="D30" s="226" t="str">
        <f>IF(OR(B30="",C30="",B30="-",C30="-"),"-",B30-C30)</f>
        <v>-</v>
      </c>
      <c r="E30" s="225">
        <v>4.9000000000000002E-2</v>
      </c>
      <c r="F30" s="225">
        <v>4.9000000000000002E-2</v>
      </c>
      <c r="G30" s="226">
        <f>IF(OR(E30="",F30="",E30="-",F30="-"),"-",E30-F30)</f>
        <v>0</v>
      </c>
      <c r="H30" s="223">
        <v>2.5000000000000001E-2</v>
      </c>
      <c r="I30" s="223">
        <v>2.1999999999999999E-2</v>
      </c>
      <c r="J30" s="226">
        <f>IF(OR(H30="",I30="",H30="-",I30="-"),"-",H30-I30)</f>
        <v>3.0000000000000027E-3</v>
      </c>
      <c r="K30" s="223">
        <v>2.1999999999999999E-2</v>
      </c>
      <c r="L30" s="223"/>
      <c r="M30" s="226" t="str">
        <f>IF(OR(K30="",L30="",K30="-",L30="-"),"-",K30-L30)</f>
        <v>-</v>
      </c>
      <c r="N30" s="223"/>
      <c r="O30" s="223"/>
      <c r="P30" s="226" t="str">
        <f>IF(OR(N30="",O30="",N30="-",O30="-"),"-",N30-O30)</f>
        <v>-</v>
      </c>
      <c r="Q30" s="225">
        <v>3.3000000000000002E-2</v>
      </c>
      <c r="R30" s="225">
        <v>2.4E-2</v>
      </c>
      <c r="S30" s="226">
        <f>IF(OR(Q30="",R30="",Q30="-",R30="-"),"-",Q30-R30)</f>
        <v>9.0000000000000011E-3</v>
      </c>
      <c r="T30" s="225">
        <v>2.4E-2</v>
      </c>
      <c r="U30" s="225">
        <v>-1.4999999999999999E-2</v>
      </c>
      <c r="V30" s="226">
        <f>IF(OR(T30="",U30="",T30="-",U30="-"),"-",T30-U30)</f>
        <v>3.9E-2</v>
      </c>
      <c r="W30" s="225">
        <v>-1.4999999999999999E-2</v>
      </c>
      <c r="X30" s="225">
        <v>-8.0000000000000002E-3</v>
      </c>
      <c r="Y30" s="226">
        <f>IF(OR(W30="",X30="",W30="-",X30="-"),"-",W30-X30)</f>
        <v>-6.9999999999999993E-3</v>
      </c>
      <c r="AB30" s="7" t="str">
        <f>IF(OR(Z30="",AA30="",Z30="-",AA30="-"),"-",Z30-AA30)</f>
        <v>-</v>
      </c>
      <c r="AC30" s="24">
        <v>1.4999999999999999E-2</v>
      </c>
      <c r="AD30" s="24">
        <v>1.2E-2</v>
      </c>
      <c r="AE30" s="7">
        <f>IF(OR(AC30="",AD30="",AC30="-",AD30="-"),"-",AC30-AD30)</f>
        <v>2.9999999999999992E-3</v>
      </c>
      <c r="AH30" s="7" t="str">
        <f>IF(OR(AF30="",AG30="",AF30="-",AG30="-"),"-",AF30-AG30)</f>
        <v>-</v>
      </c>
      <c r="AI30" s="24">
        <v>2.1999999999999999E-2</v>
      </c>
      <c r="AJ30" s="24">
        <v>2.1999999999999999E-2</v>
      </c>
      <c r="AK30" s="7">
        <f>IF(OR(AI30="",AJ30="",AI30="-",AJ30="-"),"-",AI30-AJ30)</f>
        <v>0</v>
      </c>
      <c r="AN30" s="7" t="str">
        <f>IF(OR(AL30="",AM30="",AL30="-",AM30="-"),"-",AL30-AM30)</f>
        <v>-</v>
      </c>
      <c r="AO30" s="24">
        <v>2.5000000000000001E-2</v>
      </c>
      <c r="AP30" s="24">
        <v>2.3E-2</v>
      </c>
      <c r="AQ30" s="7">
        <f>IF(OR(AO30="",AP30="",AO30="-",AP30="-"),"-",AO30-AP30)</f>
        <v>2.0000000000000018E-3</v>
      </c>
      <c r="AT30" s="7" t="str">
        <f>IF(OR(AR30="",AS30="",AR30="-",AS30="-"),"-",AR30-AS30)</f>
        <v>-</v>
      </c>
      <c r="AW30" s="7" t="str">
        <f>IF(OR(AU30="",AV30="",AU30="-",AV30="-"),"-",AU30-AV30)</f>
        <v>-</v>
      </c>
      <c r="AZ30" s="7" t="str">
        <f>IF(OR(AX30="",AY30="",AX30="-",AY30="-"),"-",AX30-AY30)</f>
        <v>-</v>
      </c>
    </row>
    <row r="31" spans="1:52" x14ac:dyDescent="0.25">
      <c r="A31" s="241" t="s">
        <v>111</v>
      </c>
      <c r="B31" s="223"/>
      <c r="C31" s="223"/>
      <c r="D31" s="226" t="str">
        <f>IF(OR(B31="",C31="",B31="-",C31="-"),"-",B31-C31)</f>
        <v>-</v>
      </c>
      <c r="E31" s="223">
        <v>4.3999999999999997E-2</v>
      </c>
      <c r="F31" s="223">
        <v>0.01</v>
      </c>
      <c r="G31" s="226">
        <f>IF(OR(E31="",F31="",E31="-",F31="-"),"-",E31-F31)</f>
        <v>3.3999999999999996E-2</v>
      </c>
      <c r="H31" s="225">
        <v>4.7E-2</v>
      </c>
      <c r="I31" s="228">
        <v>8.9999999999999993E-3</v>
      </c>
      <c r="J31" s="226">
        <f>IF(OR(H31="",I31="",H31="-",I31="-"),"-",H31-I31)</f>
        <v>3.7999999999999999E-2</v>
      </c>
      <c r="K31" s="228">
        <v>8.9999999999999993E-3</v>
      </c>
      <c r="L31" s="223"/>
      <c r="M31" s="226" t="str">
        <f>IF(OR(K31="",L31="",K31="-",L31="-"),"-",K31-L31)</f>
        <v>-</v>
      </c>
      <c r="N31" s="223"/>
      <c r="O31" s="223"/>
      <c r="P31" s="226" t="str">
        <f>IF(OR(N31="",O31="",N31="-",O31="-"),"-",N31-O31)</f>
        <v>-</v>
      </c>
      <c r="Q31" s="225">
        <v>1.6E-2</v>
      </c>
      <c r="R31" s="225">
        <v>6.6000000000000003E-2</v>
      </c>
      <c r="S31" s="226">
        <f>IF(OR(Q31="",R31="",Q31="-",R31="-"),"-",Q31-R31)</f>
        <v>-0.05</v>
      </c>
      <c r="T31" s="225">
        <v>6.6000000000000003E-2</v>
      </c>
      <c r="U31" s="225">
        <v>5.7000000000000002E-2</v>
      </c>
      <c r="V31" s="226">
        <f>IF(OR(T31="",U31="",T31="-",U31="-"),"-",T31-U31)</f>
        <v>9.0000000000000011E-3</v>
      </c>
      <c r="W31" s="225">
        <v>5.7000000000000002E-2</v>
      </c>
      <c r="X31" s="225">
        <v>2.1999999999999999E-2</v>
      </c>
      <c r="Y31" s="226">
        <f>IF(OR(W31="",X31="",W31="-",X31="-"),"-",W31-X31)</f>
        <v>3.5000000000000003E-2</v>
      </c>
      <c r="AB31" s="7" t="str">
        <f>IF(OR(Z31="",AA31="",Z31="-",AA31="-"),"-",Z31-AA31)</f>
        <v>-</v>
      </c>
      <c r="AC31" s="94">
        <v>0.03</v>
      </c>
      <c r="AD31" s="24">
        <v>8.0000000000000002E-3</v>
      </c>
      <c r="AE31" s="7">
        <f>IF(OR(AC31="",AD31="",AC31="-",AD31="-"),"-",AC31-AD31)</f>
        <v>2.1999999999999999E-2</v>
      </c>
      <c r="AH31" s="7" t="str">
        <f>IF(OR(AF31="",AG31="",AF31="-",AG31="-"),"-",AF31-AG31)</f>
        <v>-</v>
      </c>
      <c r="AK31" s="7" t="str">
        <f>IF(OR(AI31="",AJ31="",AI31="-",AJ31="-"),"-",AI31-AJ31)</f>
        <v>-</v>
      </c>
      <c r="AL31" s="24">
        <v>1.9E-2</v>
      </c>
      <c r="AM31" s="24">
        <v>4.0000000000000001E-3</v>
      </c>
      <c r="AN31" s="7">
        <f>IF(OR(AL31="",AM31="",AL31="-",AM31="-"),"-",AL31-AM31)</f>
        <v>1.4999999999999999E-2</v>
      </c>
      <c r="AO31" s="24">
        <v>8.9999999999999993E-3</v>
      </c>
      <c r="AP31" s="94">
        <v>0.04</v>
      </c>
      <c r="AQ31" s="7">
        <f>IF(OR(AO31="",AP31="",AO31="-",AP31="-"),"-",AO31-AP31)</f>
        <v>-3.1E-2</v>
      </c>
      <c r="AT31" s="7" t="str">
        <f>IF(OR(AR31="",AS31="",AR31="-",AS31="-"),"-",AR31-AS31)</f>
        <v>-</v>
      </c>
      <c r="AU31" s="24">
        <v>4.7E-2</v>
      </c>
      <c r="AV31" s="24">
        <v>4.0000000000000001E-3</v>
      </c>
      <c r="AW31" s="7">
        <f>IF(OR(AU31="",AV31="",AU31="-",AV31="-"),"-",AU31-AV31)</f>
        <v>4.2999999999999997E-2</v>
      </c>
      <c r="AZ31" s="7" t="str">
        <f>IF(OR(AX31="",AY31="",AX31="-",AY31="-"),"-",AX31-AY31)</f>
        <v>-</v>
      </c>
    </row>
    <row r="32" spans="1:52" x14ac:dyDescent="0.25">
      <c r="A32" s="241" t="s">
        <v>112</v>
      </c>
      <c r="B32" s="223"/>
      <c r="C32" s="223"/>
      <c r="D32" s="226" t="str">
        <f>IF(OR(B32="",C32="",B32="-",C32="-"),"-",B32-C32)</f>
        <v>-</v>
      </c>
      <c r="E32" s="225">
        <v>-1.9E-2</v>
      </c>
      <c r="F32" s="225">
        <v>-1.9E-2</v>
      </c>
      <c r="G32" s="226">
        <f>IF(OR(E32="",F32="",E32="-",F32="-"),"-",E32-F32)</f>
        <v>0</v>
      </c>
      <c r="H32" s="223">
        <v>4.0000000000000001E-3</v>
      </c>
      <c r="I32" s="223">
        <v>8.0000000000000002E-3</v>
      </c>
      <c r="J32" s="226">
        <f>IF(OR(H32="",I32="",H32="-",I32="-"),"-",H32-I32)</f>
        <v>-4.0000000000000001E-3</v>
      </c>
      <c r="K32" s="223">
        <v>8.0000000000000002E-3</v>
      </c>
      <c r="L32" s="223"/>
      <c r="M32" s="226" t="str">
        <f>IF(OR(K32="",L32="",K32="-",L32="-"),"-",K32-L32)</f>
        <v>-</v>
      </c>
      <c r="N32" s="223"/>
      <c r="O32" s="223"/>
      <c r="P32" s="226" t="str">
        <f>IF(OR(N32="",O32="",N32="-",O32="-"),"-",N32-O32)</f>
        <v>-</v>
      </c>
      <c r="Q32" s="228">
        <v>0.01</v>
      </c>
      <c r="R32" s="225">
        <v>1.6E-2</v>
      </c>
      <c r="S32" s="226">
        <f>IF(OR(Q32="",R32="",Q32="-",R32="-"),"-",Q32-R32)</f>
        <v>-6.0000000000000001E-3</v>
      </c>
      <c r="T32" s="223"/>
      <c r="U32" s="223"/>
      <c r="V32" s="226" t="str">
        <f>IF(OR(T32="",U32="",T32="-",U32="-"),"-",T32-U32)</f>
        <v>-</v>
      </c>
      <c r="W32" s="225">
        <v>6.6000000000000003E-2</v>
      </c>
      <c r="X32" s="225">
        <v>5.7000000000000002E-2</v>
      </c>
      <c r="Y32" s="226">
        <f>IF(OR(W32="",X32="",W32="-",X32="-"),"-",W32-X32)</f>
        <v>9.0000000000000011E-3</v>
      </c>
      <c r="AB32" s="7" t="str">
        <f>IF(OR(Z32="",AA32="",Z32="-",AA32="-"),"-",Z32-AA32)</f>
        <v>-</v>
      </c>
      <c r="AE32" s="7" t="str">
        <f>IF(OR(AC32="",AD32="",AC32="-",AD32="-"),"-",AC32-AD32)</f>
        <v>-</v>
      </c>
      <c r="AH32" s="7" t="str">
        <f>IF(OR(AF32="",AG32="",AF32="-",AG32="-"),"-",AF32-AG32)</f>
        <v>-</v>
      </c>
      <c r="AI32" s="24">
        <v>8.0000000000000002E-3</v>
      </c>
      <c r="AJ32" s="24">
        <v>1.9E-2</v>
      </c>
      <c r="AK32" s="7">
        <f>IF(OR(AI32="",AJ32="",AI32="-",AJ32="-"),"-",AI32-AJ32)</f>
        <v>-1.0999999999999999E-2</v>
      </c>
      <c r="AN32" s="7" t="str">
        <f>IF(OR(AL32="",AM32="",AL32="-",AM32="-"),"-",AL32-AM32)</f>
        <v>-</v>
      </c>
      <c r="AO32" s="24">
        <v>4.0000000000000001E-3</v>
      </c>
      <c r="AP32" s="24">
        <v>8.9999999999999993E-3</v>
      </c>
      <c r="AQ32" s="7">
        <f>IF(OR(AO32="",AP32="",AO32="-",AP32="-"),"-",AO32-AP32)</f>
        <v>-4.9999999999999992E-3</v>
      </c>
      <c r="AT32" s="7" t="str">
        <f>IF(OR(AR32="",AS32="",AR32="-",AS32="-"),"-",AR32-AS32)</f>
        <v>-</v>
      </c>
      <c r="AW32" s="7" t="str">
        <f>IF(OR(AU32="",AV32="",AU32="-",AV32="-"),"-",AU32-AV32)</f>
        <v>-</v>
      </c>
      <c r="AZ32" s="7" t="str">
        <f>IF(OR(AX32="",AY32="",AX32="-",AY32="-"),"-",AX32-AY32)</f>
        <v>-</v>
      </c>
    </row>
    <row r="33" spans="1:52" s="255" customFormat="1" x14ac:dyDescent="0.25">
      <c r="A33" s="296" t="s">
        <v>113</v>
      </c>
      <c r="B33" s="217"/>
      <c r="C33" s="217"/>
      <c r="D33" s="281" t="str">
        <f>IF(OR(B33="",C33="",B33="-",C33="-"),"-",B33-C33)</f>
        <v>-</v>
      </c>
      <c r="E33" s="217" t="s">
        <v>297</v>
      </c>
      <c r="F33" s="217">
        <v>6.93</v>
      </c>
      <c r="G33" s="281">
        <f>IF(OR(E33="",F33="",E33="-",F33="-"),"-",E33-F33)</f>
        <v>-0.38999999999999968</v>
      </c>
      <c r="H33" s="217" t="s">
        <v>211</v>
      </c>
      <c r="I33" s="217" t="s">
        <v>209</v>
      </c>
      <c r="J33" s="281">
        <f>IF(OR(H33="",I33="",H33="-",I33="-"),"-",H33-I33)</f>
        <v>2.0000000000006679E-3</v>
      </c>
      <c r="K33" s="217" t="s">
        <v>209</v>
      </c>
      <c r="L33" s="217"/>
      <c r="M33" s="281" t="str">
        <f>IF(OR(K33="",L33="",K33="-",L33="-"),"-",K33-L33)</f>
        <v>-</v>
      </c>
      <c r="N33" s="217" t="s">
        <v>291</v>
      </c>
      <c r="O33" s="217" t="s">
        <v>292</v>
      </c>
      <c r="P33" s="281">
        <f>IF(OR(N33="",O33="",N33="-",O33="-"),"-",N33-O33)</f>
        <v>2.0000000000000462E-2</v>
      </c>
      <c r="Q33" s="217" t="s">
        <v>290</v>
      </c>
      <c r="R33" s="217" t="s">
        <v>289</v>
      </c>
      <c r="S33" s="281">
        <f>IF(OR(Q33="",R33="",Q33="-",R33="-"),"-",Q33-R33)</f>
        <v>-0.53000000000000025</v>
      </c>
      <c r="T33" s="217" t="s">
        <v>287</v>
      </c>
      <c r="U33" s="217" t="s">
        <v>288</v>
      </c>
      <c r="V33" s="281">
        <f>IF(OR(T33="",U33="",T33="-",U33="-"),"-",T33-U33)</f>
        <v>0.36999999999999922</v>
      </c>
      <c r="W33" s="217" t="s">
        <v>285</v>
      </c>
      <c r="X33" s="217" t="s">
        <v>286</v>
      </c>
      <c r="Y33" s="281">
        <f>IF(OR(W33="",X33="",W33="-",X33="-"),"-",W33-X33)</f>
        <v>0.1899999999999995</v>
      </c>
      <c r="Z33" s="13" t="s">
        <v>196</v>
      </c>
      <c r="AA33" s="13" t="s">
        <v>197</v>
      </c>
      <c r="AB33" s="314">
        <f>IF(OR(Z33="",AA33="",Z33="-",AA33="-"),"-",Z33-AA33)</f>
        <v>-0.5699999999999994</v>
      </c>
      <c r="AC33" s="13" t="s">
        <v>198</v>
      </c>
      <c r="AD33" s="13" t="s">
        <v>199</v>
      </c>
      <c r="AE33" s="314">
        <f>IF(OR(AC33="",AD33="",AC33="-",AD33="-"),"-",AC33-AD33)</f>
        <v>-0.41999999999999993</v>
      </c>
      <c r="AF33" s="13" t="s">
        <v>200</v>
      </c>
      <c r="AG33" s="13" t="s">
        <v>201</v>
      </c>
      <c r="AH33" s="314">
        <f>IF(OR(AF33="",AG33="",AF33="-",AG33="-"),"-",AF33-AG33)</f>
        <v>0.25999999999999979</v>
      </c>
      <c r="AI33" s="13" t="s">
        <v>198</v>
      </c>
      <c r="AJ33" s="13" t="s">
        <v>202</v>
      </c>
      <c r="AK33" s="314">
        <f>IF(OR(AI33="",AJ33="",AI33="-",AJ33="-"),"-",AI33-AJ33)</f>
        <v>0.37000000000000011</v>
      </c>
      <c r="AL33" s="13" t="s">
        <v>203</v>
      </c>
      <c r="AM33" s="13" t="s">
        <v>204</v>
      </c>
      <c r="AN33" s="314">
        <f>IF(OR(AL33="",AM33="",AL33="-",AM33="-"),"-",AL33-AM33)</f>
        <v>-0.41999999999999993</v>
      </c>
      <c r="AO33" s="13" t="s">
        <v>205</v>
      </c>
      <c r="AP33" s="13" t="s">
        <v>206</v>
      </c>
      <c r="AQ33" s="314">
        <f>IF(OR(AO33="",AP33="",AO33="-",AP33="-"),"-",AO33-AP33)</f>
        <v>-0.24000000000000021</v>
      </c>
      <c r="AR33" s="13" t="s">
        <v>207</v>
      </c>
      <c r="AS33" s="13" t="s">
        <v>208</v>
      </c>
      <c r="AT33" s="314">
        <f>IF(OR(AR33="",AS33="",AR33="-",AS33="-"),"-",AR33-AS33)</f>
        <v>-5.0000000000000711E-2</v>
      </c>
      <c r="AU33" s="13" t="s">
        <v>209</v>
      </c>
      <c r="AV33" s="13" t="s">
        <v>210</v>
      </c>
      <c r="AW33" s="314">
        <f>IF(OR(AU33="",AV33="",AU33="-",AV33="-"),"-",AU33-AV33)</f>
        <v>-0.32500000000000107</v>
      </c>
      <c r="AX33" s="13" t="s">
        <v>211</v>
      </c>
      <c r="AY33" s="13" t="s">
        <v>212</v>
      </c>
      <c r="AZ33" s="314">
        <f>IF(OR(AX33="",AY33="",AX33="-",AY33="-"),"-",AX33-AY33)</f>
        <v>-0.25999999999999979</v>
      </c>
    </row>
    <row r="34" spans="1:52" x14ac:dyDescent="0.25">
      <c r="A34" s="241" t="s">
        <v>114</v>
      </c>
      <c r="B34" s="223"/>
      <c r="C34" s="223"/>
      <c r="D34" s="226" t="str">
        <f>IF(OR(B34="",C34="",B34="-",C34="-"),"-",B34-C34)</f>
        <v>-</v>
      </c>
      <c r="E34" s="225">
        <v>1.1779999999999999</v>
      </c>
      <c r="F34" s="225">
        <v>-8.3000000000000004E-2</v>
      </c>
      <c r="G34" s="226">
        <f>IF(OR(E34="",F34="",E34="-",F34="-"),"-",E34-F34)</f>
        <v>1.2609999999999999</v>
      </c>
      <c r="H34" s="225">
        <v>7.0000000000000001E-3</v>
      </c>
      <c r="I34" s="225">
        <v>-3.3000000000000002E-2</v>
      </c>
      <c r="J34" s="226">
        <f>IF(OR(H34="",I34="",H34="-",I34="-"),"-",H34-I34)</f>
        <v>0.04</v>
      </c>
      <c r="K34" s="225">
        <v>-3.3000000000000002E-2</v>
      </c>
      <c r="L34" s="223"/>
      <c r="M34" s="226" t="str">
        <f>IF(OR(K34="",L34="",K34="-",L34="-"),"-",K34-L34)</f>
        <v>-</v>
      </c>
      <c r="N34" s="225">
        <v>-0.25800000000000001</v>
      </c>
      <c r="O34" s="225">
        <v>0.13300000000000001</v>
      </c>
      <c r="P34" s="226">
        <f>IF(OR(N34="",O34="",N34="-",O34="-"),"-",N34-O34)</f>
        <v>-0.39100000000000001</v>
      </c>
      <c r="Q34" s="225">
        <v>0.13300000000000001</v>
      </c>
      <c r="R34" s="225">
        <v>-1.6E-2</v>
      </c>
      <c r="S34" s="226">
        <f>IF(OR(Q34="",R34="",Q34="-",R34="-"),"-",Q34-R34)</f>
        <v>0.14900000000000002</v>
      </c>
      <c r="T34" s="225">
        <v>-1.6E-2</v>
      </c>
      <c r="U34" s="228">
        <v>0.47</v>
      </c>
      <c r="V34" s="226">
        <f>IF(OR(T34="",U34="",T34="-",U34="-"),"-",T34-U34)</f>
        <v>-0.48599999999999999</v>
      </c>
      <c r="W34" s="228">
        <v>0.47</v>
      </c>
      <c r="X34" s="225">
        <v>0.627</v>
      </c>
      <c r="Y34" s="226">
        <f>IF(OR(W34="",X34="",W34="-",X34="-"),"-",W34-X34)</f>
        <v>-0.15700000000000003</v>
      </c>
      <c r="Z34" s="24">
        <v>0.627</v>
      </c>
      <c r="AA34" s="24">
        <v>1.032</v>
      </c>
      <c r="AB34" s="7">
        <f>IF(OR(Z34="",AA34="",Z34="-",AA34="-"),"-",Z34-AA34)</f>
        <v>-0.40500000000000003</v>
      </c>
      <c r="AC34" s="24">
        <v>0.10199999999999999</v>
      </c>
      <c r="AD34" s="24">
        <v>0.114</v>
      </c>
      <c r="AE34" s="7">
        <f>IF(OR(AC34="",AD34="",AC34="-",AD34="-"),"-",AC34-AD34)</f>
        <v>-1.2000000000000011E-2</v>
      </c>
      <c r="AF34" s="24">
        <v>0.114</v>
      </c>
      <c r="AG34" s="24">
        <v>0.26800000000000002</v>
      </c>
      <c r="AH34" s="7">
        <f>IF(OR(AF34="",AG34="",AF34="-",AG34="-"),"-",AF34-AG34)</f>
        <v>-0.15400000000000003</v>
      </c>
      <c r="AI34" s="24">
        <v>0.26800000000000002</v>
      </c>
      <c r="AJ34" s="24">
        <v>0.50900000000000001</v>
      </c>
      <c r="AK34" s="7">
        <f>IF(OR(AI34="",AJ34="",AI34="-",AJ34="-"),"-",AI34-AJ34)</f>
        <v>-0.24099999999999999</v>
      </c>
      <c r="AL34" s="24">
        <v>0.50900000000000001</v>
      </c>
      <c r="AM34" s="24">
        <v>0.53400000000000003</v>
      </c>
      <c r="AN34" s="7">
        <f>IF(OR(AL34="",AM34="",AL34="-",AM34="-"),"-",AL34-AM34)</f>
        <v>-2.5000000000000022E-2</v>
      </c>
      <c r="AO34" s="24">
        <v>0.01</v>
      </c>
      <c r="AP34" s="24">
        <v>9.1999999999999998E-2</v>
      </c>
      <c r="AQ34" s="7">
        <f>IF(OR(AO34="",AP34="",AO34="-",AP34="-"),"-",AO34-AP34)</f>
        <v>-8.2000000000000003E-2</v>
      </c>
      <c r="AR34" s="24">
        <v>0.19800000000000001</v>
      </c>
      <c r="AS34" s="24">
        <v>-0.20300000000000001</v>
      </c>
      <c r="AT34" s="7">
        <f>IF(OR(AR34="",AS34="",AR34="-",AS34="-"),"-",AR34-AS34)</f>
        <v>0.40100000000000002</v>
      </c>
      <c r="AU34" s="24">
        <v>-3.3000000000000002E-2</v>
      </c>
      <c r="AV34" s="24">
        <v>7.0000000000000001E-3</v>
      </c>
      <c r="AW34" s="7">
        <f>IF(OR(AU34="",AV34="",AU34="-",AV34="-"),"-",AU34-AV34)</f>
        <v>-0.04</v>
      </c>
      <c r="AX34" s="24">
        <v>7.0000000000000001E-3</v>
      </c>
      <c r="AY34" s="24">
        <v>8.7999999999999995E-2</v>
      </c>
      <c r="AZ34" s="7">
        <f>IF(OR(AX34="",AY34="",AX34="-",AY34="-"),"-",AX34-AY34)</f>
        <v>-8.0999999999999989E-2</v>
      </c>
    </row>
    <row r="35" spans="1:52" x14ac:dyDescent="0.25">
      <c r="A35" s="241"/>
      <c r="B35" s="223"/>
      <c r="C35" s="223"/>
      <c r="D35" s="218" t="str">
        <f>IF(OR(B35="",C35="",B35="-",C35="-"),"-",B35-C35)</f>
        <v>-</v>
      </c>
      <c r="E35" s="223"/>
      <c r="F35" s="223"/>
      <c r="G35" s="218" t="str">
        <f>IF(OR(E35="",F35="",E35="-",F35="-"),"-",E35-F35)</f>
        <v>-</v>
      </c>
      <c r="H35" s="223"/>
      <c r="I35" s="223"/>
      <c r="J35" s="218" t="str">
        <f>IF(OR(H35="",I35="",H35="-",I35="-"),"-",H35-I35)</f>
        <v>-</v>
      </c>
      <c r="K35" s="223"/>
      <c r="L35" s="223"/>
      <c r="M35" s="218" t="str">
        <f>IF(OR(K35="",L35="",K35="-",L35="-"),"-",K35-L35)</f>
        <v>-</v>
      </c>
      <c r="N35" s="223"/>
      <c r="O35" s="223"/>
      <c r="P35" s="218" t="str">
        <f>IF(OR(N35="",O35="",N35="-",O35="-"),"-",N35-O35)</f>
        <v>-</v>
      </c>
      <c r="Q35" s="223"/>
      <c r="R35" s="223"/>
      <c r="S35" s="218" t="str">
        <f>IF(OR(Q35="",R35="",Q35="-",R35="-"),"-",Q35-R35)</f>
        <v>-</v>
      </c>
      <c r="T35" s="223"/>
      <c r="U35" s="223"/>
      <c r="V35" s="218" t="str">
        <f>IF(OR(T35="",U35="",T35="-",U35="-"),"-",T35-U35)</f>
        <v>-</v>
      </c>
      <c r="W35" s="223"/>
      <c r="X35" s="223"/>
      <c r="Y35" s="218" t="str">
        <f>IF(OR(W35="",X35="",W35="-",X35="-"),"-",W35-X35)</f>
        <v>-</v>
      </c>
      <c r="AB35" s="20" t="str">
        <f>IF(OR(Z35="",AA35="",Z35="-",AA35="-"),"-",Z35-AA35)</f>
        <v>-</v>
      </c>
      <c r="AE35" s="20" t="str">
        <f>IF(OR(AC35="",AD35="",AC35="-",AD35="-"),"-",AC35-AD35)</f>
        <v>-</v>
      </c>
      <c r="AH35" s="20" t="str">
        <f>IF(OR(AF35="",AG35="",AF35="-",AG35="-"),"-",AF35-AG35)</f>
        <v>-</v>
      </c>
      <c r="AK35" s="20" t="str">
        <f>IF(OR(AI35="",AJ35="",AI35="-",AJ35="-"),"-",AI35-AJ35)</f>
        <v>-</v>
      </c>
      <c r="AN35" s="20" t="str">
        <f>IF(OR(AL35="",AM35="",AL35="-",AM35="-"),"-",AL35-AM35)</f>
        <v>-</v>
      </c>
      <c r="AQ35" s="20" t="str">
        <f>IF(OR(AO35="",AP35="",AO35="-",AP35="-"),"-",AO35-AP35)</f>
        <v>-</v>
      </c>
      <c r="AT35" s="20" t="str">
        <f>IF(OR(AR35="",AS35="",AR35="-",AS35="-"),"-",AR35-AS35)</f>
        <v>-</v>
      </c>
      <c r="AW35" s="20" t="str">
        <f>IF(OR(AU35="",AV35="",AU35="-",AV35="-"),"-",AU35-AV35)</f>
        <v>-</v>
      </c>
      <c r="AZ35" s="20" t="str">
        <f>IF(OR(AX35="",AY35="",AX35="-",AY35="-"),"-",AX35-AY35)</f>
        <v>-</v>
      </c>
    </row>
    <row r="36" spans="1:52" x14ac:dyDescent="0.25">
      <c r="A36" s="236" t="s">
        <v>42</v>
      </c>
      <c r="B36" s="332" t="str">
        <f>IF(AND(D37="-", D38="-", D39="-", D40="-", D41="-", D42="-", D43="-", D44="-", D45="-", D46="-"), "",
    IF(SUM(
        IF(D37="-", 0, IF(D37&lt;0, -2, IF(D37&gt;0, 2, 0))),
        IF(D38="-", 0, IF(D38&lt;0, -2, IF(D38&gt;0, 2, 0))),
        IF(D39="-", 0, IF(D39&lt;0, -2, IF(D39&gt;0, 2, 0))),
        IF(D40="-", 0, IF(D40&lt;0, -2, IF(D40&gt;0, 2, 0))),
        IF(D41="-", 0, IF(D41&lt;0, -2, IF(D41&gt;0, 2, 0))),
        IF(D42="-", 0, IF(D42&lt;0, -1, IF(D42&gt;0, 1, 0))),
        IF(D43="-", 0, IF(D43&lt;0, -1, IF(D43&gt;0, 1, 0))),
        IF(D44="-", 0, IF(D44&lt;0, -1, IF(D44&gt;0, 1, 0))),
        IF(D45="-", 0, IF(D45&lt;0, -1, IF(D45&gt;0, 1, 0))),
        IF(D46="-", 0, IF(D46&lt;0, -1, IF(D46&gt;0, 1, 0))),
        IF(D47="-", 0, IF(D47&lt;0, -1, IF(D47&gt;0, 1, 0)))
    ) / 17 &gt; 0.1, "BULLISH",
    IF(SUM(
        IF(D37="-", 0, IF(D37&lt;0, -2, IF(D37&gt;0, 2, 0))),
        IF(D38="-", 0, IF(D38&lt;0, -2, IF(D38&gt;0, 2, 0))),
        IF(D39="-", 0, IF(D39&lt;0, -2, IF(D39&gt;0, 2, 0))),
        IF(D40="-", 0, IF(D40&lt;0, -2, IF(D40&gt;0, 2, 0))),
        IF(D41="-", 0, IF(D41&lt;0, -2, IF(D41&gt;0, 2, 0))),
        IF(D42="-", 0, IF(D42&lt;0, -1, IF(D42&gt;0, 1, 0))),
        IF(D43="-", 0, IF(D43&lt;0, -1, IF(D43&gt;0, 1, 0))),
        IF(D44="-", 0, IF(D44&lt;0, -1, IF(D44&gt;0, 1, 0))),
        IF(D45="-", 0, IF(D45&lt;0, -1, IF(D45&gt;0, 1, 0))),
        IF(D46="-", 0, IF(D46&lt;0, -1, IF(D46&gt;0, 1, 0))),
        IF(D47="-", 0, IF(D47&lt;0, -1, IF(D47&gt;0, 1, 0)))
    ) / 17 &lt; -0.1, "BEARISH",
    IF(SUM(
        IF(D37="-", 0, IF(D37&lt;0, -2, IF(D37&gt;0, 2, 0))),
        IF(D38="-", 0, IF(D38&lt;0, -2, IF(D38&gt;0, 2, 0))),
        IF(D39="-", 0, IF(D39&lt;0, -2, IF(D39&gt;0, 2, 0))),
        IF(D40="-", 0, IF(D40&lt;0, -2, IF(D40&gt;0, 2, 0))),
        IF(D41="-", 0, IF(D41&lt;0, -2, IF(D41&gt;0, 2, 0))),
        IF(D42="-", 0, IF(D42&lt;0, -1, IF(D42&gt;0, 1, 0))),
        IF(D43="-", 0, IF(D43&lt;0, -1, IF(D43&gt;0, 1, 0))),
        IF(D44="-", 0, IF(D44&lt;0, -1, IF(D44&gt;0, 1, 0))),
        IF(D45="-", 0, IF(D45&lt;0, -1, IF(D45&gt;0, 1, 0))),
        IF(D46="-", 0, IF(D46&lt;0, -1, IF(D46&gt;0, 1, 0))),
        IF(D47="-", 0, IF(D47&lt;0, -1, IF(D47&gt;0, 1, 0)))
    ) / 17 &gt; -0.1, "NEUTRO",
    IF(SUM(
        IF(D37="-", 0, IF(D37&lt;0, -2, IF(D37&gt;0, 2, 0))),
        IF(D38="-", 0, IF(D38&lt;0, -2, IF(D38&gt;0, 2, 0))),
        IF(D39="-", 0, IF(D39&lt;0, -2, IF(D39&gt;0, 2, 0))),
        IF(D40="-", 0, IF(D40&lt;0, -2, IF(D40&gt;0, 2, 0))),
        IF(D41="-", 0, IF(D41&lt;0, -2, IF(D41&gt;0, 2, 0))),
        IF(D42="-", 0, IF(D42&lt;0, -1, IF(D42&gt;0, 1, 0))),
        IF(D43="-", 0, IF(D43&lt;0, -1, IF(D43&gt;0, 1, 0))),
        IF(D44="-", 0, IF(D44&lt;0, -1, IF(D44&gt;0, 1, 0))),
        IF(D45="-", 0, IF(D45&lt;0, -1, IF(D45&gt;0, 1, 0))),
        IF(D46="-", 0, IF(D46&lt;0, -1, IF(D46&gt;0, 1, 0))),
        IF(D47="-", 0, IF(D47&lt;0, -1, IF(D47&gt;0, 1, 0)))
    ) / 17 &lt; 0.1, "NEUTRO", "")))))</f>
        <v/>
      </c>
      <c r="C36" s="332"/>
      <c r="D36" s="332"/>
      <c r="E36" s="332" t="str">
        <f>IF(AND(G37="-", G38="-", G39="-", G40="-", G41="-", G42="-", G43="-", G44="-", G45="-", G46="-"), "",
    IF(SUM(
        IF(G37="-", 0, IF(G37&lt;0, -2, IF(G37&gt;0, 2, 0))),
        IF(G38="-", 0, IF(G38&lt;0, -2, IF(G38&gt;0, 2, 0))),
        IF(G39="-", 0, IF(G39&lt;0, -2, IF(G39&gt;0, 2, 0))),
        IF(G40="-", 0, IF(G40&lt;0, -2, IF(G40&gt;0, 2, 0))),
        IF(G41="-", 0, IF(G41&lt;0, -2, IF(G41&gt;0, 2, 0))),
        IF(G42="-", 0, IF(G42&lt;0, -1, IF(G42&gt;0, 1, 0))),
        IF(G43="-", 0, IF(G43&lt;0, -1, IF(G43&gt;0, 1, 0))),
        IF(G44="-", 0, IF(G44&lt;0, -1, IF(G44&gt;0, 1, 0))),
        IF(G45="-", 0, IF(G45&lt;0, -1, IF(G45&gt;0, 1, 0))),
        IF(G46="-", 0, IF(G46&lt;0, -1, IF(G46&gt;0, 1, 0))),
        IF(G47="-", 0, IF(G47&lt;0, -1, IF(G47&gt;0, 1, 0)))
    ) / 17 &gt; 0.1, "BULLISH",
    IF(SUM(
        IF(G37="-", 0, IF(G37&lt;0, -2, IF(G37&gt;0, 2, 0))),
        IF(G38="-", 0, IF(G38&lt;0, -2, IF(G38&gt;0, 2, 0))),
        IF(G39="-", 0, IF(G39&lt;0, -2, IF(G39&gt;0, 2, 0))),
        IF(G40="-", 0, IF(G40&lt;0, -2, IF(G40&gt;0, 2, 0))),
        IF(G41="-", 0, IF(G41&lt;0, -2, IF(G41&gt;0, 2, 0))),
        IF(G42="-", 0, IF(G42&lt;0, -1, IF(G42&gt;0, 1, 0))),
        IF(G43="-", 0, IF(G43&lt;0, -1, IF(G43&gt;0, 1, 0))),
        IF(G44="-", 0, IF(G44&lt;0, -1, IF(G44&gt;0, 1, 0))),
        IF(G45="-", 0, IF(G45&lt;0, -1, IF(G45&gt;0, 1, 0))),
        IF(G46="-", 0, IF(G46&lt;0, -1, IF(G46&gt;0, 1, 0))),
        IF(G47="-", 0, IF(G47&lt;0, -1, IF(G47&gt;0, 1, 0)))
    ) / 17 &lt; -0.1, "BEARISH",
    IF(SUM(
        IF(G37="-", 0, IF(G37&lt;0, -2, IF(G37&gt;0, 2, 0))),
        IF(G38="-", 0, IF(G38&lt;0, -2, IF(G38&gt;0, 2, 0))),
        IF(G39="-", 0, IF(G39&lt;0, -2, IF(G39&gt;0, 2, 0))),
        IF(G40="-", 0, IF(G40&lt;0, -2, IF(G40&gt;0, 2, 0))),
        IF(G41="-", 0, IF(G41&lt;0, -2, IF(G41&gt;0, 2, 0))),
        IF(G42="-", 0, IF(G42&lt;0, -1, IF(G42&gt;0, 1, 0))),
        IF(G43="-", 0, IF(G43&lt;0, -1, IF(G43&gt;0, 1, 0))),
        IF(G44="-", 0, IF(G44&lt;0, -1, IF(G44&gt;0, 1, 0))),
        IF(G45="-", 0, IF(G45&lt;0, -1, IF(G45&gt;0, 1, 0))),
        IF(G46="-", 0, IF(G46&lt;0, -1, IF(G46&gt;0, 1, 0))),
        IF(G47="-", 0, IF(G47&lt;0, -1, IF(G47&gt;0, 1, 0)))
    ) / 17 &gt; -0.1, "NEUTRO",
    IF(SUM(
        IF(G37="-", 0, IF(G37&lt;0, -2, IF(G37&gt;0, 2, 0))),
        IF(G38="-", 0, IF(G38&lt;0, -2, IF(G38&gt;0, 2, 0))),
        IF(G39="-", 0, IF(G39&lt;0, -2, IF(G39&gt;0, 2, 0))),
        IF(G40="-", 0, IF(G40&lt;0, -2, IF(G40&gt;0, 2, 0))),
        IF(G41="-", 0, IF(G41&lt;0, -2, IF(G41&gt;0, 2, 0))),
        IF(G42="-", 0, IF(G42&lt;0, -1, IF(G42&gt;0, 1, 0))),
        IF(G43="-", 0, IF(G43&lt;0, -1, IF(G43&gt;0, 1, 0))),
        IF(G44="-", 0, IF(G44&lt;0, -1, IF(G44&gt;0, 1, 0))),
        IF(G45="-", 0, IF(G45&lt;0, -1, IF(G45&gt;0, 1, 0))),
        IF(G46="-", 0, IF(G46&lt;0, -1, IF(G46&gt;0, 1, 0))),
        IF(G47="-", 0, IF(G47&lt;0, -1, IF(G47&gt;0, 1, 0)))
    ) / 17 &lt; 0.1, "NEUTRO", "")))))</f>
        <v>BULLISH</v>
      </c>
      <c r="F36" s="332"/>
      <c r="G36" s="332"/>
      <c r="H36" s="332" t="str">
        <f>IF(AND(J37="-", J38="-", J39="-", J40="-", J41="-", J42="-", J43="-", J44="-", J45="-", J46="-"), "",
    IF(SUM(
        IF(J37="-", 0, IF(J37&lt;0, -2, IF(J37&gt;0, 2, 0))),
        IF(J38="-", 0, IF(J38&lt;0, -2, IF(J38&gt;0, 2, 0))),
        IF(J39="-", 0, IF(J39&lt;0, -2, IF(J39&gt;0, 2, 0))),
        IF(J40="-", 0, IF(J40&lt;0, -2, IF(J40&gt;0, 2, 0))),
        IF(J41="-", 0, IF(J41&lt;0, -2, IF(J41&gt;0, 2, 0))),
        IF(J42="-", 0, IF(J42&lt;0, -1, IF(J42&gt;0, 1, 0))),
        IF(J43="-", 0, IF(J43&lt;0, -1, IF(J43&gt;0, 1, 0))),
        IF(J44="-", 0, IF(J44&lt;0, -1, IF(J44&gt;0, 1, 0))),
        IF(J45="-", 0, IF(J45&lt;0, -1, IF(J45&gt;0, 1, 0))),
        IF(J46="-", 0, IF(J46&lt;0, -1, IF(J46&gt;0, 1, 0))),
        IF(J47="-", 0, IF(J47&lt;0, -1, IF(J47&gt;0, 1, 0)))
    ) / 17 &gt; 0.1, "BULLISH",
    IF(SUM(
        IF(J37="-", 0, IF(J37&lt;0, -2, IF(J37&gt;0, 2, 0))),
        IF(J38="-", 0, IF(J38&lt;0, -2, IF(J38&gt;0, 2, 0))),
        IF(J39="-", 0, IF(J39&lt;0, -2, IF(J39&gt;0, 2, 0))),
        IF(J40="-", 0, IF(J40&lt;0, -2, IF(J40&gt;0, 2, 0))),
        IF(J41="-", 0, IF(J41&lt;0, -2, IF(J41&gt;0, 2, 0))),
        IF(J42="-", 0, IF(J42&lt;0, -1, IF(J42&gt;0, 1, 0))),
        IF(J43="-", 0, IF(J43&lt;0, -1, IF(J43&gt;0, 1, 0))),
        IF(J44="-", 0, IF(J44&lt;0, -1, IF(J44&gt;0, 1, 0))),
        IF(J45="-", 0, IF(J45&lt;0, -1, IF(J45&gt;0, 1, 0))),
        IF(J46="-", 0, IF(J46&lt;0, -1, IF(J46&gt;0, 1, 0))),
        IF(J47="-", 0, IF(J47&lt;0, -1, IF(J47&gt;0, 1, 0)))
    ) / 17 &lt; -0.1, "BEARISH",
    IF(SUM(
        IF(J37="-", 0, IF(J37&lt;0, -2, IF(J37&gt;0, 2, 0))),
        IF(J38="-", 0, IF(J38&lt;0, -2, IF(J38&gt;0, 2, 0))),
        IF(J39="-", 0, IF(J39&lt;0, -2, IF(J39&gt;0, 2, 0))),
        IF(J40="-", 0, IF(J40&lt;0, -2, IF(J40&gt;0, 2, 0))),
        IF(J41="-", 0, IF(J41&lt;0, -2, IF(J41&gt;0, 2, 0))),
        IF(J42="-", 0, IF(J42&lt;0, -1, IF(J42&gt;0, 1, 0))),
        IF(J43="-", 0, IF(J43&lt;0, -1, IF(J43&gt;0, 1, 0))),
        IF(J44="-", 0, IF(J44&lt;0, -1, IF(J44&gt;0, 1, 0))),
        IF(J45="-", 0, IF(J45&lt;0, -1, IF(J45&gt;0, 1, 0))),
        IF(J46="-", 0, IF(J46&lt;0, -1, IF(J46&gt;0, 1, 0))),
        IF(J47="-", 0, IF(J47&lt;0, -1, IF(J47&gt;0, 1, 0)))
    ) / 17 &gt; -0.1, "NEUTRO",
    IF(SUM(
        IF(J37="-", 0, IF(J37&lt;0, -2, IF(J37&gt;0, 2, 0))),
        IF(J38="-", 0, IF(J38&lt;0, -2, IF(J38&gt;0, 2, 0))),
        IF(J39="-", 0, IF(J39&lt;0, -2, IF(J39&gt;0, 2, 0))),
        IF(J40="-", 0, IF(J40&lt;0, -2, IF(J40&gt;0, 2, 0))),
        IF(J41="-", 0, IF(J41&lt;0, -2, IF(J41&gt;0, 2, 0))),
        IF(J42="-", 0, IF(J42&lt;0, -1, IF(J42&gt;0, 1, 0))),
        IF(J43="-", 0, IF(J43&lt;0, -1, IF(J43&gt;0, 1, 0))),
        IF(J44="-", 0, IF(J44&lt;0, -1, IF(J44&gt;0, 1, 0))),
        IF(J45="-", 0, IF(J45&lt;0, -1, IF(J45&gt;0, 1, 0))),
        IF(J46="-", 0, IF(J46&lt;0, -1, IF(J46&gt;0, 1, 0))),
        IF(J47="-", 0, IF(J47&lt;0, -1, IF(J47&gt;0, 1, 0)))
    ) / 17 &lt; 0.1, "NEUTRO", "")))))</f>
        <v>BULLISH</v>
      </c>
      <c r="I36" s="332"/>
      <c r="J36" s="332"/>
      <c r="K36" s="332" t="str">
        <f>IF(AND(M37="-", M38="-", M39="-", M40="-", M41="-", M42="-", M43="-", M44="-", M45="-", M46="-"), "",
    IF(SUM(
        IF(M37="-", 0, IF(M37&lt;0, -2, IF(M37&gt;0, 2, 0))),
        IF(M38="-", 0, IF(M38&lt;0, -2, IF(M38&gt;0, 2, 0))),
        IF(M39="-", 0, IF(M39&lt;0, -2, IF(M39&gt;0, 2, 0))),
        IF(M40="-", 0, IF(M40&lt;0, -2, IF(M40&gt;0, 2, 0))),
        IF(M41="-", 0, IF(M41&lt;0, -2, IF(M41&gt;0, 2, 0))),
        IF(M42="-", 0, IF(M42&lt;0, -1, IF(M42&gt;0, 1, 0))),
        IF(M43="-", 0, IF(M43&lt;0, -1, IF(M43&gt;0, 1, 0))),
        IF(M44="-", 0, IF(M44&lt;0, -1, IF(M44&gt;0, 1, 0))),
        IF(M45="-", 0, IF(M45&lt;0, -1, IF(M45&gt;0, 1, 0))),
        IF(M46="-", 0, IF(M46&lt;0, -1, IF(M46&gt;0, 1, 0))),
        IF(M47="-", 0, IF(M47&lt;0, -1, IF(M47&gt;0, 1, 0)))
    ) / 17 &gt; 0.1, "BULLISH",
    IF(SUM(
        IF(M37="-", 0, IF(M37&lt;0, -2, IF(M37&gt;0, 2, 0))),
        IF(M38="-", 0, IF(M38&lt;0, -2, IF(M38&gt;0, 2, 0))),
        IF(M39="-", 0, IF(M39&lt;0, -2, IF(M39&gt;0, 2, 0))),
        IF(M40="-", 0, IF(M40&lt;0, -2, IF(M40&gt;0, 2, 0))),
        IF(M41="-", 0, IF(M41&lt;0, -2, IF(M41&gt;0, 2, 0))),
        IF(M42="-", 0, IF(M42&lt;0, -1, IF(M42&gt;0, 1, 0))),
        IF(M43="-", 0, IF(M43&lt;0, -1, IF(M43&gt;0, 1, 0))),
        IF(M44="-", 0, IF(M44&lt;0, -1, IF(M44&gt;0, 1, 0))),
        IF(M45="-", 0, IF(M45&lt;0, -1, IF(M45&gt;0, 1, 0))),
        IF(M46="-", 0, IF(M46&lt;0, -1, IF(M46&gt;0, 1, 0))),
        IF(M47="-", 0, IF(M47&lt;0, -1, IF(M47&gt;0, 1, 0)))
    ) / 17 &lt; -0.1, "BEARISH",
    IF(SUM(
        IF(M37="-", 0, IF(M37&lt;0, -2, IF(M37&gt;0, 2, 0))),
        IF(M38="-", 0, IF(M38&lt;0, -2, IF(M38&gt;0, 2, 0))),
        IF(M39="-", 0, IF(M39&lt;0, -2, IF(M39&gt;0, 2, 0))),
        IF(M40="-", 0, IF(M40&lt;0, -2, IF(M40&gt;0, 2, 0))),
        IF(M41="-", 0, IF(M41&lt;0, -2, IF(M41&gt;0, 2, 0))),
        IF(M42="-", 0, IF(M42&lt;0, -1, IF(M42&gt;0, 1, 0))),
        IF(M43="-", 0, IF(M43&lt;0, -1, IF(M43&gt;0, 1, 0))),
        IF(M44="-", 0, IF(M44&lt;0, -1, IF(M44&gt;0, 1, 0))),
        IF(M45="-", 0, IF(M45&lt;0, -1, IF(M45&gt;0, 1, 0))),
        IF(M46="-", 0, IF(M46&lt;0, -1, IF(M46&gt;0, 1, 0))),
        IF(M47="-", 0, IF(M47&lt;0, -1, IF(M47&gt;0, 1, 0)))
    ) / 17 &gt; -0.1, "NEUTRO",
    IF(SUM(
        IF(M37="-", 0, IF(M37&lt;0, -2, IF(M37&gt;0, 2, 0))),
        IF(M38="-", 0, IF(M38&lt;0, -2, IF(M38&gt;0, 2, 0))),
        IF(M39="-", 0, IF(M39&lt;0, -2, IF(M39&gt;0, 2, 0))),
        IF(M40="-", 0, IF(M40&lt;0, -2, IF(M40&gt;0, 2, 0))),
        IF(M41="-", 0, IF(M41&lt;0, -2, IF(M41&gt;0, 2, 0))),
        IF(M42="-", 0, IF(M42&lt;0, -1, IF(M42&gt;0, 1, 0))),
        IF(M43="-", 0, IF(M43&lt;0, -1, IF(M43&gt;0, 1, 0))),
        IF(M44="-", 0, IF(M44&lt;0, -1, IF(M44&gt;0, 1, 0))),
        IF(M45="-", 0, IF(M45&lt;0, -1, IF(M45&gt;0, 1, 0))),
        IF(M46="-", 0, IF(M46&lt;0, -1, IF(M46&gt;0, 1, 0))),
        IF(M47="-", 0, IF(M47&lt;0, -1, IF(M47&gt;0, 1, 0)))
    ) / 17 &lt; 0.1, "NEUTRO", "")))))</f>
        <v/>
      </c>
      <c r="L36" s="332"/>
      <c r="M36" s="332"/>
      <c r="N36" s="332" t="str">
        <f>IF(AND(P37="-", P38="-", P39="-", P40="-", P41="-", P42="-", P43="-", P44="-", P45="-", P46="-"), "",
    IF(SUM(
        IF(P37="-", 0, IF(P37&lt;0, -2, IF(P37&gt;0, 2, 0))),
        IF(P38="-", 0, IF(P38&lt;0, -2, IF(P38&gt;0, 2, 0))),
        IF(P39="-", 0, IF(P39&lt;0, -2, IF(P39&gt;0, 2, 0))),
        IF(P40="-", 0, IF(P40&lt;0, -2, IF(P40&gt;0, 2, 0))),
        IF(P41="-", 0, IF(P41&lt;0, -2, IF(P41&gt;0, 2, 0))),
        IF(P42="-", 0, IF(P42&lt;0, -1, IF(P42&gt;0, 1, 0))),
        IF(P43="-", 0, IF(P43&lt;0, -1, IF(P43&gt;0, 1, 0))),
        IF(P44="-", 0, IF(P44&lt;0, -1, IF(P44&gt;0, 1, 0))),
        IF(P45="-", 0, IF(P45&lt;0, -1, IF(P45&gt;0, 1, 0))),
        IF(P46="-", 0, IF(P46&lt;0, -1, IF(P46&gt;0, 1, 0))),
        IF(P47="-", 0, IF(P47&lt;0, -1, IF(P47&gt;0, 1, 0)))
    ) / 17 &gt; 0.1, "BULLISH",
    IF(SUM(
        IF(P37="-", 0, IF(P37&lt;0, -2, IF(P37&gt;0, 2, 0))),
        IF(P38="-", 0, IF(P38&lt;0, -2, IF(P38&gt;0, 2, 0))),
        IF(P39="-", 0, IF(P39&lt;0, -2, IF(P39&gt;0, 2, 0))),
        IF(P40="-", 0, IF(P40&lt;0, -2, IF(P40&gt;0, 2, 0))),
        IF(P41="-", 0, IF(P41&lt;0, -2, IF(P41&gt;0, 2, 0))),
        IF(P42="-", 0, IF(P42&lt;0, -1, IF(P42&gt;0, 1, 0))),
        IF(P43="-", 0, IF(P43&lt;0, -1, IF(P43&gt;0, 1, 0))),
        IF(P44="-", 0, IF(P44&lt;0, -1, IF(P44&gt;0, 1, 0))),
        IF(P45="-", 0, IF(P45&lt;0, -1, IF(P45&gt;0, 1, 0))),
        IF(P46="-", 0, IF(P46&lt;0, -1, IF(P46&gt;0, 1, 0))),
        IF(P47="-", 0, IF(P47&lt;0, -1, IF(P47&gt;0, 1, 0)))
    ) / 17 &lt; -0.1, "BEARISH",
    IF(SUM(
        IF(P37="-", 0, IF(P37&lt;0, -2, IF(P37&gt;0, 2, 0))),
        IF(P38="-", 0, IF(P38&lt;0, -2, IF(P38&gt;0, 2, 0))),
        IF(P39="-", 0, IF(P39&lt;0, -2, IF(P39&gt;0, 2, 0))),
        IF(P40="-", 0, IF(P40&lt;0, -2, IF(P40&gt;0, 2, 0))),
        IF(P41="-", 0, IF(P41&lt;0, -2, IF(P41&gt;0, 2, 0))),
        IF(P42="-", 0, IF(P42&lt;0, -1, IF(P42&gt;0, 1, 0))),
        IF(P43="-", 0, IF(P43&lt;0, -1, IF(P43&gt;0, 1, 0))),
        IF(P44="-", 0, IF(P44&lt;0, -1, IF(P44&gt;0, 1, 0))),
        IF(P45="-", 0, IF(P45&lt;0, -1, IF(P45&gt;0, 1, 0))),
        IF(P46="-", 0, IF(P46&lt;0, -1, IF(P46&gt;0, 1, 0))),
        IF(P47="-", 0, IF(P47&lt;0, -1, IF(P47&gt;0, 1, 0)))
    ) / 17 &gt; -0.1, "NEUTRO",
    IF(SUM(
        IF(P37="-", 0, IF(P37&lt;0, -2, IF(P37&gt;0, 2, 0))),
        IF(P38="-", 0, IF(P38&lt;0, -2, IF(P38&gt;0, 2, 0))),
        IF(P39="-", 0, IF(P39&lt;0, -2, IF(P39&gt;0, 2, 0))),
        IF(P40="-", 0, IF(P40&lt;0, -2, IF(P40&gt;0, 2, 0))),
        IF(P41="-", 0, IF(P41&lt;0, -2, IF(P41&gt;0, 2, 0))),
        IF(P42="-", 0, IF(P42&lt;0, -1, IF(P42&gt;0, 1, 0))),
        IF(P43="-", 0, IF(P43&lt;0, -1, IF(P43&gt;0, 1, 0))),
        IF(P44="-", 0, IF(P44&lt;0, -1, IF(P44&gt;0, 1, 0))),
        IF(P45="-", 0, IF(P45&lt;0, -1, IF(P45&gt;0, 1, 0))),
        IF(P46="-", 0, IF(P46&lt;0, -1, IF(P46&gt;0, 1, 0))),
        IF(P47="-", 0, IF(P47&lt;0, -1, IF(P47&gt;0, 1, 0)))
    ) / 17 &lt; 0.1, "NEUTRO", "")))))</f>
        <v>BEARISH</v>
      </c>
      <c r="O36" s="332"/>
      <c r="P36" s="332"/>
      <c r="Q36" s="332" t="str">
        <f>IF(AND(S37="-", S38="-", S39="-", S40="-", S41="-", S42="-", S43="-", S44="-", S45="-", S46="-"), "",
    IF(SUM(
        IF(S37="-", 0, IF(S37&lt;0, -2, IF(S37&gt;0, 2, 0))),
        IF(S38="-", 0, IF(S38&lt;0, -2, IF(S38&gt;0, 2, 0))),
        IF(S39="-", 0, IF(S39&lt;0, -2, IF(S39&gt;0, 2, 0))),
        IF(S40="-", 0, IF(S40&lt;0, -2, IF(S40&gt;0, 2, 0))),
        IF(S41="-", 0, IF(S41&lt;0, -2, IF(S41&gt;0, 2, 0))),
        IF(S42="-", 0, IF(S42&lt;0, -1, IF(S42&gt;0, 1, 0))),
        IF(S43="-", 0, IF(S43&lt;0, -1, IF(S43&gt;0, 1, 0))),
        IF(S44="-", 0, IF(S44&lt;0, -1, IF(S44&gt;0, 1, 0))),
        IF(S45="-", 0, IF(S45&lt;0, -1, IF(S45&gt;0, 1, 0))),
        IF(S46="-", 0, IF(S46&lt;0, -1, IF(S46&gt;0, 1, 0))),
        IF(S47="-", 0, IF(S47&lt;0, -1, IF(S47&gt;0, 1, 0)))
    ) / 17 &gt; 0.1, "BULLISH",
    IF(SUM(
        IF(S37="-", 0, IF(S37&lt;0, -2, IF(S37&gt;0, 2, 0))),
        IF(S38="-", 0, IF(S38&lt;0, -2, IF(S38&gt;0, 2, 0))),
        IF(S39="-", 0, IF(S39&lt;0, -2, IF(S39&gt;0, 2, 0))),
        IF(S40="-", 0, IF(S40&lt;0, -2, IF(S40&gt;0, 2, 0))),
        IF(S41="-", 0, IF(S41&lt;0, -2, IF(S41&gt;0, 2, 0))),
        IF(S42="-", 0, IF(S42&lt;0, -1, IF(S42&gt;0, 1, 0))),
        IF(S43="-", 0, IF(S43&lt;0, -1, IF(S43&gt;0, 1, 0))),
        IF(S44="-", 0, IF(S44&lt;0, -1, IF(S44&gt;0, 1, 0))),
        IF(S45="-", 0, IF(S45&lt;0, -1, IF(S45&gt;0, 1, 0))),
        IF(S46="-", 0, IF(S46&lt;0, -1, IF(S46&gt;0, 1, 0))),
        IF(S47="-", 0, IF(S47&lt;0, -1, IF(S47&gt;0, 1, 0)))
    ) / 17 &lt; -0.1, "BEARISH",
    IF(SUM(
        IF(S37="-", 0, IF(S37&lt;0, -2, IF(S37&gt;0, 2, 0))),
        IF(S38="-", 0, IF(S38&lt;0, -2, IF(S38&gt;0, 2, 0))),
        IF(S39="-", 0, IF(S39&lt;0, -2, IF(S39&gt;0, 2, 0))),
        IF(S40="-", 0, IF(S40&lt;0, -2, IF(S40&gt;0, 2, 0))),
        IF(S41="-", 0, IF(S41&lt;0, -2, IF(S41&gt;0, 2, 0))),
        IF(S42="-", 0, IF(S42&lt;0, -1, IF(S42&gt;0, 1, 0))),
        IF(S43="-", 0, IF(S43&lt;0, -1, IF(S43&gt;0, 1, 0))),
        IF(S44="-", 0, IF(S44&lt;0, -1, IF(S44&gt;0, 1, 0))),
        IF(S45="-", 0, IF(S45&lt;0, -1, IF(S45&gt;0, 1, 0))),
        IF(S46="-", 0, IF(S46&lt;0, -1, IF(S46&gt;0, 1, 0))),
        IF(S47="-", 0, IF(S47&lt;0, -1, IF(S47&gt;0, 1, 0)))
    ) / 17 &gt; -0.1, "NEUTRO",
    IF(SUM(
        IF(S37="-", 0, IF(S37&lt;0, -2, IF(S37&gt;0, 2, 0))),
        IF(S38="-", 0, IF(S38&lt;0, -2, IF(S38&gt;0, 2, 0))),
        IF(S39="-", 0, IF(S39&lt;0, -2, IF(S39&gt;0, 2, 0))),
        IF(S40="-", 0, IF(S40&lt;0, -2, IF(S40&gt;0, 2, 0))),
        IF(S41="-", 0, IF(S41&lt;0, -2, IF(S41&gt;0, 2, 0))),
        IF(S42="-", 0, IF(S42&lt;0, -1, IF(S42&gt;0, 1, 0))),
        IF(S43="-", 0, IF(S43&lt;0, -1, IF(S43&gt;0, 1, 0))),
        IF(S44="-", 0, IF(S44&lt;0, -1, IF(S44&gt;0, 1, 0))),
        IF(S45="-", 0, IF(S45&lt;0, -1, IF(S45&gt;0, 1, 0))),
        IF(S46="-", 0, IF(S46&lt;0, -1, IF(S46&gt;0, 1, 0))),
        IF(S47="-", 0, IF(S47&lt;0, -1, IF(S47&gt;0, 1, 0)))
    ) / 17 &lt; 0.1, "NEUTRO", "")))))</f>
        <v>NEUTRO</v>
      </c>
      <c r="R36" s="332"/>
      <c r="S36" s="332"/>
      <c r="T36" s="332" t="str">
        <f>IF(AND(V37="-", V38="-", V39="-", V40="-", V41="-", V42="-", V43="-", V44="-", V45="-", V46="-"), "",
    IF(SUM(
        IF(V37="-", 0, IF(V37&lt;0, -2, IF(V37&gt;0, 2, 0))),
        IF(V38="-", 0, IF(V38&lt;0, -2, IF(V38&gt;0, 2, 0))),
        IF(V39="-", 0, IF(V39&lt;0, -2, IF(V39&gt;0, 2, 0))),
        IF(V40="-", 0, IF(V40&lt;0, -2, IF(V40&gt;0, 2, 0))),
        IF(V41="-", 0, IF(V41&lt;0, -2, IF(V41&gt;0, 2, 0))),
        IF(V42="-", 0, IF(V42&lt;0, -1, IF(V42&gt;0, 1, 0))),
        IF(V43="-", 0, IF(V43&lt;0, -1, IF(V43&gt;0, 1, 0))),
        IF(V44="-", 0, IF(V44&lt;0, -1, IF(V44&gt;0, 1, 0))),
        IF(V45="-", 0, IF(V45&lt;0, -1, IF(V45&gt;0, 1, 0))),
        IF(V46="-", 0, IF(V46&lt;0, -1, IF(V46&gt;0, 1, 0))),
        IF(V47="-", 0, IF(V47&lt;0, -1, IF(V47&gt;0, 1, 0)))
    ) / 17 &gt; 0.1, "BULLISH",
    IF(SUM(
        IF(V37="-", 0, IF(V37&lt;0, -2, IF(V37&gt;0, 2, 0))),
        IF(V38="-", 0, IF(V38&lt;0, -2, IF(V38&gt;0, 2, 0))),
        IF(V39="-", 0, IF(V39&lt;0, -2, IF(V39&gt;0, 2, 0))),
        IF(V40="-", 0, IF(V40&lt;0, -2, IF(V40&gt;0, 2, 0))),
        IF(V41="-", 0, IF(V41&lt;0, -2, IF(V41&gt;0, 2, 0))),
        IF(V42="-", 0, IF(V42&lt;0, -1, IF(V42&gt;0, 1, 0))),
        IF(V43="-", 0, IF(V43&lt;0, -1, IF(V43&gt;0, 1, 0))),
        IF(V44="-", 0, IF(V44&lt;0, -1, IF(V44&gt;0, 1, 0))),
        IF(V45="-", 0, IF(V45&lt;0, -1, IF(V45&gt;0, 1, 0))),
        IF(V46="-", 0, IF(V46&lt;0, -1, IF(V46&gt;0, 1, 0))),
        IF(V47="-", 0, IF(V47&lt;0, -1, IF(V47&gt;0, 1, 0)))
    ) / 17 &lt; -0.1, "BEARISH",
    IF(SUM(
        IF(V37="-", 0, IF(V37&lt;0, -2, IF(V37&gt;0, 2, 0))),
        IF(V38="-", 0, IF(V38&lt;0, -2, IF(V38&gt;0, 2, 0))),
        IF(V39="-", 0, IF(V39&lt;0, -2, IF(V39&gt;0, 2, 0))),
        IF(V40="-", 0, IF(V40&lt;0, -2, IF(V40&gt;0, 2, 0))),
        IF(V41="-", 0, IF(V41&lt;0, -2, IF(V41&gt;0, 2, 0))),
        IF(V42="-", 0, IF(V42&lt;0, -1, IF(V42&gt;0, 1, 0))),
        IF(V43="-", 0, IF(V43&lt;0, -1, IF(V43&gt;0, 1, 0))),
        IF(V44="-", 0, IF(V44&lt;0, -1, IF(V44&gt;0, 1, 0))),
        IF(V45="-", 0, IF(V45&lt;0, -1, IF(V45&gt;0, 1, 0))),
        IF(V46="-", 0, IF(V46&lt;0, -1, IF(V46&gt;0, 1, 0))),
        IF(V47="-", 0, IF(V47&lt;0, -1, IF(V47&gt;0, 1, 0)))
    ) / 17 &gt; -0.1, "NEUTRO",
    IF(SUM(
        IF(V37="-", 0, IF(V37&lt;0, -2, IF(V37&gt;0, 2, 0))),
        IF(V38="-", 0, IF(V38&lt;0, -2, IF(V38&gt;0, 2, 0))),
        IF(V39="-", 0, IF(V39&lt;0, -2, IF(V39&gt;0, 2, 0))),
        IF(V40="-", 0, IF(V40&lt;0, -2, IF(V40&gt;0, 2, 0))),
        IF(V41="-", 0, IF(V41&lt;0, -2, IF(V41&gt;0, 2, 0))),
        IF(V42="-", 0, IF(V42&lt;0, -1, IF(V42&gt;0, 1, 0))),
        IF(V43="-", 0, IF(V43&lt;0, -1, IF(V43&gt;0, 1, 0))),
        IF(V44="-", 0, IF(V44&lt;0, -1, IF(V44&gt;0, 1, 0))),
        IF(V45="-", 0, IF(V45&lt;0, -1, IF(V45&gt;0, 1, 0))),
        IF(V46="-", 0, IF(V46&lt;0, -1, IF(V46&gt;0, 1, 0))),
        IF(V47="-", 0, IF(V47&lt;0, -1, IF(V47&gt;0, 1, 0)))
    ) / 17 &lt; 0.1, "NEUTRO", "")))))</f>
        <v>NEUTRO</v>
      </c>
      <c r="U36" s="332"/>
      <c r="V36" s="332"/>
      <c r="W36" s="332" t="str">
        <f>IF(AND(Y37="-", Y38="-", Y39="-", Y40="-", Y41="-", Y42="-", Y43="-", Y44="-", Y45="-", Y46="-"), "",
    IF(SUM(
        IF(Y37="-", 0, IF(Y37&lt;0, -2, IF(Y37&gt;0, 2, 0))),
        IF(Y38="-", 0, IF(Y38&lt;0, -2, IF(Y38&gt;0, 2, 0))),
        IF(Y39="-", 0, IF(Y39&lt;0, -2, IF(Y39&gt;0, 2, 0))),
        IF(Y40="-", 0, IF(Y40&lt;0, -2, IF(Y40&gt;0, 2, 0))),
        IF(Y41="-", 0, IF(Y41&lt;0, -2, IF(Y41&gt;0, 2, 0))),
        IF(Y42="-", 0, IF(Y42&lt;0, -1, IF(Y42&gt;0, 1, 0))),
        IF(Y43="-", 0, IF(Y43&lt;0, -1, IF(Y43&gt;0, 1, 0))),
        IF(Y44="-", 0, IF(Y44&lt;0, -1, IF(Y44&gt;0, 1, 0))),
        IF(Y45="-", 0, IF(Y45&lt;0, -1, IF(Y45&gt;0, 1, 0))),
        IF(Y46="-", 0, IF(Y46&lt;0, -1, IF(Y46&gt;0, 1, 0))),
        IF(Y47="-", 0, IF(Y47&lt;0, -1, IF(Y47&gt;0, 1, 0)))
    ) / 17 &gt; 0.1, "BULLISH",
    IF(SUM(
        IF(Y37="-", 0, IF(Y37&lt;0, -2, IF(Y37&gt;0, 2, 0))),
        IF(Y38="-", 0, IF(Y38&lt;0, -2, IF(Y38&gt;0, 2, 0))),
        IF(Y39="-", 0, IF(Y39&lt;0, -2, IF(Y39&gt;0, 2, 0))),
        IF(Y40="-", 0, IF(Y40&lt;0, -2, IF(Y40&gt;0, 2, 0))),
        IF(Y41="-", 0, IF(Y41&lt;0, -2, IF(Y41&gt;0, 2, 0))),
        IF(Y42="-", 0, IF(Y42&lt;0, -1, IF(Y42&gt;0, 1, 0))),
        IF(Y43="-", 0, IF(Y43&lt;0, -1, IF(Y43&gt;0, 1, 0))),
        IF(Y44="-", 0, IF(Y44&lt;0, -1, IF(Y44&gt;0, 1, 0))),
        IF(Y45="-", 0, IF(Y45&lt;0, -1, IF(Y45&gt;0, 1, 0))),
        IF(Y46="-", 0, IF(Y46&lt;0, -1, IF(Y46&gt;0, 1, 0))),
        IF(Y47="-", 0, IF(Y47&lt;0, -1, IF(Y47&gt;0, 1, 0)))
    ) / 17 &lt; -0.1, "BEARISH",
    IF(SUM(
        IF(Y37="-", 0, IF(Y37&lt;0, -2, IF(Y37&gt;0, 2, 0))),
        IF(Y38="-", 0, IF(Y38&lt;0, -2, IF(Y38&gt;0, 2, 0))),
        IF(Y39="-", 0, IF(Y39&lt;0, -2, IF(Y39&gt;0, 2, 0))),
        IF(Y40="-", 0, IF(Y40&lt;0, -2, IF(Y40&gt;0, 2, 0))),
        IF(Y41="-", 0, IF(Y41&lt;0, -2, IF(Y41&gt;0, 2, 0))),
        IF(Y42="-", 0, IF(Y42&lt;0, -1, IF(Y42&gt;0, 1, 0))),
        IF(Y43="-", 0, IF(Y43&lt;0, -1, IF(Y43&gt;0, 1, 0))),
        IF(Y44="-", 0, IF(Y44&lt;0, -1, IF(Y44&gt;0, 1, 0))),
        IF(Y45="-", 0, IF(Y45&lt;0, -1, IF(Y45&gt;0, 1, 0))),
        IF(Y46="-", 0, IF(Y46&lt;0, -1, IF(Y46&gt;0, 1, 0))),
        IF(Y47="-", 0, IF(Y47&lt;0, -1, IF(Y47&gt;0, 1, 0)))
    ) / 17 &gt; -0.1, "NEUTRO",
    IF(SUM(
        IF(Y37="-", 0, IF(Y37&lt;0, -2, IF(Y37&gt;0, 2, 0))),
        IF(Y38="-", 0, IF(Y38&lt;0, -2, IF(Y38&gt;0, 2, 0))),
        IF(Y39="-", 0, IF(Y39&lt;0, -2, IF(Y39&gt;0, 2, 0))),
        IF(Y40="-", 0, IF(Y40&lt;0, -2, IF(Y40&gt;0, 2, 0))),
        IF(Y41="-", 0, IF(Y41&lt;0, -2, IF(Y41&gt;0, 2, 0))),
        IF(Y42="-", 0, IF(Y42&lt;0, -1, IF(Y42&gt;0, 1, 0))),
        IF(Y43="-", 0, IF(Y43&lt;0, -1, IF(Y43&gt;0, 1, 0))),
        IF(Y44="-", 0, IF(Y44&lt;0, -1, IF(Y44&gt;0, 1, 0))),
        IF(Y45="-", 0, IF(Y45&lt;0, -1, IF(Y45&gt;0, 1, 0))),
        IF(Y46="-", 0, IF(Y46&lt;0, -1, IF(Y46&gt;0, 1, 0))),
        IF(Y47="-", 0, IF(Y47&lt;0, -1, IF(Y47&gt;0, 1, 0)))
    ) / 17 &lt; 0.1, "NEUTRO", "")))))</f>
        <v>BULLISH</v>
      </c>
      <c r="X36" s="332"/>
      <c r="Y36" s="332"/>
      <c r="Z36" s="320" t="str">
        <f>IF(AND(AB37="-", AB38="-", AB39="-", AB40="-", AB41="-", AB42="-", AB43="-", AB44="-", AB45="-", AB46="-"), "",
    IF(SUM(
        IF(AB37="-", 0, IF(AB37&lt;0, -2, IF(AB37&gt;0, 2, 0))),
        IF(AB38="-", 0, IF(AB38&lt;0, -2, IF(AB38&gt;0, 2, 0))),
        IF(AB39="-", 0, IF(AB39&lt;0, -2, IF(AB39&gt;0, 2, 0))),
        IF(AB40="-", 0, IF(AB40&lt;0, -2, IF(AB40&gt;0, 2, 0))),
        IF(AB41="-", 0, IF(AB41&lt;0, -2, IF(AB41&gt;0, 2, 0))),
        IF(AB42="-", 0, IF(AB42&lt;0, -1, IF(AB42&gt;0, 1, 0))),
        IF(AB43="-", 0, IF(AB43&lt;0, -1, IF(AB43&gt;0, 1, 0))),
        IF(AB44="-", 0, IF(AB44&lt;0, -1, IF(AB44&gt;0, 1, 0))),
        IF(AB45="-", 0, IF(AB45&lt;0, -1, IF(AB45&gt;0, 1, 0))),
        IF(AB46="-", 0, IF(AB46&lt;0, -1, IF(AB46&gt;0, 1, 0))),
        IF(AB47="-", 0, IF(AB47&lt;0, -1, IF(AB47&gt;0, 1, 0)))
    ) / 17 &gt; 0.1, "BULLISH",
    IF(SUM(
        IF(AB37="-", 0, IF(AB37&lt;0, -2, IF(AB37&gt;0, 2, 0))),
        IF(AB38="-", 0, IF(AB38&lt;0, -2, IF(AB38&gt;0, 2, 0))),
        IF(AB39="-", 0, IF(AB39&lt;0, -2, IF(AB39&gt;0, 2, 0))),
        IF(AB40="-", 0, IF(AB40&lt;0, -2, IF(AB40&gt;0, 2, 0))),
        IF(AB41="-", 0, IF(AB41&lt;0, -2, IF(AB41&gt;0, 2, 0))),
        IF(AB42="-", 0, IF(AB42&lt;0, -1, IF(AB42&gt;0, 1, 0))),
        IF(AB43="-", 0, IF(AB43&lt;0, -1, IF(AB43&gt;0, 1, 0))),
        IF(AB44="-", 0, IF(AB44&lt;0, -1, IF(AB44&gt;0, 1, 0))),
        IF(AB45="-", 0, IF(AB45&lt;0, -1, IF(AB45&gt;0, 1, 0))),
        IF(AB46="-", 0, IF(AB46&lt;0, -1, IF(AB46&gt;0, 1, 0))),
        IF(AB47="-", 0, IF(AB47&lt;0, -1, IF(AB47&gt;0, 1, 0)))
    ) / 17 &lt; -0.1, "BEARISH",
    IF(SUM(
        IF(AB37="-", 0, IF(AB37&lt;0, -2, IF(AB37&gt;0, 2, 0))),
        IF(AB38="-", 0, IF(AB38&lt;0, -2, IF(AB38&gt;0, 2, 0))),
        IF(AB39="-", 0, IF(AB39&lt;0, -2, IF(AB39&gt;0, 2, 0))),
        IF(AB40="-", 0, IF(AB40&lt;0, -2, IF(AB40&gt;0, 2, 0))),
        IF(AB41="-", 0, IF(AB41&lt;0, -2, IF(AB41&gt;0, 2, 0))),
        IF(AB42="-", 0, IF(AB42&lt;0, -1, IF(AB42&gt;0, 1, 0))),
        IF(AB43="-", 0, IF(AB43&lt;0, -1, IF(AB43&gt;0, 1, 0))),
        IF(AB44="-", 0, IF(AB44&lt;0, -1, IF(AB44&gt;0, 1, 0))),
        IF(AB45="-", 0, IF(AB45&lt;0, -1, IF(AB45&gt;0, 1, 0))),
        IF(AB46="-", 0, IF(AB46&lt;0, -1, IF(AB46&gt;0, 1, 0))),
        IF(AB47="-", 0, IF(AB47&lt;0, -1, IF(AB47&gt;0, 1, 0)))
    ) / 17 &gt; -0.1, "NEUTRO",
    IF(SUM(
        IF(AB37="-", 0, IF(AB37&lt;0, -2, IF(AB37&gt;0, 2, 0))),
        IF(AB38="-", 0, IF(AB38&lt;0, -2, IF(AB38&gt;0, 2, 0))),
        IF(AB39="-", 0, IF(AB39&lt;0, -2, IF(AB39&gt;0, 2, 0))),
        IF(AB40="-", 0, IF(AB40&lt;0, -2, IF(AB40&gt;0, 2, 0))),
        IF(AB41="-", 0, IF(AB41&lt;0, -2, IF(AB41&gt;0, 2, 0))),
        IF(AB42="-", 0, IF(AB42&lt;0, -1, IF(AB42&gt;0, 1, 0))),
        IF(AB43="-", 0, IF(AB43&lt;0, -1, IF(AB43&gt;0, 1, 0))),
        IF(AB44="-", 0, IF(AB44&lt;0, -1, IF(AB44&gt;0, 1, 0))),
        IF(AB45="-", 0, IF(AB45&lt;0, -1, IF(AB45&gt;0, 1, 0))),
        IF(AB46="-", 0, IF(AB46&lt;0, -1, IF(AB46&gt;0, 1, 0))),
        IF(AB47="-", 0, IF(AB47&lt;0, -1, IF(AB47&gt;0, 1, 0)))
    ) / 17 &lt; 0.1, "NEUTRO", "")))))</f>
        <v>BEARISH</v>
      </c>
      <c r="AA36" s="321"/>
      <c r="AB36" s="319"/>
      <c r="AC36" s="320" t="str">
        <f>IF(AND(AE37="-", AE38="-", AE39="-", AE40="-", AE41="-", AE42="-", AE43="-", AE44="-", AE45="-", AE46="-"), "",
    IF(SUM(
        IF(AE37="-", 0, IF(AE37&lt;0, -2, IF(AE37&gt;0, 2, 0))),
        IF(AE38="-", 0, IF(AE38&lt;0, -2, IF(AE38&gt;0, 2, 0))),
        IF(AE39="-", 0, IF(AE39&lt;0, -2, IF(AE39&gt;0, 2, 0))),
        IF(AE40="-", 0, IF(AE40&lt;0, -2, IF(AE40&gt;0, 2, 0))),
        IF(AE41="-", 0, IF(AE41&lt;0, -2, IF(AE41&gt;0, 2, 0))),
        IF(AE42="-", 0, IF(AE42&lt;0, -1, IF(AE42&gt;0, 1, 0))),
        IF(AE43="-", 0, IF(AE43&lt;0, -1, IF(AE43&gt;0, 1, 0))),
        IF(AE44="-", 0, IF(AE44&lt;0, -1, IF(AE44&gt;0, 1, 0))),
        IF(AE45="-", 0, IF(AE45&lt;0, -1, IF(AE45&gt;0, 1, 0))),
        IF(AE46="-", 0, IF(AE46&lt;0, -1, IF(AE46&gt;0, 1, 0))),
        IF(AE47="-", 0, IF(AE47&lt;0, -1, IF(AE47&gt;0, 1, 0)))
    ) / 17 &gt; 0.1, "BULLISH",
    IF(SUM(
        IF(AE37="-", 0, IF(AE37&lt;0, -2, IF(AE37&gt;0, 2, 0))),
        IF(AE38="-", 0, IF(AE38&lt;0, -2, IF(AE38&gt;0, 2, 0))),
        IF(AE39="-", 0, IF(AE39&lt;0, -2, IF(AE39&gt;0, 2, 0))),
        IF(AE40="-", 0, IF(AE40&lt;0, -2, IF(AE40&gt;0, 2, 0))),
        IF(AE41="-", 0, IF(AE41&lt;0, -2, IF(AE41&gt;0, 2, 0))),
        IF(AE42="-", 0, IF(AE42&lt;0, -1, IF(AE42&gt;0, 1, 0))),
        IF(AE43="-", 0, IF(AE43&lt;0, -1, IF(AE43&gt;0, 1, 0))),
        IF(AE44="-", 0, IF(AE44&lt;0, -1, IF(AE44&gt;0, 1, 0))),
        IF(AE45="-", 0, IF(AE45&lt;0, -1, IF(AE45&gt;0, 1, 0))),
        IF(AE46="-", 0, IF(AE46&lt;0, -1, IF(AE46&gt;0, 1, 0))),
        IF(AE47="-", 0, IF(AE47&lt;0, -1, IF(AE47&gt;0, 1, 0)))
    ) / 17 &lt; -0.1, "BEARISH",
    IF(SUM(
        IF(AE37="-", 0, IF(AE37&lt;0, -2, IF(AE37&gt;0, 2, 0))),
        IF(AE38="-", 0, IF(AE38&lt;0, -2, IF(AE38&gt;0, 2, 0))),
        IF(AE39="-", 0, IF(AE39&lt;0, -2, IF(AE39&gt;0, 2, 0))),
        IF(AE40="-", 0, IF(AE40&lt;0, -2, IF(AE40&gt;0, 2, 0))),
        IF(AE41="-", 0, IF(AE41&lt;0, -2, IF(AE41&gt;0, 2, 0))),
        IF(AE42="-", 0, IF(AE42&lt;0, -1, IF(AE42&gt;0, 1, 0))),
        IF(AE43="-", 0, IF(AE43&lt;0, -1, IF(AE43&gt;0, 1, 0))),
        IF(AE44="-", 0, IF(AE44&lt;0, -1, IF(AE44&gt;0, 1, 0))),
        IF(AE45="-", 0, IF(AE45&lt;0, -1, IF(AE45&gt;0, 1, 0))),
        IF(AE46="-", 0, IF(AE46&lt;0, -1, IF(AE46&gt;0, 1, 0))),
        IF(AE47="-", 0, IF(AE47&lt;0, -1, IF(AE47&gt;0, 1, 0)))
    ) / 17 &gt; -0.1, "NEUTRO",
    IF(SUM(
        IF(AE37="-", 0, IF(AE37&lt;0, -2, IF(AE37&gt;0, 2, 0))),
        IF(AE38="-", 0, IF(AE38&lt;0, -2, IF(AE38&gt;0, 2, 0))),
        IF(AE39="-", 0, IF(AE39&lt;0, -2, IF(AE39&gt;0, 2, 0))),
        IF(AE40="-", 0, IF(AE40&lt;0, -2, IF(AE40&gt;0, 2, 0))),
        IF(AE41="-", 0, IF(AE41&lt;0, -2, IF(AE41&gt;0, 2, 0))),
        IF(AE42="-", 0, IF(AE42&lt;0, -1, IF(AE42&gt;0, 1, 0))),
        IF(AE43="-", 0, IF(AE43&lt;0, -1, IF(AE43&gt;0, 1, 0))),
        IF(AE44="-", 0, IF(AE44&lt;0, -1, IF(AE44&gt;0, 1, 0))),
        IF(AE45="-", 0, IF(AE45&lt;0, -1, IF(AE45&gt;0, 1, 0))),
        IF(AE46="-", 0, IF(AE46&lt;0, -1, IF(AE46&gt;0, 1, 0))),
        IF(AE47="-", 0, IF(AE47&lt;0, -1, IF(AE47&gt;0, 1, 0)))
    ) / 17 &lt; 0.1, "NEUTRO", "")))))</f>
        <v>BEARISH</v>
      </c>
      <c r="AD36" s="321"/>
      <c r="AE36" s="319"/>
      <c r="AF36" s="320" t="str">
        <f>IF(AND(AH37="-", AH38="-", AH39="-", AH40="-", AH41="-", AH42="-", AH43="-", AH44="-", AH45="-", AH46="-"), "",
    IF(SUM(
        IF(AH37="-", 0, IF(AH37&lt;0, -2, IF(AH37&gt;0, 2, 0))),
        IF(AH38="-", 0, IF(AH38&lt;0, -2, IF(AH38&gt;0, 2, 0))),
        IF(AH39="-", 0, IF(AH39&lt;0, -2, IF(AH39&gt;0, 2, 0))),
        IF(AH40="-", 0, IF(AH40&lt;0, -2, IF(AH40&gt;0, 2, 0))),
        IF(AH41="-", 0, IF(AH41&lt;0, -2, IF(AH41&gt;0, 2, 0))),
        IF(AH42="-", 0, IF(AH42&lt;0, -1, IF(AH42&gt;0, 1, 0))),
        IF(AH43="-", 0, IF(AH43&lt;0, -1, IF(AH43&gt;0, 1, 0))),
        IF(AH44="-", 0, IF(AH44&lt;0, -1, IF(AH44&gt;0, 1, 0))),
        IF(AH45="-", 0, IF(AH45&lt;0, -1, IF(AH45&gt;0, 1, 0))),
        IF(AH46="-", 0, IF(AH46&lt;0, -1, IF(AH46&gt;0, 1, 0))),
        IF(AH47="-", 0, IF(AH47&lt;0, -1, IF(AH47&gt;0, 1, 0)))
    ) / 17 &gt; 0.1, "BULLISH",
    IF(SUM(
        IF(AH37="-", 0, IF(AH37&lt;0, -2, IF(AH37&gt;0, 2, 0))),
        IF(AH38="-", 0, IF(AH38&lt;0, -2, IF(AH38&gt;0, 2, 0))),
        IF(AH39="-", 0, IF(AH39&lt;0, -2, IF(AH39&gt;0, 2, 0))),
        IF(AH40="-", 0, IF(AH40&lt;0, -2, IF(AH40&gt;0, 2, 0))),
        IF(AH41="-", 0, IF(AH41&lt;0, -2, IF(AH41&gt;0, 2, 0))),
        IF(AH42="-", 0, IF(AH42&lt;0, -1, IF(AH42&gt;0, 1, 0))),
        IF(AH43="-", 0, IF(AH43&lt;0, -1, IF(AH43&gt;0, 1, 0))),
        IF(AH44="-", 0, IF(AH44&lt;0, -1, IF(AH44&gt;0, 1, 0))),
        IF(AH45="-", 0, IF(AH45&lt;0, -1, IF(AH45&gt;0, 1, 0))),
        IF(AH46="-", 0, IF(AH46&lt;0, -1, IF(AH46&gt;0, 1, 0))),
        IF(AH47="-", 0, IF(AH47&lt;0, -1, IF(AH47&gt;0, 1, 0)))
    ) / 17 &lt; -0.1, "BEARISH",
    IF(SUM(
        IF(AH37="-", 0, IF(AH37&lt;0, -2, IF(AH37&gt;0, 2, 0))),
        IF(AH38="-", 0, IF(AH38&lt;0, -2, IF(AH38&gt;0, 2, 0))),
        IF(AH39="-", 0, IF(AH39&lt;0, -2, IF(AH39&gt;0, 2, 0))),
        IF(AH40="-", 0, IF(AH40&lt;0, -2, IF(AH40&gt;0, 2, 0))),
        IF(AH41="-", 0, IF(AH41&lt;0, -2, IF(AH41&gt;0, 2, 0))),
        IF(AH42="-", 0, IF(AH42&lt;0, -1, IF(AH42&gt;0, 1, 0))),
        IF(AH43="-", 0, IF(AH43&lt;0, -1, IF(AH43&gt;0, 1, 0))),
        IF(AH44="-", 0, IF(AH44&lt;0, -1, IF(AH44&gt;0, 1, 0))),
        IF(AH45="-", 0, IF(AH45&lt;0, -1, IF(AH45&gt;0, 1, 0))),
        IF(AH46="-", 0, IF(AH46&lt;0, -1, IF(AH46&gt;0, 1, 0))),
        IF(AH47="-", 0, IF(AH47&lt;0, -1, IF(AH47&gt;0, 1, 0)))
    ) / 17 &gt; -0.1, "NEUTRO",
    IF(SUM(
        IF(AH37="-", 0, IF(AH37&lt;0, -2, IF(AH37&gt;0, 2, 0))),
        IF(AH38="-", 0, IF(AH38&lt;0, -2, IF(AH38&gt;0, 2, 0))),
        IF(AH39="-", 0, IF(AH39&lt;0, -2, IF(AH39&gt;0, 2, 0))),
        IF(AH40="-", 0, IF(AH40&lt;0, -2, IF(AH40&gt;0, 2, 0))),
        IF(AH41="-", 0, IF(AH41&lt;0, -2, IF(AH41&gt;0, 2, 0))),
        IF(AH42="-", 0, IF(AH42&lt;0, -1, IF(AH42&gt;0, 1, 0))),
        IF(AH43="-", 0, IF(AH43&lt;0, -1, IF(AH43&gt;0, 1, 0))),
        IF(AH44="-", 0, IF(AH44&lt;0, -1, IF(AH44&gt;0, 1, 0))),
        IF(AH45="-", 0, IF(AH45&lt;0, -1, IF(AH45&gt;0, 1, 0))),
        IF(AH46="-", 0, IF(AH46&lt;0, -1, IF(AH46&gt;0, 1, 0))),
        IF(AH47="-", 0, IF(AH47&lt;0, -1, IF(AH47&gt;0, 1, 0)))
    ) / 17 &lt; 0.1, "NEUTRO", "")))))</f>
        <v>BEARISH</v>
      </c>
      <c r="AG36" s="321"/>
      <c r="AH36" s="319"/>
      <c r="AI36" s="320" t="str">
        <f>IF(AND(AK37="-", AK38="-", AK39="-", AK40="-", AK41="-", AK42="-", AK43="-", AK44="-", AK45="-", AK46="-"), "",
    IF(SUM(
        IF(AK37="-", 0, IF(AK37&lt;0, -2, IF(AK37&gt;0, 2, 0))),
        IF(AK38="-", 0, IF(AK38&lt;0, -2, IF(AK38&gt;0, 2, 0))),
        IF(AK39="-", 0, IF(AK39&lt;0, -2, IF(AK39&gt;0, 2, 0))),
        IF(AK40="-", 0, IF(AK40&lt;0, -2, IF(AK40&gt;0, 2, 0))),
        IF(AK41="-", 0, IF(AK41&lt;0, -2, IF(AK41&gt;0, 2, 0))),
        IF(AK42="-", 0, IF(AK42&lt;0, -1, IF(AK42&gt;0, 1, 0))),
        IF(AK43="-", 0, IF(AK43&lt;0, -1, IF(AK43&gt;0, 1, 0))),
        IF(AK44="-", 0, IF(AK44&lt;0, -1, IF(AK44&gt;0, 1, 0))),
        IF(AK45="-", 0, IF(AK45&lt;0, -1, IF(AK45&gt;0, 1, 0))),
        IF(AK46="-", 0, IF(AK46&lt;0, -1, IF(AK46&gt;0, 1, 0))),
        IF(AK47="-", 0, IF(AK47&lt;0, -1, IF(AK47&gt;0, 1, 0)))
    ) / 17 &gt; 0.1, "BULLISH",
    IF(SUM(
        IF(AK37="-", 0, IF(AK37&lt;0, -2, IF(AK37&gt;0, 2, 0))),
        IF(AK38="-", 0, IF(AK38&lt;0, -2, IF(AK38&gt;0, 2, 0))),
        IF(AK39="-", 0, IF(AK39&lt;0, -2, IF(AK39&gt;0, 2, 0))),
        IF(AK40="-", 0, IF(AK40&lt;0, -2, IF(AK40&gt;0, 2, 0))),
        IF(AK41="-", 0, IF(AK41&lt;0, -2, IF(AK41&gt;0, 2, 0))),
        IF(AK42="-", 0, IF(AK42&lt;0, -1, IF(AK42&gt;0, 1, 0))),
        IF(AK43="-", 0, IF(AK43&lt;0, -1, IF(AK43&gt;0, 1, 0))),
        IF(AK44="-", 0, IF(AK44&lt;0, -1, IF(AK44&gt;0, 1, 0))),
        IF(AK45="-", 0, IF(AK45&lt;0, -1, IF(AK45&gt;0, 1, 0))),
        IF(AK46="-", 0, IF(AK46&lt;0, -1, IF(AK46&gt;0, 1, 0))),
        IF(AK47="-", 0, IF(AK47&lt;0, -1, IF(AK47&gt;0, 1, 0)))
    ) / 17 &lt; -0.1, "BEARISH",
    IF(SUM(
        IF(AK37="-", 0, IF(AK37&lt;0, -2, IF(AK37&gt;0, 2, 0))),
        IF(AK38="-", 0, IF(AK38&lt;0, -2, IF(AK38&gt;0, 2, 0))),
        IF(AK39="-", 0, IF(AK39&lt;0, -2, IF(AK39&gt;0, 2, 0))),
        IF(AK40="-", 0, IF(AK40&lt;0, -2, IF(AK40&gt;0, 2, 0))),
        IF(AK41="-", 0, IF(AK41&lt;0, -2, IF(AK41&gt;0, 2, 0))),
        IF(AK42="-", 0, IF(AK42&lt;0, -1, IF(AK42&gt;0, 1, 0))),
        IF(AK43="-", 0, IF(AK43&lt;0, -1, IF(AK43&gt;0, 1, 0))),
        IF(AK44="-", 0, IF(AK44&lt;0, -1, IF(AK44&gt;0, 1, 0))),
        IF(AK45="-", 0, IF(AK45&lt;0, -1, IF(AK45&gt;0, 1, 0))),
        IF(AK46="-", 0, IF(AK46&lt;0, -1, IF(AK46&gt;0, 1, 0))),
        IF(AK47="-", 0, IF(AK47&lt;0, -1, IF(AK47&gt;0, 1, 0)))
    ) / 17 &gt; -0.1, "NEUTRO",
    IF(SUM(
        IF(AK37="-", 0, IF(AK37&lt;0, -2, IF(AK37&gt;0, 2, 0))),
        IF(AK38="-", 0, IF(AK38&lt;0, -2, IF(AK38&gt;0, 2, 0))),
        IF(AK39="-", 0, IF(AK39&lt;0, -2, IF(AK39&gt;0, 2, 0))),
        IF(AK40="-", 0, IF(AK40&lt;0, -2, IF(AK40&gt;0, 2, 0))),
        IF(AK41="-", 0, IF(AK41&lt;0, -2, IF(AK41&gt;0, 2, 0))),
        IF(AK42="-", 0, IF(AK42&lt;0, -1, IF(AK42&gt;0, 1, 0))),
        IF(AK43="-", 0, IF(AK43&lt;0, -1, IF(AK43&gt;0, 1, 0))),
        IF(AK44="-", 0, IF(AK44&lt;0, -1, IF(AK44&gt;0, 1, 0))),
        IF(AK45="-", 0, IF(AK45&lt;0, -1, IF(AK45&gt;0, 1, 0))),
        IF(AK46="-", 0, IF(AK46&lt;0, -1, IF(AK46&gt;0, 1, 0))),
        IF(AK47="-", 0, IF(AK47&lt;0, -1, IF(AK47&gt;0, 1, 0)))
    ) / 17 &lt; 0.1, "NEUTRO", "")))))</f>
        <v>NEUTRO</v>
      </c>
      <c r="AJ36" s="321"/>
      <c r="AK36" s="319"/>
      <c r="AL36" s="320" t="str">
        <f>IF(AND(AN37="-", AN38="-", AN39="-", AN40="-", AN41="-", AN42="-", AN43="-", AN44="-", AN45="-", AN46="-"), "",
    IF(SUM(
        IF(AN37="-", 0, IF(AN37&lt;0, -2, IF(AN37&gt;0, 2, 0))),
        IF(AN38="-", 0, IF(AN38&lt;0, -2, IF(AN38&gt;0, 2, 0))),
        IF(AN39="-", 0, IF(AN39&lt;0, -2, IF(AN39&gt;0, 2, 0))),
        IF(AN40="-", 0, IF(AN40&lt;0, -2, IF(AN40&gt;0, 2, 0))),
        IF(AN41="-", 0, IF(AN41&lt;0, -2, IF(AN41&gt;0, 2, 0))),
        IF(AN42="-", 0, IF(AN42&lt;0, -1, IF(AN42&gt;0, 1, 0))),
        IF(AN43="-", 0, IF(AN43&lt;0, -1, IF(AN43&gt;0, 1, 0))),
        IF(AN44="-", 0, IF(AN44&lt;0, -1, IF(AN44&gt;0, 1, 0))),
        IF(AN45="-", 0, IF(AN45&lt;0, -1, IF(AN45&gt;0, 1, 0))),
        IF(AN46="-", 0, IF(AN46&lt;0, -1, IF(AN46&gt;0, 1, 0))),
        IF(AN47="-", 0, IF(AN47&lt;0, -1, IF(AN47&gt;0, 1, 0)))
    ) / 17 &gt; 0.1, "BULLISH",
    IF(SUM(
        IF(AN37="-", 0, IF(AN37&lt;0, -2, IF(AN37&gt;0, 2, 0))),
        IF(AN38="-", 0, IF(AN38&lt;0, -2, IF(AN38&gt;0, 2, 0))),
        IF(AN39="-", 0, IF(AN39&lt;0, -2, IF(AN39&gt;0, 2, 0))),
        IF(AN40="-", 0, IF(AN40&lt;0, -2, IF(AN40&gt;0, 2, 0))),
        IF(AN41="-", 0, IF(AN41&lt;0, -2, IF(AN41&gt;0, 2, 0))),
        IF(AN42="-", 0, IF(AN42&lt;0, -1, IF(AN42&gt;0, 1, 0))),
        IF(AN43="-", 0, IF(AN43&lt;0, -1, IF(AN43&gt;0, 1, 0))),
        IF(AN44="-", 0, IF(AN44&lt;0, -1, IF(AN44&gt;0, 1, 0))),
        IF(AN45="-", 0, IF(AN45&lt;0, -1, IF(AN45&gt;0, 1, 0))),
        IF(AN46="-", 0, IF(AN46&lt;0, -1, IF(AN46&gt;0, 1, 0))),
        IF(AN47="-", 0, IF(AN47&lt;0, -1, IF(AN47&gt;0, 1, 0)))
    ) / 17 &lt; -0.1, "BEARISH",
    IF(SUM(
        IF(AN37="-", 0, IF(AN37&lt;0, -2, IF(AN37&gt;0, 2, 0))),
        IF(AN38="-", 0, IF(AN38&lt;0, -2, IF(AN38&gt;0, 2, 0))),
        IF(AN39="-", 0, IF(AN39&lt;0, -2, IF(AN39&gt;0, 2, 0))),
        IF(AN40="-", 0, IF(AN40&lt;0, -2, IF(AN40&gt;0, 2, 0))),
        IF(AN41="-", 0, IF(AN41&lt;0, -2, IF(AN41&gt;0, 2, 0))),
        IF(AN42="-", 0, IF(AN42&lt;0, -1, IF(AN42&gt;0, 1, 0))),
        IF(AN43="-", 0, IF(AN43&lt;0, -1, IF(AN43&gt;0, 1, 0))),
        IF(AN44="-", 0, IF(AN44&lt;0, -1, IF(AN44&gt;0, 1, 0))),
        IF(AN45="-", 0, IF(AN45&lt;0, -1, IF(AN45&gt;0, 1, 0))),
        IF(AN46="-", 0, IF(AN46&lt;0, -1, IF(AN46&gt;0, 1, 0))),
        IF(AN47="-", 0, IF(AN47&lt;0, -1, IF(AN47&gt;0, 1, 0)))
    ) / 17 &gt; -0.1, "NEUTRO",
    IF(SUM(
        IF(AN37="-", 0, IF(AN37&lt;0, -2, IF(AN37&gt;0, 2, 0))),
        IF(AN38="-", 0, IF(AN38&lt;0, -2, IF(AN38&gt;0, 2, 0))),
        IF(AN39="-", 0, IF(AN39&lt;0, -2, IF(AN39&gt;0, 2, 0))),
        IF(AN40="-", 0, IF(AN40&lt;0, -2, IF(AN40&gt;0, 2, 0))),
        IF(AN41="-", 0, IF(AN41&lt;0, -2, IF(AN41&gt;0, 2, 0))),
        IF(AN42="-", 0, IF(AN42&lt;0, -1, IF(AN42&gt;0, 1, 0))),
        IF(AN43="-", 0, IF(AN43&lt;0, -1, IF(AN43&gt;0, 1, 0))),
        IF(AN44="-", 0, IF(AN44&lt;0, -1, IF(AN44&gt;0, 1, 0))),
        IF(AN45="-", 0, IF(AN45&lt;0, -1, IF(AN45&gt;0, 1, 0))),
        IF(AN46="-", 0, IF(AN46&lt;0, -1, IF(AN46&gt;0, 1, 0))),
        IF(AN47="-", 0, IF(AN47&lt;0, -1, IF(AN47&gt;0, 1, 0)))
    ) / 17 &lt; 0.1, "NEUTRO", "")))))</f>
        <v>BULLISH</v>
      </c>
      <c r="AM36" s="321"/>
      <c r="AN36" s="319"/>
      <c r="AO36" s="320" t="str">
        <f>IF(AND(AQ37="-", AQ38="-", AQ39="-", AQ40="-", AQ41="-", AQ42="-", AQ43="-", AQ44="-", AQ45="-", AQ46="-"), "",
    IF(SUM(
        IF(AQ37="-", 0, IF(AQ37&lt;0, -2, IF(AQ37&gt;0, 2, 0))),
        IF(AQ38="-", 0, IF(AQ38&lt;0, -2, IF(AQ38&gt;0, 2, 0))),
        IF(AQ39="-", 0, IF(AQ39&lt;0, -2, IF(AQ39&gt;0, 2, 0))),
        IF(AQ40="-", 0, IF(AQ40&lt;0, -2, IF(AQ40&gt;0, 2, 0))),
        IF(AQ41="-", 0, IF(AQ41&lt;0, -2, IF(AQ41&gt;0, 2, 0))),
        IF(AQ42="-", 0, IF(AQ42&lt;0, -1, IF(AQ42&gt;0, 1, 0))),
        IF(AQ43="-", 0, IF(AQ43&lt;0, -1, IF(AQ43&gt;0, 1, 0))),
        IF(AQ44="-", 0, IF(AQ44&lt;0, -1, IF(AQ44&gt;0, 1, 0))),
        IF(AQ45="-", 0, IF(AQ45&lt;0, -1, IF(AQ45&gt;0, 1, 0))),
        IF(AQ46="-", 0, IF(AQ46&lt;0, -1, IF(AQ46&gt;0, 1, 0))),
        IF(AQ47="-", 0, IF(AQ47&lt;0, -1, IF(AQ47&gt;0, 1, 0)))
    ) / 17 &gt; 0.1, "BULLISH",
    IF(SUM(
        IF(AQ37="-", 0, IF(AQ37&lt;0, -2, IF(AQ37&gt;0, 2, 0))),
        IF(AQ38="-", 0, IF(AQ38&lt;0, -2, IF(AQ38&gt;0, 2, 0))),
        IF(AQ39="-", 0, IF(AQ39&lt;0, -2, IF(AQ39&gt;0, 2, 0))),
        IF(AQ40="-", 0, IF(AQ40&lt;0, -2, IF(AQ40&gt;0, 2, 0))),
        IF(AQ41="-", 0, IF(AQ41&lt;0, -2, IF(AQ41&gt;0, 2, 0))),
        IF(AQ42="-", 0, IF(AQ42&lt;0, -1, IF(AQ42&gt;0, 1, 0))),
        IF(AQ43="-", 0, IF(AQ43&lt;0, -1, IF(AQ43&gt;0, 1, 0))),
        IF(AQ44="-", 0, IF(AQ44&lt;0, -1, IF(AQ44&gt;0, 1, 0))),
        IF(AQ45="-", 0, IF(AQ45&lt;0, -1, IF(AQ45&gt;0, 1, 0))),
        IF(AQ46="-", 0, IF(AQ46&lt;0, -1, IF(AQ46&gt;0, 1, 0))),
        IF(AQ47="-", 0, IF(AQ47&lt;0, -1, IF(AQ47&gt;0, 1, 0)))
    ) / 17 &lt; -0.1, "BEARISH",
    IF(SUM(
        IF(AQ37="-", 0, IF(AQ37&lt;0, -2, IF(AQ37&gt;0, 2, 0))),
        IF(AQ38="-", 0, IF(AQ38&lt;0, -2, IF(AQ38&gt;0, 2, 0))),
        IF(AQ39="-", 0, IF(AQ39&lt;0, -2, IF(AQ39&gt;0, 2, 0))),
        IF(AQ40="-", 0, IF(AQ40&lt;0, -2, IF(AQ40&gt;0, 2, 0))),
        IF(AQ41="-", 0, IF(AQ41&lt;0, -2, IF(AQ41&gt;0, 2, 0))),
        IF(AQ42="-", 0, IF(AQ42&lt;0, -1, IF(AQ42&gt;0, 1, 0))),
        IF(AQ43="-", 0, IF(AQ43&lt;0, -1, IF(AQ43&gt;0, 1, 0))),
        IF(AQ44="-", 0, IF(AQ44&lt;0, -1, IF(AQ44&gt;0, 1, 0))),
        IF(AQ45="-", 0, IF(AQ45&lt;0, -1, IF(AQ45&gt;0, 1, 0))),
        IF(AQ46="-", 0, IF(AQ46&lt;0, -1, IF(AQ46&gt;0, 1, 0))),
        IF(AQ47="-", 0, IF(AQ47&lt;0, -1, IF(AQ47&gt;0, 1, 0)))
    ) / 17 &gt; -0.1, "NEUTRO",
    IF(SUM(
        IF(AQ37="-", 0, IF(AQ37&lt;0, -2, IF(AQ37&gt;0, 2, 0))),
        IF(AQ38="-", 0, IF(AQ38&lt;0, -2, IF(AQ38&gt;0, 2, 0))),
        IF(AQ39="-", 0, IF(AQ39&lt;0, -2, IF(AQ39&gt;0, 2, 0))),
        IF(AQ40="-", 0, IF(AQ40&lt;0, -2, IF(AQ40&gt;0, 2, 0))),
        IF(AQ41="-", 0, IF(AQ41&lt;0, -2, IF(AQ41&gt;0, 2, 0))),
        IF(AQ42="-", 0, IF(AQ42&lt;0, -1, IF(AQ42&gt;0, 1, 0))),
        IF(AQ43="-", 0, IF(AQ43&lt;0, -1, IF(AQ43&gt;0, 1, 0))),
        IF(AQ44="-", 0, IF(AQ44&lt;0, -1, IF(AQ44&gt;0, 1, 0))),
        IF(AQ45="-", 0, IF(AQ45&lt;0, -1, IF(AQ45&gt;0, 1, 0))),
        IF(AQ46="-", 0, IF(AQ46&lt;0, -1, IF(AQ46&gt;0, 1, 0))),
        IF(AQ47="-", 0, IF(AQ47&lt;0, -1, IF(AQ47&gt;0, 1, 0)))
    ) / 17 &lt; 0.1, "NEUTRO", "")))))</f>
        <v>BULLISH</v>
      </c>
      <c r="AP36" s="321"/>
      <c r="AQ36" s="319"/>
      <c r="AR36" s="320" t="str">
        <f>IF(AND(AT37="-", AT38="-", AT39="-", AT40="-", AT41="-", AT42="-", AT43="-", AT44="-", AT45="-", AT46="-"), "",
    IF(SUM(
        IF(AT37="-", 0, IF(AT37&lt;0, -2, IF(AT37&gt;0, 2, 0))),
        IF(AT38="-", 0, IF(AT38&lt;0, -2, IF(AT38&gt;0, 2, 0))),
        IF(AT39="-", 0, IF(AT39&lt;0, -2, IF(AT39&gt;0, 2, 0))),
        IF(AT40="-", 0, IF(AT40&lt;0, -2, IF(AT40&gt;0, 2, 0))),
        IF(AT41="-", 0, IF(AT41&lt;0, -2, IF(AT41&gt;0, 2, 0))),
        IF(AT42="-", 0, IF(AT42&lt;0, -1, IF(AT42&gt;0, 1, 0))),
        IF(AT43="-", 0, IF(AT43&lt;0, -1, IF(AT43&gt;0, 1, 0))),
        IF(AT44="-", 0, IF(AT44&lt;0, -1, IF(AT44&gt;0, 1, 0))),
        IF(AT45="-", 0, IF(AT45&lt;0, -1, IF(AT45&gt;0, 1, 0))),
        IF(AT46="-", 0, IF(AT46&lt;0, -1, IF(AT46&gt;0, 1, 0))),
        IF(AT47="-", 0, IF(AT47&lt;0, -1, IF(AT47&gt;0, 1, 0)))
    ) / 17 &gt; 0.1, "BULLISH",
    IF(SUM(
        IF(AT37="-", 0, IF(AT37&lt;0, -2, IF(AT37&gt;0, 2, 0))),
        IF(AT38="-", 0, IF(AT38&lt;0, -2, IF(AT38&gt;0, 2, 0))),
        IF(AT39="-", 0, IF(AT39&lt;0, -2, IF(AT39&gt;0, 2, 0))),
        IF(AT40="-", 0, IF(AT40&lt;0, -2, IF(AT40&gt;0, 2, 0))),
        IF(AT41="-", 0, IF(AT41&lt;0, -2, IF(AT41&gt;0, 2, 0))),
        IF(AT42="-", 0, IF(AT42&lt;0, -1, IF(AT42&gt;0, 1, 0))),
        IF(AT43="-", 0, IF(AT43&lt;0, -1, IF(AT43&gt;0, 1, 0))),
        IF(AT44="-", 0, IF(AT44&lt;0, -1, IF(AT44&gt;0, 1, 0))),
        IF(AT45="-", 0, IF(AT45&lt;0, -1, IF(AT45&gt;0, 1, 0))),
        IF(AT46="-", 0, IF(AT46&lt;0, -1, IF(AT46&gt;0, 1, 0))),
        IF(AT47="-", 0, IF(AT47&lt;0, -1, IF(AT47&gt;0, 1, 0)))
    ) / 17 &lt; -0.1, "BEARISH",
    IF(SUM(
        IF(AT37="-", 0, IF(AT37&lt;0, -2, IF(AT37&gt;0, 2, 0))),
        IF(AT38="-", 0, IF(AT38&lt;0, -2, IF(AT38&gt;0, 2, 0))),
        IF(AT39="-", 0, IF(AT39&lt;0, -2, IF(AT39&gt;0, 2, 0))),
        IF(AT40="-", 0, IF(AT40&lt;0, -2, IF(AT40&gt;0, 2, 0))),
        IF(AT41="-", 0, IF(AT41&lt;0, -2, IF(AT41&gt;0, 2, 0))),
        IF(AT42="-", 0, IF(AT42&lt;0, -1, IF(AT42&gt;0, 1, 0))),
        IF(AT43="-", 0, IF(AT43&lt;0, -1, IF(AT43&gt;0, 1, 0))),
        IF(AT44="-", 0, IF(AT44&lt;0, -1, IF(AT44&gt;0, 1, 0))),
        IF(AT45="-", 0, IF(AT45&lt;0, -1, IF(AT45&gt;0, 1, 0))),
        IF(AT46="-", 0, IF(AT46&lt;0, -1, IF(AT46&gt;0, 1, 0))),
        IF(AT47="-", 0, IF(AT47&lt;0, -1, IF(AT47&gt;0, 1, 0)))
    ) / 17 &gt; -0.1, "NEUTRO",
    IF(SUM(
        IF(AT37="-", 0, IF(AT37&lt;0, -2, IF(AT37&gt;0, 2, 0))),
        IF(AT38="-", 0, IF(AT38&lt;0, -2, IF(AT38&gt;0, 2, 0))),
        IF(AT39="-", 0, IF(AT39&lt;0, -2, IF(AT39&gt;0, 2, 0))),
        IF(AT40="-", 0, IF(AT40&lt;0, -2, IF(AT40&gt;0, 2, 0))),
        IF(AT41="-", 0, IF(AT41&lt;0, -2, IF(AT41&gt;0, 2, 0))),
        IF(AT42="-", 0, IF(AT42&lt;0, -1, IF(AT42&gt;0, 1, 0))),
        IF(AT43="-", 0, IF(AT43&lt;0, -1, IF(AT43&gt;0, 1, 0))),
        IF(AT44="-", 0, IF(AT44&lt;0, -1, IF(AT44&gt;0, 1, 0))),
        IF(AT45="-", 0, IF(AT45&lt;0, -1, IF(AT45&gt;0, 1, 0))),
        IF(AT46="-", 0, IF(AT46&lt;0, -1, IF(AT46&gt;0, 1, 0))),
        IF(AT47="-", 0, IF(AT47&lt;0, -1, IF(AT47&gt;0, 1, 0)))
    ) / 17 &lt; 0.1, "NEUTRO", "")))))</f>
        <v>NEUTRO</v>
      </c>
      <c r="AS36" s="321"/>
      <c r="AT36" s="319"/>
      <c r="AU36" s="320" t="str">
        <f>IF(AND(AW37="-", AW38="-", AW39="-", AW40="-", AW41="-", AW42="-", AW43="-", AW44="-", AW45="-", AW46="-"), "",
    IF(SUM(
        IF(AW37="-", 0, IF(AW37&lt;0, -2, IF(AW37&gt;0, 2, 0))),
        IF(AW38="-", 0, IF(AW38&lt;0, -2, IF(AW38&gt;0, 2, 0))),
        IF(AW39="-", 0, IF(AW39&lt;0, -2, IF(AW39&gt;0, 2, 0))),
        IF(AW40="-", 0, IF(AW40&lt;0, -2, IF(AW40&gt;0, 2, 0))),
        IF(AW41="-", 0, IF(AW41&lt;0, -2, IF(AW41&gt;0, 2, 0))),
        IF(AW42="-", 0, IF(AW42&lt;0, -1, IF(AW42&gt;0, 1, 0))),
        IF(AW43="-", 0, IF(AW43&lt;0, -1, IF(AW43&gt;0, 1, 0))),
        IF(AW44="-", 0, IF(AW44&lt;0, -1, IF(AW44&gt;0, 1, 0))),
        IF(AW45="-", 0, IF(AW45&lt;0, -1, IF(AW45&gt;0, 1, 0))),
        IF(AW46="-", 0, IF(AW46&lt;0, -1, IF(AW46&gt;0, 1, 0))),
        IF(AW47="-", 0, IF(AW47&lt;0, -1, IF(AW47&gt;0, 1, 0)))
    ) / 17 &gt; 0.1, "BULLISH",
    IF(SUM(
        IF(AW37="-", 0, IF(AW37&lt;0, -2, IF(AW37&gt;0, 2, 0))),
        IF(AW38="-", 0, IF(AW38&lt;0, -2, IF(AW38&gt;0, 2, 0))),
        IF(AW39="-", 0, IF(AW39&lt;0, -2, IF(AW39&gt;0, 2, 0))),
        IF(AW40="-", 0, IF(AW40&lt;0, -2, IF(AW40&gt;0, 2, 0))),
        IF(AW41="-", 0, IF(AW41&lt;0, -2, IF(AW41&gt;0, 2, 0))),
        IF(AW42="-", 0, IF(AW42&lt;0, -1, IF(AW42&gt;0, 1, 0))),
        IF(AW43="-", 0, IF(AW43&lt;0, -1, IF(AW43&gt;0, 1, 0))),
        IF(AW44="-", 0, IF(AW44&lt;0, -1, IF(AW44&gt;0, 1, 0))),
        IF(AW45="-", 0, IF(AW45&lt;0, -1, IF(AW45&gt;0, 1, 0))),
        IF(AW46="-", 0, IF(AW46&lt;0, -1, IF(AW46&gt;0, 1, 0))),
        IF(AW47="-", 0, IF(AW47&lt;0, -1, IF(AW47&gt;0, 1, 0)))
    ) / 17 &lt; -0.1, "BEARISH",
    IF(SUM(
        IF(AW37="-", 0, IF(AW37&lt;0, -2, IF(AW37&gt;0, 2, 0))),
        IF(AW38="-", 0, IF(AW38&lt;0, -2, IF(AW38&gt;0, 2, 0))),
        IF(AW39="-", 0, IF(AW39&lt;0, -2, IF(AW39&gt;0, 2, 0))),
        IF(AW40="-", 0, IF(AW40&lt;0, -2, IF(AW40&gt;0, 2, 0))),
        IF(AW41="-", 0, IF(AW41&lt;0, -2, IF(AW41&gt;0, 2, 0))),
        IF(AW42="-", 0, IF(AW42&lt;0, -1, IF(AW42&gt;0, 1, 0))),
        IF(AW43="-", 0, IF(AW43&lt;0, -1, IF(AW43&gt;0, 1, 0))),
        IF(AW44="-", 0, IF(AW44&lt;0, -1, IF(AW44&gt;0, 1, 0))),
        IF(AW45="-", 0, IF(AW45&lt;0, -1, IF(AW45&gt;0, 1, 0))),
        IF(AW46="-", 0, IF(AW46&lt;0, -1, IF(AW46&gt;0, 1, 0))),
        IF(AW47="-", 0, IF(AW47&lt;0, -1, IF(AW47&gt;0, 1, 0)))
    ) / 17 &gt; -0.1, "NEUTRO",
    IF(SUM(
        IF(AW37="-", 0, IF(AW37&lt;0, -2, IF(AW37&gt;0, 2, 0))),
        IF(AW38="-", 0, IF(AW38&lt;0, -2, IF(AW38&gt;0, 2, 0))),
        IF(AW39="-", 0, IF(AW39&lt;0, -2, IF(AW39&gt;0, 2, 0))),
        IF(AW40="-", 0, IF(AW40&lt;0, -2, IF(AW40&gt;0, 2, 0))),
        IF(AW41="-", 0, IF(AW41&lt;0, -2, IF(AW41&gt;0, 2, 0))),
        IF(AW42="-", 0, IF(AW42&lt;0, -1, IF(AW42&gt;0, 1, 0))),
        IF(AW43="-", 0, IF(AW43&lt;0, -1, IF(AW43&gt;0, 1, 0))),
        IF(AW44="-", 0, IF(AW44&lt;0, -1, IF(AW44&gt;0, 1, 0))),
        IF(AW45="-", 0, IF(AW45&lt;0, -1, IF(AW45&gt;0, 1, 0))),
        IF(AW46="-", 0, IF(AW46&lt;0, -1, IF(AW46&gt;0, 1, 0))),
        IF(AW47="-", 0, IF(AW47&lt;0, -1, IF(AW47&gt;0, 1, 0)))
    ) / 17 &lt; 0.1, "NEUTRO", "")))))</f>
        <v>BEARISH</v>
      </c>
      <c r="AV36" s="321"/>
      <c r="AW36" s="319"/>
      <c r="AX36" s="320" t="str">
        <f>IF(AND(AZ37="-", AZ38="-", AZ39="-", AZ40="-", AZ41="-", AZ42="-", AZ43="-", AZ44="-", AZ45="-", AZ46="-"), "",
    IF(SUM(
        IF(AZ37="-", 0, IF(AZ37&lt;0, -2, IF(AZ37&gt;0, 2, 0))),
        IF(AZ38="-", 0, IF(AZ38&lt;0, -2, IF(AZ38&gt;0, 2, 0))),
        IF(AZ39="-", 0, IF(AZ39&lt;0, -2, IF(AZ39&gt;0, 2, 0))),
        IF(AZ40="-", 0, IF(AZ40&lt;0, -2, IF(AZ40&gt;0, 2, 0))),
        IF(AZ41="-", 0, IF(AZ41&lt;0, -2, IF(AZ41&gt;0, 2, 0))),
        IF(AZ42="-", 0, IF(AZ42&lt;0, -1, IF(AZ42&gt;0, 1, 0))),
        IF(AZ43="-", 0, IF(AZ43&lt;0, -1, IF(AZ43&gt;0, 1, 0))),
        IF(AZ44="-", 0, IF(AZ44&lt;0, -1, IF(AZ44&gt;0, 1, 0))),
        IF(AZ45="-", 0, IF(AZ45&lt;0, -1, IF(AZ45&gt;0, 1, 0))),
        IF(AZ46="-", 0, IF(AZ46&lt;0, -1, IF(AZ46&gt;0, 1, 0))),
        IF(AZ47="-", 0, IF(AZ47&lt;0, -1, IF(AZ47&gt;0, 1, 0)))
    ) / 17 &gt; 0.1, "BULLISH",
    IF(SUM(
        IF(AZ37="-", 0, IF(AZ37&lt;0, -2, IF(AZ37&gt;0, 2, 0))),
        IF(AZ38="-", 0, IF(AZ38&lt;0, -2, IF(AZ38&gt;0, 2, 0))),
        IF(AZ39="-", 0, IF(AZ39&lt;0, -2, IF(AZ39&gt;0, 2, 0))),
        IF(AZ40="-", 0, IF(AZ40&lt;0, -2, IF(AZ40&gt;0, 2, 0))),
        IF(AZ41="-", 0, IF(AZ41&lt;0, -2, IF(AZ41&gt;0, 2, 0))),
        IF(AZ42="-", 0, IF(AZ42&lt;0, -1, IF(AZ42&gt;0, 1, 0))),
        IF(AZ43="-", 0, IF(AZ43&lt;0, -1, IF(AZ43&gt;0, 1, 0))),
        IF(AZ44="-", 0, IF(AZ44&lt;0, -1, IF(AZ44&gt;0, 1, 0))),
        IF(AZ45="-", 0, IF(AZ45&lt;0, -1, IF(AZ45&gt;0, 1, 0))),
        IF(AZ46="-", 0, IF(AZ46&lt;0, -1, IF(AZ46&gt;0, 1, 0))),
        IF(AZ47="-", 0, IF(AZ47&lt;0, -1, IF(AZ47&gt;0, 1, 0)))
    ) / 17 &lt; -0.1, "BEARISH",
    IF(SUM(
        IF(AZ37="-", 0, IF(AZ37&lt;0, -2, IF(AZ37&gt;0, 2, 0))),
        IF(AZ38="-", 0, IF(AZ38&lt;0, -2, IF(AZ38&gt;0, 2, 0))),
        IF(AZ39="-", 0, IF(AZ39&lt;0, -2, IF(AZ39&gt;0, 2, 0))),
        IF(AZ40="-", 0, IF(AZ40&lt;0, -2, IF(AZ40&gt;0, 2, 0))),
        IF(AZ41="-", 0, IF(AZ41&lt;0, -2, IF(AZ41&gt;0, 2, 0))),
        IF(AZ42="-", 0, IF(AZ42&lt;0, -1, IF(AZ42&gt;0, 1, 0))),
        IF(AZ43="-", 0, IF(AZ43&lt;0, -1, IF(AZ43&gt;0, 1, 0))),
        IF(AZ44="-", 0, IF(AZ44&lt;0, -1, IF(AZ44&gt;0, 1, 0))),
        IF(AZ45="-", 0, IF(AZ45&lt;0, -1, IF(AZ45&gt;0, 1, 0))),
        IF(AZ46="-", 0, IF(AZ46&lt;0, -1, IF(AZ46&gt;0, 1, 0))),
        IF(AZ47="-", 0, IF(AZ47&lt;0, -1, IF(AZ47&gt;0, 1, 0)))
    ) / 17 &gt; -0.1, "NEUTRO",
    IF(SUM(
        IF(AZ37="-", 0, IF(AZ37&lt;0, -2, IF(AZ37&gt;0, 2, 0))),
        IF(AZ38="-", 0, IF(AZ38&lt;0, -2, IF(AZ38&gt;0, 2, 0))),
        IF(AZ39="-", 0, IF(AZ39&lt;0, -2, IF(AZ39&gt;0, 2, 0))),
        IF(AZ40="-", 0, IF(AZ40&lt;0, -2, IF(AZ40&gt;0, 2, 0))),
        IF(AZ41="-", 0, IF(AZ41&lt;0, -2, IF(AZ41&gt;0, 2, 0))),
        IF(AZ42="-", 0, IF(AZ42&lt;0, -1, IF(AZ42&gt;0, 1, 0))),
        IF(AZ43="-", 0, IF(AZ43&lt;0, -1, IF(AZ43&gt;0, 1, 0))),
        IF(AZ44="-", 0, IF(AZ44&lt;0, -1, IF(AZ44&gt;0, 1, 0))),
        IF(AZ45="-", 0, IF(AZ45&lt;0, -1, IF(AZ45&gt;0, 1, 0))),
        IF(AZ46="-", 0, IF(AZ46&lt;0, -1, IF(AZ46&gt;0, 1, 0))),
        IF(AZ47="-", 0, IF(AZ47&lt;0, -1, IF(AZ47&gt;0, 1, 0)))
    ) / 17 &lt; 0.1, "NEUTRO", "")))))</f>
        <v>BEARISH</v>
      </c>
      <c r="AY36" s="321"/>
      <c r="AZ36" s="319"/>
    </row>
    <row r="37" spans="1:52" x14ac:dyDescent="0.25">
      <c r="A37" s="237" t="s">
        <v>115</v>
      </c>
      <c r="B37" s="229"/>
      <c r="C37" s="229"/>
      <c r="D37" s="212" t="str">
        <f>IF(OR(B37="",C37="",B37="-",C37="-"),"-",B37-C37)</f>
        <v>-</v>
      </c>
      <c r="E37" s="229">
        <v>6.0000000000000001E-3</v>
      </c>
      <c r="F37" s="229">
        <v>1E-3</v>
      </c>
      <c r="G37" s="212">
        <f>IF(OR(E37="",F37="",E37="-",F37="-"),"-",E37-F37)</f>
        <v>5.0000000000000001E-3</v>
      </c>
      <c r="H37" s="211">
        <v>6.0000000000000001E-3</v>
      </c>
      <c r="I37" s="211">
        <v>-1E-3</v>
      </c>
      <c r="J37" s="212">
        <f>IF(OR(H37="",I37="",H37="-",I37="-"),"-",H37-I37)</f>
        <v>7.0000000000000001E-3</v>
      </c>
      <c r="K37" s="211">
        <v>-1E-3</v>
      </c>
      <c r="L37" s="229"/>
      <c r="M37" s="212" t="str">
        <f>IF(OR(K37="",L37="",K37="-",L37="-"),"-",K37-L37)</f>
        <v>-</v>
      </c>
      <c r="N37" s="229"/>
      <c r="O37" s="229"/>
      <c r="P37" s="212" t="str">
        <f>IF(OR(N37="",O37="",N37="-",O37="-"),"-",N37-O37)</f>
        <v>-</v>
      </c>
      <c r="Q37" s="211">
        <v>6.0000000000000001E-3</v>
      </c>
      <c r="R37" s="211">
        <v>8.9999999999999993E-3</v>
      </c>
      <c r="S37" s="212">
        <f>IF(OR(Q37="",R37="",Q37="-",R37="-"),"-",Q37-R37)</f>
        <v>-2.9999999999999992E-3</v>
      </c>
      <c r="T37" s="229"/>
      <c r="U37" s="229"/>
      <c r="V37" s="212" t="str">
        <f>IF(OR(T37="",U37="",T37="-",U37="-"),"-",T37-U37)</f>
        <v>-</v>
      </c>
      <c r="W37" s="211">
        <v>-8.9999999999999993E-3</v>
      </c>
      <c r="X37" s="211">
        <v>1.7000000000000001E-2</v>
      </c>
      <c r="Y37" s="212">
        <f>IF(OR(W37="",X37="",W37="-",X37="-"),"-",W37-X37)</f>
        <v>-2.6000000000000002E-2</v>
      </c>
      <c r="Z37" s="16">
        <v>1.4E-2</v>
      </c>
      <c r="AA37" s="16">
        <v>2E-3</v>
      </c>
      <c r="AB37" s="8">
        <f>IF(OR(Z37="",AA37="",Z37="-",AA37="-"),"-",Z37-AA37)</f>
        <v>1.2E-2</v>
      </c>
      <c r="AC37" s="16">
        <v>2E-3</v>
      </c>
      <c r="AD37" s="16">
        <v>7.0000000000000001E-3</v>
      </c>
      <c r="AE37" s="8">
        <f>IF(OR(AC37="",AD37="",AC37="-",AD37="-"),"-",AC37-AD37)</f>
        <v>-5.0000000000000001E-3</v>
      </c>
      <c r="AF37" s="16">
        <v>4.0000000000000001E-3</v>
      </c>
      <c r="AG37" s="16">
        <v>8.0000000000000002E-3</v>
      </c>
      <c r="AH37" s="8">
        <f>IF(OR(AF37="",AG37="",AF37="-",AG37="-"),"-",AF37-AG37)</f>
        <v>-4.0000000000000001E-3</v>
      </c>
      <c r="AI37" s="16">
        <v>7.0000000000000001E-3</v>
      </c>
      <c r="AJ37" s="16">
        <v>8.0000000000000002E-3</v>
      </c>
      <c r="AK37" s="8">
        <f>IF(OR(AI37="",AJ37="",AI37="-",AJ37="-"),"-",AI37-AJ37)</f>
        <v>-1E-3</v>
      </c>
      <c r="AL37" s="16">
        <v>4.0000000000000001E-3</v>
      </c>
      <c r="AM37" s="16">
        <v>1E-3</v>
      </c>
      <c r="AN37" s="8">
        <f>IF(OR(AL37="",AM37="",AL37="-",AM37="-"),"-",AL37-AM37)</f>
        <v>3.0000000000000001E-3</v>
      </c>
      <c r="AO37" s="82">
        <v>1E-3</v>
      </c>
      <c r="AP37" s="16">
        <v>1.0999999999999999E-2</v>
      </c>
      <c r="AQ37" s="8">
        <f>IF(OR(AO37="",AP37="",AO37="-",AP37="-"),"-",AO37-AP37)</f>
        <v>-9.9999999999999985E-3</v>
      </c>
      <c r="AR37" s="16">
        <v>0</v>
      </c>
      <c r="AS37" s="16">
        <v>3.0000000000000001E-3</v>
      </c>
      <c r="AT37" s="8">
        <f>IF(OR(AR37="",AS37="",AR37="-",AS37="-"),"-",AR37-AS37)</f>
        <v>-3.0000000000000001E-3</v>
      </c>
      <c r="AU37" s="16">
        <v>0</v>
      </c>
      <c r="AV37" s="16">
        <v>6.0000000000000001E-3</v>
      </c>
      <c r="AW37" s="8">
        <f>IF(OR(AU37="",AV37="",AU37="-",AV37="-"),"-",AU37-AV37)</f>
        <v>-6.0000000000000001E-3</v>
      </c>
      <c r="AX37" s="16">
        <v>4.0000000000000001E-3</v>
      </c>
      <c r="AY37" s="16">
        <v>6.0000000000000001E-3</v>
      </c>
      <c r="AZ37" s="8">
        <f>IF(OR(AX37="",AY37="",AX37="-",AY37="-"),"-",AX37-AY37)</f>
        <v>-2E-3</v>
      </c>
    </row>
    <row r="38" spans="1:52" x14ac:dyDescent="0.25">
      <c r="A38" s="237" t="s">
        <v>116</v>
      </c>
      <c r="B38" s="229"/>
      <c r="C38" s="229"/>
      <c r="D38" s="212" t="str">
        <f>IF(OR(B38="",C38="",B38="-",C38="-"),"-",B38-C38)</f>
        <v>-</v>
      </c>
      <c r="E38" s="229">
        <v>5.0000000000000001E-3</v>
      </c>
      <c r="F38" s="229">
        <v>3.0000000000000001E-3</v>
      </c>
      <c r="G38" s="212">
        <f>IF(OR(E38="",F38="",E38="-",F38="-"),"-",E38-F38)</f>
        <v>2E-3</v>
      </c>
      <c r="H38" s="211">
        <v>5.0000000000000001E-3</v>
      </c>
      <c r="I38" s="211">
        <v>2E-3</v>
      </c>
      <c r="J38" s="212">
        <f>IF(OR(H38="",I38="",H38="-",I38="-"),"-",H38-I38)</f>
        <v>3.0000000000000001E-3</v>
      </c>
      <c r="K38" s="211">
        <v>2E-3</v>
      </c>
      <c r="L38" s="229"/>
      <c r="M38" s="212" t="str">
        <f>IF(OR(K38="",L38="",K38="-",L38="-"),"-",K38-L38)</f>
        <v>-</v>
      </c>
      <c r="N38" s="229"/>
      <c r="O38" s="229"/>
      <c r="P38" s="212" t="str">
        <f>IF(OR(N38="",O38="",N38="-",O38="-"),"-",N38-O38)</f>
        <v>-</v>
      </c>
      <c r="Q38" s="211">
        <v>7.0000000000000001E-3</v>
      </c>
      <c r="R38" s="211">
        <v>8.0000000000000002E-3</v>
      </c>
      <c r="S38" s="212">
        <f>IF(OR(Q38="",R38="",Q38="-",R38="-"),"-",Q38-R38)</f>
        <v>-1E-3</v>
      </c>
      <c r="T38" s="211">
        <v>5.0000000000000001E-3</v>
      </c>
      <c r="U38" s="211">
        <v>-2E-3</v>
      </c>
      <c r="V38" s="212">
        <f>IF(OR(T38="",U38="",T38="-",U38="-"),"-",T38-U38)</f>
        <v>7.0000000000000001E-3</v>
      </c>
      <c r="W38" s="211">
        <v>-3.0000000000000001E-3</v>
      </c>
      <c r="X38" s="211">
        <v>8.0000000000000002E-3</v>
      </c>
      <c r="Y38" s="212">
        <f>IF(OR(W38="",X38="",W38="-",X38="-"),"-",W38-X38)</f>
        <v>-1.0999999999999999E-2</v>
      </c>
      <c r="Z38" s="16">
        <v>5.0000000000000001E-3</v>
      </c>
      <c r="AA38" s="16">
        <v>7.0000000000000001E-3</v>
      </c>
      <c r="AB38" s="3">
        <f>IF(OR(Z38="",AA38="",Z38="-",AA38="-"),"-",Z38-AA38)</f>
        <v>-2E-3</v>
      </c>
      <c r="AC38" s="16">
        <v>3.0000000000000001E-3</v>
      </c>
      <c r="AD38" s="16">
        <v>7.0000000000000001E-3</v>
      </c>
      <c r="AE38" s="3">
        <f>IF(OR(AC38="",AD38="",AC38="-",AD38="-"),"-",AC38-AD38)</f>
        <v>-4.0000000000000001E-3</v>
      </c>
      <c r="AF38" s="16">
        <v>4.0000000000000001E-3</v>
      </c>
      <c r="AG38" s="16">
        <v>2E-3</v>
      </c>
      <c r="AH38" s="3">
        <f>IF(OR(AF38="",AG38="",AF38="-",AG38="-"),"-",AF38-AG38)</f>
        <v>2E-3</v>
      </c>
      <c r="AI38" s="16">
        <v>2E-3</v>
      </c>
      <c r="AJ38" s="82">
        <v>5.0000000000000001E-3</v>
      </c>
      <c r="AK38" s="3">
        <f>IF(OR(AI38="",AJ38="",AI38="-",AJ38="-"),"-",AI38-AJ38)</f>
        <v>-3.0000000000000001E-3</v>
      </c>
      <c r="AL38" s="16">
        <v>5.0000000000000001E-3</v>
      </c>
      <c r="AM38" s="16">
        <v>2E-3</v>
      </c>
      <c r="AN38" s="3">
        <f>IF(OR(AL38="",AM38="",AL38="-",AM38="-"),"-",AL38-AM38)</f>
        <v>3.0000000000000001E-3</v>
      </c>
      <c r="AO38" s="16">
        <v>1E-3</v>
      </c>
      <c r="AP38" s="16">
        <v>4.0000000000000001E-3</v>
      </c>
      <c r="AQ38" s="3">
        <f>IF(OR(AO38="",AP38="",AO38="-",AP38="-"),"-",AO38-AP38)</f>
        <v>-3.0000000000000001E-3</v>
      </c>
      <c r="AR38" s="16">
        <v>4.0000000000000001E-3</v>
      </c>
      <c r="AS38" s="82">
        <v>1E-3</v>
      </c>
      <c r="AT38" s="3">
        <f>IF(OR(AR38="",AS38="",AR38="-",AS38="-"),"-",AR38-AS38)</f>
        <v>3.0000000000000001E-3</v>
      </c>
      <c r="AU38" s="17"/>
      <c r="AV38" s="17"/>
      <c r="AW38" s="3" t="str">
        <f>IF(OR(AU38="",AV38="",AU38="-",AV38="-"),"-",AU38-AV38)</f>
        <v>-</v>
      </c>
      <c r="AX38" s="16">
        <v>1.0999999999999999E-2</v>
      </c>
      <c r="AY38" s="16">
        <v>3.0000000000000001E-3</v>
      </c>
      <c r="AZ38" s="3">
        <f>IF(OR(AX38="",AY38="",AX38="-",AY38="-"),"-",AX38-AY38)</f>
        <v>8.0000000000000002E-3</v>
      </c>
    </row>
    <row r="39" spans="1:52" x14ac:dyDescent="0.25">
      <c r="A39" s="237" t="s">
        <v>117</v>
      </c>
      <c r="B39" s="229"/>
      <c r="C39" s="229"/>
      <c r="D39" s="222" t="str">
        <f>IF(OR(B39="",C39="",B39="-",C39="-"),"-",B39-C39)</f>
        <v>-</v>
      </c>
      <c r="E39" s="229">
        <v>57.3</v>
      </c>
      <c r="F39" s="229">
        <v>56.4</v>
      </c>
      <c r="G39" s="222">
        <f>IF(OR(E39="",F39="",E39="-",F39="-"),"-",E39-F39)</f>
        <v>0.89999999999999858</v>
      </c>
      <c r="H39" s="229">
        <v>54</v>
      </c>
      <c r="I39" s="229">
        <v>52.9</v>
      </c>
      <c r="J39" s="222">
        <f>IF(OR(H39="",I39="",H39="-",I39="-"),"-",H39-I39)</f>
        <v>1.1000000000000014</v>
      </c>
      <c r="K39" s="229">
        <v>52.9</v>
      </c>
      <c r="L39" s="229"/>
      <c r="M39" s="222" t="str">
        <f>IF(OR(K39="",L39="",K39="-",L39="-"),"-",K39-L39)</f>
        <v>-</v>
      </c>
      <c r="N39" s="229">
        <v>55</v>
      </c>
      <c r="O39" s="229">
        <v>55.1</v>
      </c>
      <c r="P39" s="222">
        <f>IF(OR(N39="",O39="",N39="-",O39="-"),"-",N39-O39)</f>
        <v>-0.10000000000000142</v>
      </c>
      <c r="Q39" s="229">
        <v>55.4</v>
      </c>
      <c r="R39" s="229">
        <v>58.6</v>
      </c>
      <c r="S39" s="222">
        <f>IF(OR(Q39="",R39="",Q39="-",R39="-"),"-",Q39-R39)</f>
        <v>-3.2000000000000028</v>
      </c>
      <c r="T39" s="233">
        <v>61.8</v>
      </c>
      <c r="U39" s="233">
        <v>60.7</v>
      </c>
      <c r="V39" s="222">
        <f>IF(OR(T39="",U39="",T39="-",U39="-"),"-",T39-U39)</f>
        <v>1.0999999999999943</v>
      </c>
      <c r="W39" s="229">
        <v>60.5</v>
      </c>
      <c r="X39" s="229">
        <v>52.2</v>
      </c>
      <c r="Y39" s="222">
        <f>IF(OR(W39="",X39="",W39="-",X39="-"),"-",W39-X39)</f>
        <v>8.2999999999999972</v>
      </c>
      <c r="Z39" s="17">
        <v>50.8</v>
      </c>
      <c r="AA39" s="17">
        <v>57</v>
      </c>
      <c r="AB39" s="6">
        <f>IF(OR(Z39="",AA39="",Z39="-",AA39="-"),"-",Z39-AA39)</f>
        <v>-6.2000000000000028</v>
      </c>
      <c r="AC39" s="17">
        <v>57.9</v>
      </c>
      <c r="AD39" s="17">
        <v>71.099999999999994</v>
      </c>
      <c r="AE39" s="6">
        <f>IF(OR(AC39="",AD39="",AC39="-",AD39="-"),"-",AC39-AD39)</f>
        <v>-13.199999999999996</v>
      </c>
      <c r="AF39" s="17">
        <v>73.2</v>
      </c>
      <c r="AG39" s="17">
        <v>74</v>
      </c>
      <c r="AH39" s="6">
        <f>IF(OR(AF39="",AG39="",AF39="-",AG39="-"),"-",AF39-AG39)</f>
        <v>-0.79999999999999716</v>
      </c>
      <c r="AI39" s="17">
        <v>74</v>
      </c>
      <c r="AJ39" s="17">
        <v>70.5</v>
      </c>
      <c r="AK39" s="6">
        <f>IF(OR(AI39="",AJ39="",AI39="-",AJ39="-"),"-",AI39-AJ39)</f>
        <v>3.5</v>
      </c>
      <c r="AL39" s="17">
        <v>68.900000000000006</v>
      </c>
      <c r="AM39" s="17">
        <v>70.099999999999994</v>
      </c>
      <c r="AN39" s="6">
        <f>IF(OR(AL39="",AM39="",AL39="-",AM39="-"),"-",AL39-AM39)</f>
        <v>-1.1999999999999886</v>
      </c>
      <c r="AO39" s="17">
        <v>69</v>
      </c>
      <c r="AP39" s="17">
        <v>67.900000000000006</v>
      </c>
      <c r="AQ39" s="6">
        <f>IF(OR(AO39="",AP39="",AO39="-",AP39="-"),"-",AO39-AP39)</f>
        <v>1.0999999999999943</v>
      </c>
      <c r="AR39" s="17">
        <v>66</v>
      </c>
      <c r="AS39" s="17">
        <v>68.2</v>
      </c>
      <c r="AT39" s="6">
        <f>IF(OR(AR39="",AS39="",AR39="-",AS39="-"),"-",AR39-AS39)</f>
        <v>-2.2000000000000028</v>
      </c>
      <c r="AU39" s="17"/>
      <c r="AV39" s="17">
        <v>77.2</v>
      </c>
      <c r="AW39" s="6" t="str">
        <f>IF(OR(AU39="",AV39="",AU39="-",AV39="-"),"-",AU39-AV39)</f>
        <v>-</v>
      </c>
      <c r="AX39" s="17">
        <v>77.900000000000006</v>
      </c>
      <c r="AY39" s="17">
        <v>79.400000000000006</v>
      </c>
      <c r="AZ39" s="6">
        <f>IF(OR(AX39="",AY39="",AX39="-",AY39="-"),"-",AX39-AY39)</f>
        <v>-1.5</v>
      </c>
    </row>
    <row r="40" spans="1:52" x14ac:dyDescent="0.25">
      <c r="A40" s="237" t="s">
        <v>118</v>
      </c>
      <c r="B40" s="229"/>
      <c r="C40" s="229"/>
      <c r="D40" s="222" t="str">
        <f>IF(OR(B40="",C40="",B40="-",C40="-"),"-",B40-C40)</f>
        <v>-</v>
      </c>
      <c r="E40" s="229"/>
      <c r="F40" s="229"/>
      <c r="G40" s="222" t="str">
        <f>IF(OR(E40="",F40="",E40="-",F40="-"),"-",E40-F40)</f>
        <v>-</v>
      </c>
      <c r="H40" s="229"/>
      <c r="I40" s="229"/>
      <c r="J40" s="222" t="str">
        <f>IF(OR(H40="",I40="",H40="-",I40="-"),"-",H40-I40)</f>
        <v>-</v>
      </c>
      <c r="K40" s="229"/>
      <c r="L40" s="229"/>
      <c r="M40" s="222" t="str">
        <f>IF(OR(K40="",L40="",K40="-",L40="-"),"-",K40-L40)</f>
        <v>-</v>
      </c>
      <c r="N40" s="229">
        <v>53.6</v>
      </c>
      <c r="O40" s="229">
        <v>55.4</v>
      </c>
      <c r="P40" s="222">
        <f>IF(OR(N40="",O40="",N40="-",O40="-"),"-",N40-O40)</f>
        <v>-1.7999999999999972</v>
      </c>
      <c r="Q40" s="229">
        <v>55.4</v>
      </c>
      <c r="R40" s="229">
        <v>61.8</v>
      </c>
      <c r="S40" s="222">
        <f>IF(OR(Q40="",R40="",Q40="-",R40="-"),"-",Q40-R40)</f>
        <v>-6.3999999999999986</v>
      </c>
      <c r="T40" s="229">
        <v>60.7</v>
      </c>
      <c r="U40" s="229">
        <v>60.5</v>
      </c>
      <c r="V40" s="222">
        <f>IF(OR(T40="",U40="",T40="-",U40="-"),"-",T40-U40)</f>
        <v>0.20000000000000284</v>
      </c>
      <c r="W40" s="229">
        <v>52.2</v>
      </c>
      <c r="X40" s="229">
        <v>50.8</v>
      </c>
      <c r="Y40" s="222">
        <f>IF(OR(W40="",X40="",W40="-",X40="-"),"-",W40-X40)</f>
        <v>1.4000000000000057</v>
      </c>
      <c r="Z40" s="17">
        <v>52.2</v>
      </c>
      <c r="AA40" s="17">
        <v>57.9</v>
      </c>
      <c r="AB40" s="6">
        <f>IF(OR(Z40="",AA40="",Z40="-",AA40="-"),"-",Z40-AA40)</f>
        <v>-5.6999999999999957</v>
      </c>
      <c r="AC40" s="17">
        <v>64.7</v>
      </c>
      <c r="AD40" s="17">
        <v>67.8</v>
      </c>
      <c r="AE40" s="6">
        <f>IF(OR(AC40="",AD40="",AC40="-",AD40="-"),"-",AC40-AD40)</f>
        <v>-3.0999999999999943</v>
      </c>
      <c r="AF40" s="17">
        <v>71.099999999999994</v>
      </c>
      <c r="AG40" s="17">
        <v>74</v>
      </c>
      <c r="AH40" s="6">
        <f>IF(OR(AF40="",AG40="",AF40="-",AG40="-"),"-",AF40-AG40)</f>
        <v>-2.9000000000000057</v>
      </c>
      <c r="AI40" s="17">
        <v>74</v>
      </c>
      <c r="AJ40" s="17"/>
      <c r="AK40" s="6" t="str">
        <f>IF(OR(AI40="",AJ40="",AI40="-",AJ40="-"),"-",AI40-AJ40)</f>
        <v>-</v>
      </c>
      <c r="AL40" s="17">
        <v>70.5</v>
      </c>
      <c r="AM40" s="17">
        <v>68.900000000000006</v>
      </c>
      <c r="AN40" s="6">
        <f>IF(OR(AL40="",AM40="",AL40="-",AM40="-"),"-",AL40-AM40)</f>
        <v>1.5999999999999943</v>
      </c>
      <c r="AO40" s="17">
        <v>67.900000000000006</v>
      </c>
      <c r="AP40" s="17">
        <v>67.8</v>
      </c>
      <c r="AQ40" s="6">
        <f>IF(OR(AO40="",AP40="",AO40="-",AP40="-"),"-",AO40-AP40)</f>
        <v>0.10000000000000853</v>
      </c>
      <c r="AR40" s="17">
        <v>66.400000000000006</v>
      </c>
      <c r="AS40" s="17">
        <v>66</v>
      </c>
      <c r="AT40" s="6">
        <f>IF(OR(AR40="",AS40="",AR40="-",AS40="-"),"-",AR40-AS40)</f>
        <v>0.40000000000000568</v>
      </c>
      <c r="AU40" s="17"/>
      <c r="AV40" s="17"/>
      <c r="AW40" s="6" t="str">
        <f>IF(OR(AU40="",AV40="",AU40="-",AV40="-"),"-",AU40-AV40)</f>
        <v>-</v>
      </c>
      <c r="AX40" s="95">
        <v>77.2</v>
      </c>
      <c r="AY40" s="17">
        <v>76.5</v>
      </c>
      <c r="AZ40" s="6">
        <f>IF(OR(AX40="",AY40="",AX40="-",AY40="-"),"-",AX40-AY40)</f>
        <v>0.70000000000000284</v>
      </c>
    </row>
    <row r="41" spans="1:52" x14ac:dyDescent="0.25">
      <c r="A41" s="237" t="s">
        <v>119</v>
      </c>
      <c r="B41" s="229"/>
      <c r="C41" s="229"/>
      <c r="D41" s="222" t="str">
        <f>IF(OR(B41="",C41="",B41="-",C41="-"),"-",B41-C41)</f>
        <v>-</v>
      </c>
      <c r="E41" s="229">
        <v>92</v>
      </c>
      <c r="F41" s="229">
        <v>94.2</v>
      </c>
      <c r="G41" s="222">
        <f>IF(OR(E41="",F41="",E41="-",F41="-"),"-",E41-F41)</f>
        <v>-2.2000000000000028</v>
      </c>
      <c r="H41" s="229">
        <v>8.5</v>
      </c>
      <c r="I41" s="229">
        <v>94.2</v>
      </c>
      <c r="J41" s="222">
        <f>IF(OR(H41="",I41="",H41="-",I41="-"),"-",H41-I41)</f>
        <v>-85.7</v>
      </c>
      <c r="K41" s="229"/>
      <c r="L41" s="229"/>
      <c r="M41" s="222" t="str">
        <f>IF(OR(K41="",L41="",K41="-",L41="-"),"-",K41-L41)</f>
        <v>-</v>
      </c>
      <c r="N41" s="229">
        <v>94.2</v>
      </c>
      <c r="O41" s="229">
        <v>97.8</v>
      </c>
      <c r="P41" s="222">
        <f>IF(OR(N41="",O41="",N41="-",O41="-"),"-",N41-O41)</f>
        <v>-3.5999999999999943</v>
      </c>
      <c r="Q41" s="229">
        <v>97.4</v>
      </c>
      <c r="R41" s="229">
        <v>95.2</v>
      </c>
      <c r="S41" s="222">
        <f>IF(OR(Q41="",R41="",Q41="-",R41="-"),"-",Q41-R41)</f>
        <v>2.2000000000000028</v>
      </c>
      <c r="T41" s="229">
        <v>93</v>
      </c>
      <c r="U41" s="229">
        <v>98.4</v>
      </c>
      <c r="V41" s="222">
        <f>IF(OR(T41="",U41="",T41="-",U41="-"),"-",T41-U41)</f>
        <v>-5.4000000000000057</v>
      </c>
      <c r="W41" s="229">
        <v>98</v>
      </c>
      <c r="X41" s="229">
        <v>85.7</v>
      </c>
      <c r="Y41" s="222">
        <f>IF(OR(W41="",X41="",W41="-",X41="-"),"-",W41-X41)</f>
        <v>12.299999999999997</v>
      </c>
      <c r="Z41" s="17">
        <v>86</v>
      </c>
      <c r="AA41" s="17"/>
      <c r="AB41" s="6" t="str">
        <f>IF(OR(Z41="",AA41="",Z41="-",AA41="-"),"-",Z41-AA41)</f>
        <v>-</v>
      </c>
      <c r="AC41" s="17">
        <v>98.3</v>
      </c>
      <c r="AD41" s="17">
        <v>104.1</v>
      </c>
      <c r="AE41" s="6">
        <f>IF(OR(AC41="",AD41="",AC41="-",AD41="-"),"-",AC41-AD41)</f>
        <v>-5.7999999999999972</v>
      </c>
      <c r="AF41" s="17">
        <v>104.1</v>
      </c>
      <c r="AG41" s="17">
        <v>111.7</v>
      </c>
      <c r="AH41" s="6">
        <f>IF(OR(AF41="",AG41="",AF41="-",AG41="-"),"-",AF41-AG41)</f>
        <v>-7.6000000000000085</v>
      </c>
      <c r="AI41" s="17">
        <v>111.7</v>
      </c>
      <c r="AJ41" s="17">
        <v>109.6</v>
      </c>
      <c r="AK41" s="6">
        <f>IF(OR(AI41="",AJ41="",AI41="-",AJ41="-"),"-",AI41-AJ41)</f>
        <v>2.1000000000000085</v>
      </c>
      <c r="AL41" s="17">
        <v>108.7</v>
      </c>
      <c r="AM41" s="17">
        <v>99.2</v>
      </c>
      <c r="AN41" s="6">
        <f>IF(OR(AL41="",AM41="",AL41="-",AM41="-"),"-",AL41-AM41)</f>
        <v>9.5</v>
      </c>
      <c r="AO41" s="17">
        <v>103.3</v>
      </c>
      <c r="AP41" s="17">
        <v>101.9</v>
      </c>
      <c r="AQ41" s="6">
        <f>IF(OR(AO41="",AP41="",AO41="-",AP41="-"),"-",AO41-AP41)</f>
        <v>1.3999999999999915</v>
      </c>
      <c r="AR41" s="17">
        <v>100.3</v>
      </c>
      <c r="AS41" s="17">
        <v>99.7</v>
      </c>
      <c r="AT41" s="6">
        <f>IF(OR(AR41="",AS41="",AR41="-",AS41="-"),"-",AR41-AS41)</f>
        <v>0.59999999999999432</v>
      </c>
      <c r="AU41" s="16"/>
      <c r="AV41" s="17"/>
      <c r="AW41" s="6" t="str">
        <f>IF(OR(AU41="",AV41="",AU41="-",AV41="-"),"-",AU41-AV41)</f>
        <v>-</v>
      </c>
      <c r="AX41" s="95">
        <v>97</v>
      </c>
      <c r="AY41" s="17">
        <v>104.8</v>
      </c>
      <c r="AZ41" s="6">
        <f>IF(OR(AX41="",AY41="",AX41="-",AY41="-"),"-",AX41-AY41)</f>
        <v>-7.7999999999999972</v>
      </c>
    </row>
    <row r="42" spans="1:52" x14ac:dyDescent="0.25">
      <c r="A42" s="241" t="s">
        <v>120</v>
      </c>
      <c r="B42" s="223"/>
      <c r="C42" s="223"/>
      <c r="D42" s="215" t="str">
        <f>IF(OR(B42="",C42="",B42="-",C42="-"),"-",B42-C42)</f>
        <v>-</v>
      </c>
      <c r="E42" s="223">
        <v>-5.0000000000000001E-3</v>
      </c>
      <c r="F42" s="223">
        <v>6.0000000000000001E-3</v>
      </c>
      <c r="G42" s="215">
        <f>IF(OR(E42="",F42="",E42="-",F42="-"),"-",E42-F42)</f>
        <v>-1.0999999999999999E-2</v>
      </c>
      <c r="H42" s="225">
        <v>3.0000000000000001E-3</v>
      </c>
      <c r="I42" s="225">
        <v>1E-3</v>
      </c>
      <c r="J42" s="215">
        <f>IF(OR(H42="",I42="",H42="-",I42="-"),"-",H42-I42)</f>
        <v>2E-3</v>
      </c>
      <c r="K42" s="225">
        <v>1E-3</v>
      </c>
      <c r="L42" s="223"/>
      <c r="M42" s="215" t="str">
        <f>IF(OR(K42="",L42="",K42="-",L42="-"),"-",K42-L42)</f>
        <v>-</v>
      </c>
      <c r="N42" s="225">
        <v>4.0000000000000001E-3</v>
      </c>
      <c r="O42" s="225">
        <v>4.0000000000000001E-3</v>
      </c>
      <c r="P42" s="215">
        <f>IF(OR(N42="",O42="",N42="-",O42="-"),"-",N42-O42)</f>
        <v>0</v>
      </c>
      <c r="Q42" s="225">
        <v>4.0000000000000001E-3</v>
      </c>
      <c r="R42" s="225">
        <v>-4.0000000000000001E-3</v>
      </c>
      <c r="S42" s="215">
        <f>IF(OR(Q42="",R42="",Q42="-",R42="-"),"-",Q42-R42)</f>
        <v>8.0000000000000002E-3</v>
      </c>
      <c r="T42" s="225">
        <v>-4.0000000000000001E-3</v>
      </c>
      <c r="U42" s="225">
        <v>7.0000000000000001E-3</v>
      </c>
      <c r="V42" s="215">
        <f>IF(OR(T42="",U42="",T42="-",U42="-"),"-",T42-U42)</f>
        <v>-1.0999999999999999E-2</v>
      </c>
      <c r="W42" s="225">
        <v>8.0000000000000002E-3</v>
      </c>
      <c r="X42" s="225">
        <v>7.0000000000000001E-3</v>
      </c>
      <c r="Y42" s="215">
        <f>IF(OR(W42="",X42="",W42="-",X42="-"),"-",W42-X42)</f>
        <v>1E-3</v>
      </c>
      <c r="Z42" s="24">
        <v>5.0000000000000001E-3</v>
      </c>
      <c r="AA42" s="24">
        <v>7.0000000000000001E-3</v>
      </c>
      <c r="AB42" s="4">
        <f>IF(OR(Z42="",AA42="",Z42="-",AA42="-"),"-",Z42-AA42)</f>
        <v>-2E-3</v>
      </c>
      <c r="AC42" s="24">
        <v>8.9999999999999993E-3</v>
      </c>
      <c r="AD42" s="24">
        <v>3.0000000000000001E-3</v>
      </c>
      <c r="AE42" s="4">
        <f>IF(OR(AC42="",AD42="",AC42="-",AD42="-"),"-",AC42-AD42)</f>
        <v>5.9999999999999993E-3</v>
      </c>
      <c r="AF42" s="24">
        <v>3.0000000000000001E-3</v>
      </c>
      <c r="AG42" s="24">
        <v>6.0000000000000001E-3</v>
      </c>
      <c r="AH42" s="4">
        <f>IF(OR(AF42="",AG42="",AF42="-",AG42="-"),"-",AF42-AG42)</f>
        <v>-3.0000000000000001E-3</v>
      </c>
      <c r="AI42" s="24">
        <v>6.0000000000000001E-3</v>
      </c>
      <c r="AJ42" s="24">
        <v>3.0000000000000001E-3</v>
      </c>
      <c r="AK42" s="4">
        <f>IF(OR(AI42="",AJ42="",AI42="-",AJ42="-"),"-",AI42-AJ42)</f>
        <v>3.0000000000000001E-3</v>
      </c>
      <c r="AL42" s="96">
        <v>3.0000000000000001E-3</v>
      </c>
      <c r="AM42" s="96">
        <v>2E-3</v>
      </c>
      <c r="AN42" s="4">
        <f>IF(OR(AL42="",AM42="",AL42="-",AM42="-"),"-",AL42-AM42)</f>
        <v>1E-3</v>
      </c>
      <c r="AO42" s="24">
        <v>3.0000000000000001E-3</v>
      </c>
      <c r="AP42" s="24">
        <v>2E-3</v>
      </c>
      <c r="AQ42" s="4">
        <f>IF(OR(AO42="",AP42="",AO42="-",AP42="-"),"-",AO42-AP42)</f>
        <v>1E-3</v>
      </c>
      <c r="AR42" s="24">
        <v>2E-3</v>
      </c>
      <c r="AS42" s="24">
        <v>4.0000000000000001E-3</v>
      </c>
      <c r="AT42" s="4">
        <f>IF(OR(AR42="",AS42="",AR42="-",AS42="-"),"-",AR42-AS42)</f>
        <v>-2E-3</v>
      </c>
      <c r="AU42" s="24">
        <v>2E-3</v>
      </c>
      <c r="AV42" s="24">
        <v>7.0000000000000001E-3</v>
      </c>
      <c r="AW42" s="4">
        <f>IF(OR(AU42="",AV42="",AU42="-",AV42="-"),"-",AU42-AV42)</f>
        <v>-5.0000000000000001E-3</v>
      </c>
      <c r="AX42" s="97">
        <v>3.0000000000000001E-3</v>
      </c>
      <c r="AY42" s="24">
        <v>0.01</v>
      </c>
      <c r="AZ42" s="4">
        <f>IF(OR(AX42="",AY42="",AX42="-",AY42="-"),"-",AX42-AY42)</f>
        <v>-7.0000000000000001E-3</v>
      </c>
    </row>
    <row r="43" spans="1:52" x14ac:dyDescent="0.25">
      <c r="A43" s="241" t="s">
        <v>121</v>
      </c>
      <c r="B43" s="223"/>
      <c r="C43" s="223"/>
      <c r="D43" s="215" t="str">
        <f>IF(OR(B43="",C43="",B43="-",C43="-"),"-",B43-C43)</f>
        <v>-</v>
      </c>
      <c r="E43" s="223">
        <v>1E-3</v>
      </c>
      <c r="F43" s="223">
        <v>0</v>
      </c>
      <c r="G43" s="215">
        <f>IF(OR(E43="",F43="",E43="-",F43="-"),"-",E43-F43)</f>
        <v>1E-3</v>
      </c>
      <c r="H43" s="225">
        <v>5.0000000000000001E-3</v>
      </c>
      <c r="I43" s="225">
        <v>5.0000000000000001E-3</v>
      </c>
      <c r="J43" s="215">
        <f>IF(OR(H43="",I43="",H43="-",I43="-"),"-",H43-I43)</f>
        <v>0</v>
      </c>
      <c r="K43" s="225">
        <v>5.0000000000000001E-3</v>
      </c>
      <c r="L43" s="223"/>
      <c r="M43" s="215" t="str">
        <f>IF(OR(K43="",L43="",K43="-",L43="-"),"-",K43-L43)</f>
        <v>-</v>
      </c>
      <c r="N43" s="225">
        <v>6.0000000000000001E-3</v>
      </c>
      <c r="O43" s="225">
        <v>5.0000000000000001E-3</v>
      </c>
      <c r="P43" s="215">
        <f>IF(OR(N43="",O43="",N43="-",O43="-"),"-",N43-O43)</f>
        <v>1E-3</v>
      </c>
      <c r="Q43" s="225">
        <v>5.0000000000000001E-3</v>
      </c>
      <c r="R43" s="223">
        <v>0</v>
      </c>
      <c r="S43" s="215">
        <f>IF(OR(Q43="",R43="",Q43="-",R43="-"),"-",Q43-R43)</f>
        <v>5.0000000000000001E-3</v>
      </c>
      <c r="T43" s="225">
        <v>-1E-3</v>
      </c>
      <c r="U43" s="225">
        <v>2E-3</v>
      </c>
      <c r="V43" s="215">
        <f>IF(OR(T43="",U43="",T43="-",U43="-"),"-",T43-U43)</f>
        <v>-3.0000000000000001E-3</v>
      </c>
      <c r="W43" s="225">
        <v>2E-3</v>
      </c>
      <c r="X43" s="225">
        <v>7.0000000000000001E-3</v>
      </c>
      <c r="Y43" s="215">
        <f>IF(OR(W43="",X43="",W43="-",X43="-"),"-",W43-X43)</f>
        <v>-5.0000000000000001E-3</v>
      </c>
      <c r="Z43" s="24">
        <v>7.0000000000000001E-3</v>
      </c>
      <c r="AA43" s="24">
        <v>-3.0000000000000001E-3</v>
      </c>
      <c r="AB43" s="4">
        <f>IF(OR(Z43="",AA43="",Z43="-",AA43="-"),"-",Z43-AA43)</f>
        <v>0.01</v>
      </c>
      <c r="AC43" s="24">
        <v>-2E-3</v>
      </c>
      <c r="AD43" s="24">
        <v>6.0000000000000001E-3</v>
      </c>
      <c r="AE43" s="4">
        <f>IF(OR(AC43="",AD43="",AC43="-",AD43="-"),"-",AC43-AD43)</f>
        <v>-8.0000000000000002E-3</v>
      </c>
      <c r="AF43" s="24">
        <v>4.0000000000000001E-3</v>
      </c>
      <c r="AG43" s="24">
        <v>3.0000000000000001E-3</v>
      </c>
      <c r="AH43" s="4">
        <f>IF(OR(AF43="",AG43="",AF43="-",AG43="-"),"-",AF43-AG43)</f>
        <v>1E-3</v>
      </c>
      <c r="AI43" s="24">
        <v>4.0000000000000001E-3</v>
      </c>
      <c r="AJ43" s="24">
        <v>6.0000000000000001E-3</v>
      </c>
      <c r="AK43" s="4">
        <f>IF(OR(AI43="",AJ43="",AI43="-",AJ43="-"),"-",AI43-AJ43)</f>
        <v>-2E-3</v>
      </c>
      <c r="AL43" s="24">
        <v>5.0000000000000001E-3</v>
      </c>
      <c r="AM43" s="24">
        <v>3.0000000000000001E-3</v>
      </c>
      <c r="AN43" s="4">
        <f>IF(OR(AL43="",AM43="",AL43="-",AM43="-"),"-",AL43-AM43)</f>
        <v>2E-3</v>
      </c>
      <c r="AO43" s="24">
        <v>5.0000000000000001E-3</v>
      </c>
      <c r="AP43" s="24">
        <v>3.0000000000000001E-3</v>
      </c>
      <c r="AQ43" s="4">
        <f>IF(OR(AO43="",AP43="",AO43="-",AP43="-"),"-",AO43-AP43)</f>
        <v>2E-3</v>
      </c>
      <c r="AR43" s="24">
        <v>3.0000000000000001E-3</v>
      </c>
      <c r="AS43" s="24">
        <v>4.0000000000000001E-3</v>
      </c>
      <c r="AT43" s="4">
        <f>IF(OR(AR43="",AS43="",AR43="-",AS43="-"),"-",AR43-AS43)</f>
        <v>-1E-3</v>
      </c>
      <c r="AU43" s="24">
        <v>3.0000000000000001E-3</v>
      </c>
      <c r="AV43" s="24">
        <v>5.0000000000000001E-3</v>
      </c>
      <c r="AW43" s="4">
        <f>IF(OR(AU43="",AV43="",AU43="-",AV43="-"),"-",AU43-AV43)</f>
        <v>-2E-3</v>
      </c>
      <c r="AX43" s="97">
        <v>8.0000000000000002E-3</v>
      </c>
      <c r="AY43" s="24">
        <v>2E-3</v>
      </c>
      <c r="AZ43" s="4">
        <f>IF(OR(AX43="",AY43="",AX43="-",AY43="-"),"-",AX43-AY43)</f>
        <v>6.0000000000000001E-3</v>
      </c>
    </row>
    <row r="44" spans="1:52" x14ac:dyDescent="0.25">
      <c r="A44" s="241" t="s">
        <v>122</v>
      </c>
      <c r="B44" s="223"/>
      <c r="C44" s="223"/>
      <c r="D44" s="217" t="str">
        <f>IF(OR(B44="",C44="",B44="-",C44="-"),"-",B44-C44)</f>
        <v>-</v>
      </c>
      <c r="E44" s="223">
        <v>24</v>
      </c>
      <c r="F44" s="223">
        <v>4.7</v>
      </c>
      <c r="G44" s="217">
        <f>IF(OR(E44="",F44="",E44="-",F44="-"),"-",E44-F44)</f>
        <v>19.3</v>
      </c>
      <c r="H44" s="223">
        <v>4.2</v>
      </c>
      <c r="I44" s="223">
        <v>9.1999999999999993</v>
      </c>
      <c r="J44" s="217">
        <f>IF(OR(H44="",I44="",H44="-",I44="-"),"-",H44-I44)</f>
        <v>-4.9999999999999991</v>
      </c>
      <c r="K44" s="223">
        <v>9.1999999999999993</v>
      </c>
      <c r="L44" s="223"/>
      <c r="M44" s="217" t="str">
        <f>IF(OR(K44="",L44="",K44="-",L44="-"),"-",K44-L44)</f>
        <v>-</v>
      </c>
      <c r="N44" s="223">
        <v>0.4</v>
      </c>
      <c r="O44" s="223">
        <v>18.100000000000001</v>
      </c>
      <c r="P44" s="217">
        <f>IF(OR(N44="",O44="",N44="-",O44="-"),"-",N44-O44)</f>
        <v>-17.700000000000003</v>
      </c>
      <c r="Q44" s="223">
        <v>16.010000000000002</v>
      </c>
      <c r="R44" s="223">
        <v>5.0999999999999996</v>
      </c>
      <c r="S44" s="217">
        <f>IF(OR(Q44="",R44="",Q44="-",R44="-"),"-",Q44-R44)</f>
        <v>10.910000000000002</v>
      </c>
      <c r="T44" s="223">
        <v>5.0999999999999996</v>
      </c>
      <c r="U44" s="223">
        <v>16.899999999999999</v>
      </c>
      <c r="V44" s="217">
        <f>IF(OR(T44="",U44="",T44="-",U44="-"),"-",T44-U44)</f>
        <v>-11.799999999999999</v>
      </c>
      <c r="W44" s="223">
        <v>17.899999999999999</v>
      </c>
      <c r="X44" s="223">
        <v>-0.6</v>
      </c>
      <c r="Y44" s="217">
        <f>IF(OR(W44="",X44="",W44="-",X44="-"),"-",W44-X44)</f>
        <v>18.5</v>
      </c>
      <c r="Z44" s="5">
        <v>-0.8</v>
      </c>
      <c r="AA44" s="5">
        <v>8.9</v>
      </c>
      <c r="AB44" s="10">
        <f>IF(OR(Z44="",AA44="",Z44="-",AA44="-"),"-",Z44-AA44)</f>
        <v>-9.7000000000000011</v>
      </c>
      <c r="AC44" s="5">
        <v>18.100000000000001</v>
      </c>
      <c r="AD44" s="5">
        <v>-5.4</v>
      </c>
      <c r="AE44" s="10">
        <f>IF(OR(AC44="",AD44="",AC44="-",AD44="-"),"-",AC44-AD44)</f>
        <v>23.5</v>
      </c>
      <c r="AF44" s="5">
        <v>-7.5</v>
      </c>
      <c r="AG44" s="5">
        <v>17.3</v>
      </c>
      <c r="AH44" s="10">
        <f>IF(OR(AF44="",AG44="",AF44="-",AG44="-"),"-",AF44-AG44)</f>
        <v>-24.8</v>
      </c>
      <c r="AI44" s="5">
        <v>19.2</v>
      </c>
      <c r="AJ44" s="5">
        <v>3.2</v>
      </c>
      <c r="AK44" s="10">
        <f>IF(OR(AI44="",AJ44="",AI44="-",AJ44="-"),"-",AI44-AJ44)</f>
        <v>16</v>
      </c>
      <c r="AL44" s="5">
        <v>8.9</v>
      </c>
      <c r="AM44" s="5">
        <v>26.6</v>
      </c>
      <c r="AN44" s="10">
        <f>IF(OR(AL44="",AM44="",AL44="-",AM44="-"),"-",AL44-AM44)</f>
        <v>-17.700000000000003</v>
      </c>
      <c r="AO44" s="5">
        <v>25.5</v>
      </c>
      <c r="AP44" s="5">
        <v>5.2</v>
      </c>
      <c r="AQ44" s="10">
        <f>IF(OR(AO44="",AP44="",AO44="-",AP44="-"),"-",AO44-AP44)</f>
        <v>20.3</v>
      </c>
      <c r="AR44" s="5">
        <v>11.4</v>
      </c>
      <c r="AS44" s="5">
        <v>6.5</v>
      </c>
      <c r="AT44" s="10">
        <f>IF(OR(AR44="",AS44="",AR44="-",AS44="-"),"-",AR44-AS44)</f>
        <v>4.9000000000000004</v>
      </c>
      <c r="AU44" s="5">
        <v>6.4</v>
      </c>
      <c r="AV44" s="5">
        <v>-1.1000000000000001</v>
      </c>
      <c r="AW44" s="10">
        <f>IF(OR(AU44="",AV44="",AU44="-",AV44="-"),"-",AU44-AV44)</f>
        <v>7.5</v>
      </c>
      <c r="AY44" s="5">
        <v>19.5</v>
      </c>
      <c r="AZ44" s="10" t="str">
        <f>IF(OR(AX44="",AY44="",AX44="-",AY44="-"),"-",AX44-AY44)</f>
        <v>-</v>
      </c>
    </row>
    <row r="45" spans="1:52" x14ac:dyDescent="0.25">
      <c r="A45" s="241" t="s">
        <v>123</v>
      </c>
      <c r="B45" s="223"/>
      <c r="C45" s="223"/>
      <c r="D45" s="217" t="str">
        <f>IF(OR(B45="",C45="",B45="-",C45="-"),"-",B45-C45)</f>
        <v>-</v>
      </c>
      <c r="E45" s="223">
        <v>14.9</v>
      </c>
      <c r="F45" s="223">
        <v>16</v>
      </c>
      <c r="G45" s="217">
        <f>IF(OR(E45="",F45="",E45="-",F45="-"),"-",E45-F45)</f>
        <v>-1.0999999999999996</v>
      </c>
      <c r="H45" s="223">
        <v>16</v>
      </c>
      <c r="I45" s="223">
        <v>15.6</v>
      </c>
      <c r="J45" s="217">
        <f>IF(OR(H45="",I45="",H45="-",I45="-"),"-",H45-I45)</f>
        <v>0.40000000000000036</v>
      </c>
      <c r="K45" s="223">
        <v>15.6</v>
      </c>
      <c r="L45" s="223"/>
      <c r="M45" s="217" t="str">
        <f>IF(OR(K45="",L45="",K45="-",L45="-"),"-",K45-L45)</f>
        <v>-</v>
      </c>
      <c r="N45" s="223">
        <v>16.399999999999999</v>
      </c>
      <c r="O45" s="223">
        <v>16.100000000000001</v>
      </c>
      <c r="P45" s="217">
        <f>IF(OR(N45="",O45="",N45="-",O45="-"),"-",N45-O45)</f>
        <v>0.29999999999999716</v>
      </c>
      <c r="Q45" s="223">
        <v>16.100000000000001</v>
      </c>
      <c r="R45" s="223">
        <v>15.3</v>
      </c>
      <c r="S45" s="217">
        <f>IF(OR(Q45="",R45="",Q45="-",R45="-"),"-",Q45-R45)</f>
        <v>0.80000000000000071</v>
      </c>
      <c r="T45" s="223">
        <v>15.3</v>
      </c>
      <c r="U45" s="223">
        <v>15.7</v>
      </c>
      <c r="V45" s="217">
        <f>IF(OR(T45="",U45="",T45="-",U45="-"),"-",T45-U45)</f>
        <v>-0.39999999999999858</v>
      </c>
      <c r="W45" s="223">
        <v>15.7</v>
      </c>
      <c r="X45" s="223">
        <v>17.3</v>
      </c>
      <c r="Y45" s="217">
        <f>IF(OR(W45="",X45="",W45="-",X45="-"),"-",W45-X45)</f>
        <v>-1.6000000000000014</v>
      </c>
      <c r="Z45" s="5">
        <v>17.3</v>
      </c>
      <c r="AA45" s="5">
        <v>16</v>
      </c>
      <c r="AB45" s="10">
        <f>IF(OR(Z45="",AA45="",Z45="-",AA45="-"),"-",Z45-AA45)</f>
        <v>1.3000000000000007</v>
      </c>
      <c r="AC45" s="5">
        <v>16</v>
      </c>
      <c r="AD45" s="5">
        <v>15.6</v>
      </c>
      <c r="AE45" s="10">
        <f>IF(OR(AC45="",AD45="",AC45="-",AD45="-"),"-",AC45-AD45)</f>
        <v>0.40000000000000036</v>
      </c>
      <c r="AF45" s="5">
        <v>16.8</v>
      </c>
      <c r="AG45" s="5">
        <v>16.5</v>
      </c>
      <c r="AH45" s="10">
        <f>IF(OR(AF45="",AG45="",AF45="-",AG45="-"),"-",AF45-AG45)</f>
        <v>0.30000000000000071</v>
      </c>
      <c r="AK45" s="10" t="str">
        <f>IF(OR(AI45="",AJ45="",AI45="-",AJ45="-"),"-",AI45-AJ45)</f>
        <v>-</v>
      </c>
      <c r="AL45" s="5">
        <v>16</v>
      </c>
      <c r="AM45" s="5">
        <v>15.8</v>
      </c>
      <c r="AN45" s="10">
        <f>IF(OR(AL45="",AM45="",AL45="-",AM45="-"),"-",AL45-AM45)</f>
        <v>0.19999999999999929</v>
      </c>
      <c r="AO45" s="5">
        <v>15.1</v>
      </c>
      <c r="AP45" s="5">
        <v>15.8</v>
      </c>
      <c r="AQ45" s="10">
        <f>IF(OR(AO45="",AP45="",AO45="-",AP45="-"),"-",AO45-AP45)</f>
        <v>-0.70000000000000107</v>
      </c>
      <c r="AR45" s="5">
        <v>15.3</v>
      </c>
      <c r="AS45" s="5">
        <v>15.9</v>
      </c>
      <c r="AT45" s="10">
        <f>IF(OR(AR45="",AS45="",AR45="-",AS45="-"),"-",AR45-AS45)</f>
        <v>-0.59999999999999964</v>
      </c>
      <c r="AW45" s="10" t="str">
        <f>IF(OR(AU45="",AV45="",AU45="-",AV45="-"),"-",AU45-AV45)</f>
        <v>-</v>
      </c>
      <c r="AX45" s="93">
        <v>15.7</v>
      </c>
      <c r="AY45" s="5">
        <v>15.8</v>
      </c>
      <c r="AZ45" s="10">
        <f>IF(OR(AX45="",AY45="",AX45="-",AY45="-"),"-",AX45-AY45)</f>
        <v>-0.10000000000000142</v>
      </c>
    </row>
    <row r="46" spans="1:52" x14ac:dyDescent="0.25">
      <c r="A46" s="241" t="s">
        <v>124</v>
      </c>
      <c r="B46" s="223"/>
      <c r="C46" s="223"/>
      <c r="D46" s="217" t="str">
        <f>IF(OR(B46="",C46="",B46="-",C46="-"),"-",B46-C46)</f>
        <v>-</v>
      </c>
      <c r="E46" s="223">
        <v>48.8</v>
      </c>
      <c r="F46" s="223">
        <v>47.2</v>
      </c>
      <c r="G46" s="217">
        <f>IF(OR(E46="",F46="",E46="-",F46="-"),"-",E46-F46)</f>
        <v>1.5999999999999943</v>
      </c>
      <c r="H46" s="223"/>
      <c r="I46" s="223"/>
      <c r="J46" s="217" t="str">
        <f>IF(OR(H46="",I46="",H46="-",I46="-"),"-",H46-I46)</f>
        <v>-</v>
      </c>
      <c r="K46" s="223"/>
      <c r="L46" s="223"/>
      <c r="M46" s="217" t="str">
        <f>IF(OR(K46="",L46="",K46="-",L46="-"),"-",K46-L46)</f>
        <v>-</v>
      </c>
      <c r="N46" s="223">
        <v>48.3</v>
      </c>
      <c r="O46" s="223">
        <v>48.7</v>
      </c>
      <c r="P46" s="217">
        <f>IF(OR(N46="",O46="",N46="-",O46="-"),"-",N46-O46)</f>
        <v>-0.40000000000000568</v>
      </c>
      <c r="Q46" s="223">
        <v>48.7</v>
      </c>
      <c r="R46" s="223">
        <v>48.6</v>
      </c>
      <c r="S46" s="217">
        <f>IF(OR(Q46="",R46="",Q46="-",R46="-"),"-",Q46-R46)</f>
        <v>0.10000000000000142</v>
      </c>
      <c r="T46" s="223">
        <v>48.6</v>
      </c>
      <c r="U46" s="223">
        <v>49.2</v>
      </c>
      <c r="V46" s="217">
        <f>IF(OR(T46="",U46="",T46="-",U46="-"),"-",T46-U46)</f>
        <v>-0.60000000000000142</v>
      </c>
      <c r="W46" s="223">
        <v>49.2</v>
      </c>
      <c r="X46" s="223">
        <v>47.9</v>
      </c>
      <c r="Y46" s="217">
        <f>IF(OR(W46="",X46="",W46="-",X46="-"),"-",W46-X46)</f>
        <v>1.3000000000000043</v>
      </c>
      <c r="Z46" s="5">
        <v>47.9</v>
      </c>
      <c r="AA46" s="5">
        <v>49.8</v>
      </c>
      <c r="AB46" s="10">
        <f>IF(OR(Z46="",AA46="",Z46="-",AA46="-"),"-",Z46-AA46)</f>
        <v>-1.8999999999999986</v>
      </c>
      <c r="AE46" s="10" t="str">
        <f>IF(OR(AC46="",AD46="",AC46="-",AD46="-"),"-",AC46-AD46)</f>
        <v>-</v>
      </c>
      <c r="AH46" s="10" t="str">
        <f>IF(OR(AF46="",AG46="",AF46="-",AG46="-"),"-",AF46-AG46)</f>
        <v>-</v>
      </c>
      <c r="AK46" s="10" t="str">
        <f>IF(OR(AI46="",AJ46="",AI46="-",AJ46="-"),"-",AI46-AJ46)</f>
        <v>-</v>
      </c>
      <c r="AN46" s="10" t="str">
        <f>IF(OR(AL46="",AM46="",AL46="-",AM46="-"),"-",AL46-AM46)</f>
        <v>-</v>
      </c>
      <c r="AQ46" s="10" t="str">
        <f>IF(OR(AO46="",AP46="",AO46="-",AP46="-"),"-",AO46-AP46)</f>
        <v>-</v>
      </c>
      <c r="AR46" s="5">
        <v>44.2</v>
      </c>
      <c r="AS46" s="5">
        <v>40.5</v>
      </c>
      <c r="AT46" s="10">
        <f>IF(OR(AR46="",AS46="",AR46="-",AS46="-"),"-",AR46-AS46)</f>
        <v>3.7000000000000028</v>
      </c>
      <c r="AW46" s="10" t="str">
        <f>IF(OR(AU46="",AV46="",AU46="-",AV46="-"),"-",AU46-AV46)</f>
        <v>-</v>
      </c>
      <c r="AZ46" s="10" t="str">
        <f>IF(OR(AX46="",AY46="",AX46="-",AY46="-"),"-",AX46-AY46)</f>
        <v>-</v>
      </c>
    </row>
    <row r="47" spans="1:52" x14ac:dyDescent="0.25">
      <c r="A47" s="241"/>
      <c r="B47" s="223"/>
      <c r="C47" s="223"/>
      <c r="D47" s="218" t="str">
        <f>IF(OR(B47="",C47="",B47="-",C47="-"),"-",B47-C47)</f>
        <v>-</v>
      </c>
      <c r="E47" s="223"/>
      <c r="F47" s="223"/>
      <c r="G47" s="218" t="str">
        <f>IF(OR(E47="",F47="",E47="-",F47="-"),"-",E47-F47)</f>
        <v>-</v>
      </c>
      <c r="H47" s="223"/>
      <c r="I47" s="223"/>
      <c r="J47" s="218" t="str">
        <f>IF(OR(H47="",I47="",H47="-",I47="-"),"-",H47-I47)</f>
        <v>-</v>
      </c>
      <c r="K47" s="223"/>
      <c r="L47" s="223"/>
      <c r="M47" s="218" t="str">
        <f>IF(OR(K47="",L47="",K47="-",L47="-"),"-",K47-L47)</f>
        <v>-</v>
      </c>
      <c r="N47" s="223"/>
      <c r="O47" s="223"/>
      <c r="P47" s="218" t="str">
        <f>IF(OR(N47="",O47="",N47="-",O47="-"),"-",N47-O47)</f>
        <v>-</v>
      </c>
      <c r="Q47" s="223"/>
      <c r="R47" s="223"/>
      <c r="S47" s="218" t="str">
        <f>IF(OR(Q47="",R47="",Q47="-",R47="-"),"-",Q47-R47)</f>
        <v>-</v>
      </c>
      <c r="T47" s="223"/>
      <c r="U47" s="223"/>
      <c r="V47" s="218" t="str">
        <f>IF(OR(T47="",U47="",T47="-",U47="-"),"-",T47-U47)</f>
        <v>-</v>
      </c>
      <c r="W47" s="223"/>
      <c r="X47" s="223"/>
      <c r="Y47" s="218" t="str">
        <f>IF(OR(W47="",X47="",W47="-",X47="-"),"-",W47-X47)</f>
        <v>-</v>
      </c>
      <c r="AB47" s="20" t="str">
        <f>IF(OR(Z47="",AA47="",Z47="-",AA47="-"),"-",Z47-AA47)</f>
        <v>-</v>
      </c>
      <c r="AE47" s="20" t="str">
        <f>IF(OR(AC47="",AD47="",AC47="-",AD47="-"),"-",AC47-AD47)</f>
        <v>-</v>
      </c>
      <c r="AH47" s="20" t="str">
        <f>IF(OR(AF47="",AG47="",AF47="-",AG47="-"),"-",AF47-AG47)</f>
        <v>-</v>
      </c>
      <c r="AK47" s="20" t="str">
        <f>IF(OR(AI47="",AJ47="",AI47="-",AJ47="-"),"-",AI47-AJ47)</f>
        <v>-</v>
      </c>
      <c r="AN47" s="20" t="str">
        <f>IF(OR(AL47="",AM47="",AL47="-",AM47="-"),"-",AL47-AM47)</f>
        <v>-</v>
      </c>
      <c r="AQ47" s="20" t="str">
        <f>IF(OR(AO47="",AP47="",AO47="-",AP47="-"),"-",AO47-AP47)</f>
        <v>-</v>
      </c>
      <c r="AT47" s="20" t="str">
        <f>IF(OR(AR47="",AS47="",AR47="-",AS47="-"),"-",AR47-AS47)</f>
        <v>-</v>
      </c>
      <c r="AW47" s="20" t="str">
        <f>IF(OR(AU47="",AV47="",AU47="-",AV47="-"),"-",AU47-AV47)</f>
        <v>-</v>
      </c>
      <c r="AZ47" s="20" t="str">
        <f>IF(OR(AX47="",AY47="",AX47="-",AY47="-"),"-",AX47-AY47)</f>
        <v>-</v>
      </c>
    </row>
    <row r="48" spans="1:52" x14ac:dyDescent="0.25">
      <c r="A48" s="236" t="s">
        <v>50</v>
      </c>
      <c r="B48" s="332" t="str">
        <f>IF(AND(D49="-",D50="-",D51="-",D52="-",D53="-",D54="-",D55="-",D56="-",D57="-",D58="-",D59="-",D60="-",D61="-",D62="-",D63="-",D64="-",D65="-",D66="-",D67="-",D68="-",D69="-"),"",
IF(SUM(IF(D49="-",0,IF(D49&lt;0,-2,IF(D49&gt;0,2,0))),
IF(D50="-",0,IF(D50&lt;0,-2,IF(D50&gt;0,2,0))),
IF(D51="-",0,IF(D51&lt;0,-2,IF(D51&gt;0,2,0))),
IF(D52="-",0,IF(D52&lt;0,-2,IF(D52&gt;0,2,0))),
IF(D53="-",0,IF(D53&lt;0,-2,IF(D53&gt;0,2,0))),
IF(D54="-",0,IF(D54&lt;0,-2,IF(D54&gt;0,2,0))),
IF(D55="-",0,IF(D55&lt;0,-2,IF(D55&gt;0,2,0))),
IF(D56="-",0,IF(D56&lt;0,-2,IF(D56&gt;0,2,0))),
IF(D57="-",0,IF(D57&lt;0,-2,IF(D57&gt;0,2,0))),
IF(D58="-",0,IF(D58&lt;0,-1,IF(D58&gt;0,1,0))),
IF(D59="-",0,IF(D59&lt;0,-1,IF(D59&gt;0,1,0))),
IF(D60="-",0,IF(D60&lt;0,-1,IF(D60&gt;0,1,0))),
IF(D61="-",0,IF(D61&lt;0,-1,IF(D61&gt;0,1,0))),
IF(D62="-",0,IF(D62&lt;0,-1,IF(D62&gt;0,1,0))),
IF(D63="-",0,IF(D63&lt;0,-1,IF(D63&gt;0,1,0))),
IF(D64="-",0,IF(D64&lt;0,-1,IF(D64&gt;0,1,0))),
IF(D65="-",0,IF(D65&lt;0,-1,IF(D65&gt;0,1,0))),
IF(D66="-",0,IF(D66&lt;0,-1,IF(D66&gt;0,1,0))),
IF(D67="-",0,IF(D67&lt;0,-1,IF(D67&gt;0,1,0))),
IF(D68="-",0,IF(D68&lt;0,-1,IF(D68&gt;0,1,0))),
IF(D69="-",0,IF(D69&lt;0,-1,IF(D69&gt;0,1,0)))) / 30 &gt; 0.1, "BULLISH",
IF(SUM(IF(D49="-",0,IF(D49&lt;0,-2,IF(D49&gt;0,2,0))),
IF(D50="-",0,IF(D50&lt;0,-2,IF(D50&gt;0,2,0))),
IF(D51="-",0,IF(D51&lt;0,-2,IF(D51&gt;0,2,0))),
IF(D52="-",0,IF(D52&lt;0,-2,IF(D52&gt;0,2,0))),
IF(D53="-",0,IF(D53&lt;0,-2,IF(D53&gt;0,2,0))),
IF(D54="-",0,IF(D54&lt;0,-2,IF(D54&gt;0,2,0))),
IF(D55="-",0,IF(D55&lt;0,-2,IF(D55&gt;0,2,0))),
IF(D56="-",0,IF(D56&lt;0,-2,IF(D56&gt;0,2,0))),
IF(D57="-",0,IF(D57&lt;0,-2,IF(D57&gt;0,2,0))),
IF(D58="-",0,IF(D58&lt;0,-1,IF(D58&gt;0,1,0))),
IF(D59="-",0,IF(D59&lt;0,-1,IF(D59&gt;0,1,0))),
IF(D60="-",0,IF(D60&lt;0,-1,IF(D60&gt;0,1,0))),
IF(D61="-",0,IF(D61&lt;0,-1,IF(D61&gt;0,1,0))),
IF(D62="-",0,IF(D62&lt;0,-1,IF(D62&gt;0,1,0))),
IF(D63="-",0,IF(D63&lt;0,-1,IF(D63&gt;0,1,0))),
IF(D64="-",0,IF(D64&lt;0,-1,IF(D64&gt;0,1,0))),
IF(D65="-",0,IF(D65&lt;0,-1,IF(D65&gt;0,1,0))),
IF(D66="-",0,IF(D66&lt;0,-1,IF(D66&gt;0,1,0))),
IF(D67="-",0,IF(D67&lt;0,-1,IF(D67&gt;0,1,0))),
IF(D68="-",0,IF(D68&lt;0,-1,IF(D68&gt;0,1,0))),
IF(D69="-",0,IF(D69&lt;0,-1,IF(D69&gt;0,1,0)))) / 30 &lt; -0.1, "BEARISH", "NEUTRO")))</f>
        <v/>
      </c>
      <c r="C48" s="332"/>
      <c r="D48" s="332"/>
      <c r="E48" s="332" t="str">
        <f>IF(AND(G49="-",G50="-",G51="-",G52="-",G53="-",G54="-",G55="-",G56="-",G57="-",G58="-",G59="-",G60="-",G61="-",G62="-",G63="-",G64="-",G65="-",G66="-",G67="-",G68="-",G69="-"),"",
IF(SUM(IF(G49="-",0,IF(G49&lt;0,-2,IF(G49&gt;0,2,0))),
IF(G50="-",0,IF(G50&lt;0,-2,IF(G50&gt;0,2,0))),
IF(G51="-",0,IF(G51&lt;0,-2,IF(G51&gt;0,2,0))),
IF(G52="-",0,IF(G52&lt;0,-2,IF(G52&gt;0,2,0))),
IF(G53="-",0,IF(G53&lt;0,-2,IF(G53&gt;0,2,0))),
IF(G54="-",0,IF(G54&lt;0,-2,IF(G54&gt;0,2,0))),
IF(G55="-",0,IF(G55&lt;0,-2,IF(G55&gt;0,2,0))),
IF(G56="-",0,IF(G56&lt;0,-2,IF(G56&gt;0,2,0))),
IF(G57="-",0,IF(G57&lt;0,-2,IF(G57&gt;0,2,0))),
IF(G58="-",0,IF(G58&lt;0,-1,IF(G58&gt;0,1,0))),
IF(G59="-",0,IF(G59&lt;0,-1,IF(G59&gt;0,1,0))),
IF(G60="-",0,IF(G60&lt;0,-1,IF(G60&gt;0,1,0))),
IF(G61="-",0,IF(G61&lt;0,-1,IF(G61&gt;0,1,0))),
IF(G62="-",0,IF(G62&lt;0,-1,IF(G62&gt;0,1,0))),
IF(G63="-",0,IF(G63&lt;0,-1,IF(G63&gt;0,1,0))),
IF(G64="-",0,IF(G64&lt;0,-1,IF(G64&gt;0,1,0))),
IF(G65="-",0,IF(G65&lt;0,-1,IF(G65&gt;0,1,0))),
IF(G66="-",0,IF(G66&lt;0,-1,IF(G66&gt;0,1,0))),
IF(G67="-",0,IF(G67&lt;0,-1,IF(G67&gt;0,1,0))),
IF(G68="-",0,IF(G68&lt;0,-1,IF(G68&gt;0,1,0))),
IF(G69="-",0,IF(G69&lt;0,-1,IF(G69&gt;0,1,0)))) / 30 &gt; 0.1, "BULLISH",
IF(SUM(IF(G49="-",0,IF(G49&lt;0,-2,IF(G49&gt;0,2,0))),
IF(G50="-",0,IF(G50&lt;0,-2,IF(G50&gt;0,2,0))),
IF(G51="-",0,IF(G51&lt;0,-2,IF(G51&gt;0,2,0))),
IF(G52="-",0,IF(G52&lt;0,-2,IF(G52&gt;0,2,0))),
IF(G53="-",0,IF(G53&lt;0,-2,IF(G53&gt;0,2,0))),
IF(G54="-",0,IF(G54&lt;0,-2,IF(G54&gt;0,2,0))),
IF(G55="-",0,IF(G55&lt;0,-2,IF(G55&gt;0,2,0))),
IF(G56="-",0,IF(G56&lt;0,-2,IF(G56&gt;0,2,0))),
IF(G57="-",0,IF(G57&lt;0,-2,IF(G57&gt;0,2,0))),
IF(G58="-",0,IF(G58&lt;0,-1,IF(G58&gt;0,1,0))),
IF(G59="-",0,IF(G59&lt;0,-1,IF(G59&gt;0,1,0))),
IF(G60="-",0,IF(G60&lt;0,-1,IF(G60&gt;0,1,0))),
IF(G61="-",0,IF(G61&lt;0,-1,IF(G61&gt;0,1,0))),
IF(G62="-",0,IF(G62&lt;0,-1,IF(G62&gt;0,1,0))),
IF(G63="-",0,IF(G63&lt;0,-1,IF(G63&gt;0,1,0))),
IF(G64="-",0,IF(G64&lt;0,-1,IF(G64&gt;0,1,0))),
IF(G65="-",0,IF(G65&lt;0,-1,IF(G65&gt;0,1,0))),
IF(G66="-",0,IF(G66&lt;0,-1,IF(G66&gt;0,1,0))),
IF(G67="-",0,IF(G67&lt;0,-1,IF(G67&gt;0,1,0))),
IF(G68="-",0,IF(G68&lt;0,-1,IF(G68&gt;0,1,0))),
IF(G69="-",0,IF(G69&lt;0,-1,IF(G69&gt;0,1,0)))) / 30 &lt; -0.1, "BEARISH", "NEUTRO")))</f>
        <v>BULLISH</v>
      </c>
      <c r="F48" s="332"/>
      <c r="G48" s="332"/>
      <c r="H48" s="332" t="str">
        <f>IF(AND(J49="-",J50="-",J51="-",J52="-",J53="-",J54="-",J55="-",J56="-",J57="-",J58="-",J59="-",J60="-",J61="-",J62="-",J63="-",J64="-",J65="-",J66="-",J67="-",J68="-",J69="-"),"",
IF(SUM(IF(J49="-",0,IF(J49&lt;0,-2,IF(J49&gt;0,2,0))),
IF(J50="-",0,IF(J50&lt;0,-2,IF(J50&gt;0,2,0))),
IF(J51="-",0,IF(J51&lt;0,-2,IF(J51&gt;0,2,0))),
IF(J52="-",0,IF(J52&lt;0,-2,IF(J52&gt;0,2,0))),
IF(J53="-",0,IF(J53&lt;0,-2,IF(J53&gt;0,2,0))),
IF(J54="-",0,IF(J54&lt;0,-2,IF(J54&gt;0,2,0))),
IF(J55="-",0,IF(J55&lt;0,-2,IF(J55&gt;0,2,0))),
IF(J56="-",0,IF(J56&lt;0,-2,IF(J56&gt;0,2,0))),
IF(J57="-",0,IF(J57&lt;0,-2,IF(J57&gt;0,2,0))),
IF(J58="-",0,IF(J58&lt;0,-1,IF(J58&gt;0,1,0))),
IF(J59="-",0,IF(J59&lt;0,-1,IF(J59&gt;0,1,0))),
IF(J60="-",0,IF(J60&lt;0,-1,IF(J60&gt;0,1,0))),
IF(J61="-",0,IF(J61&lt;0,-1,IF(J61&gt;0,1,0))),
IF(J62="-",0,IF(J62&lt;0,-1,IF(J62&gt;0,1,0))),
IF(J63="-",0,IF(J63&lt;0,-1,IF(J63&gt;0,1,0))),
IF(J64="-",0,IF(J64&lt;0,-1,IF(J64&gt;0,1,0))),
IF(J65="-",0,IF(J65&lt;0,-1,IF(J65&gt;0,1,0))),
IF(J66="-",0,IF(J66&lt;0,-1,IF(J66&gt;0,1,0))),
IF(J67="-",0,IF(J67&lt;0,-1,IF(J67&gt;0,1,0))),
IF(J68="-",0,IF(J68&lt;0,-1,IF(J68&gt;0,1,0))),
IF(J69="-",0,IF(J69&lt;0,-1,IF(J69&gt;0,1,0)))) / 30 &gt; 0.1, "BULLISH",
IF(SUM(IF(J49="-",0,IF(J49&lt;0,-2,IF(J49&gt;0,2,0))),
IF(J50="-",0,IF(J50&lt;0,-2,IF(J50&gt;0,2,0))),
IF(J51="-",0,IF(J51&lt;0,-2,IF(J51&gt;0,2,0))),
IF(J52="-",0,IF(J52&lt;0,-2,IF(J52&gt;0,2,0))),
IF(J53="-",0,IF(J53&lt;0,-2,IF(J53&gt;0,2,0))),
IF(J54="-",0,IF(J54&lt;0,-2,IF(J54&gt;0,2,0))),
IF(J55="-",0,IF(J55&lt;0,-2,IF(J55&gt;0,2,0))),
IF(J56="-",0,IF(J56&lt;0,-2,IF(J56&gt;0,2,0))),
IF(J57="-",0,IF(J57&lt;0,-2,IF(J57&gt;0,2,0))),
IF(J58="-",0,IF(J58&lt;0,-1,IF(J58&gt;0,1,0))),
IF(J59="-",0,IF(J59&lt;0,-1,IF(J59&gt;0,1,0))),
IF(J60="-",0,IF(J60&lt;0,-1,IF(J60&gt;0,1,0))),
IF(J61="-",0,IF(J61&lt;0,-1,IF(J61&gt;0,1,0))),
IF(J62="-",0,IF(J62&lt;0,-1,IF(J62&gt;0,1,0))),
IF(J63="-",0,IF(J63&lt;0,-1,IF(J63&gt;0,1,0))),
IF(J64="-",0,IF(J64&lt;0,-1,IF(J64&gt;0,1,0))),
IF(J65="-",0,IF(J65&lt;0,-1,IF(J65&gt;0,1,0))),
IF(J66="-",0,IF(J66&lt;0,-1,IF(J66&gt;0,1,0))),
IF(J67="-",0,IF(J67&lt;0,-1,IF(J67&gt;0,1,0))),
IF(J68="-",0,IF(J68&lt;0,-1,IF(J68&gt;0,1,0))),
IF(J69="-",0,IF(J69&lt;0,-1,IF(J69&gt;0,1,0)))) / 30 &lt; -0.1, "BEARISH", "NEUTRO")))</f>
        <v>NEUTRO</v>
      </c>
      <c r="I48" s="332"/>
      <c r="J48" s="332"/>
      <c r="K48" s="332" t="str">
        <f>IF(AND(M49="-",M50="-",M51="-",M52="-",M53="-",M54="-",M55="-",M56="-",M57="-",M58="-",M59="-",M60="-",M61="-",M62="-",M63="-",M64="-",M65="-",M66="-",M67="-",M68="-",M69="-"),"",
IF(SUM(IF(M49="-",0,IF(M49&lt;0,-2,IF(M49&gt;0,2,0))),
IF(M50="-",0,IF(M50&lt;0,-2,IF(M50&gt;0,2,0))),
IF(M51="-",0,IF(M51&lt;0,-2,IF(M51&gt;0,2,0))),
IF(M52="-",0,IF(M52&lt;0,-2,IF(M52&gt;0,2,0))),
IF(M53="-",0,IF(M53&lt;0,-2,IF(M53&gt;0,2,0))),
IF(M54="-",0,IF(M54&lt;0,-2,IF(M54&gt;0,2,0))),
IF(M55="-",0,IF(M55&lt;0,-2,IF(M55&gt;0,2,0))),
IF(M56="-",0,IF(M56&lt;0,-2,IF(M56&gt;0,2,0))),
IF(M57="-",0,IF(M57&lt;0,-2,IF(M57&gt;0,2,0))),
IF(M58="-",0,IF(M58&lt;0,-1,IF(M58&gt;0,1,0))),
IF(M59="-",0,IF(M59&lt;0,-1,IF(M59&gt;0,1,0))),
IF(M60="-",0,IF(M60&lt;0,-1,IF(M60&gt;0,1,0))),
IF(M61="-",0,IF(M61&lt;0,-1,IF(M61&gt;0,1,0))),
IF(M62="-",0,IF(M62&lt;0,-1,IF(M62&gt;0,1,0))),
IF(M63="-",0,IF(M63&lt;0,-1,IF(M63&gt;0,1,0))),
IF(M64="-",0,IF(M64&lt;0,-1,IF(M64&gt;0,1,0))),
IF(M65="-",0,IF(M65&lt;0,-1,IF(M65&gt;0,1,0))),
IF(M66="-",0,IF(M66&lt;0,-1,IF(M66&gt;0,1,0))),
IF(M67="-",0,IF(M67&lt;0,-1,IF(M67&gt;0,1,0))),
IF(M68="-",0,IF(M68&lt;0,-1,IF(M68&gt;0,1,0))),
IF(M69="-",0,IF(M69&lt;0,-1,IF(M69&gt;0,1,0)))) / 30 &gt; 0.1, "BULLISH",
IF(SUM(IF(M49="-",0,IF(M49&lt;0,-2,IF(M49&gt;0,2,0))),
IF(M50="-",0,IF(M50&lt;0,-2,IF(M50&gt;0,2,0))),
IF(M51="-",0,IF(M51&lt;0,-2,IF(M51&gt;0,2,0))),
IF(M52="-",0,IF(M52&lt;0,-2,IF(M52&gt;0,2,0))),
IF(M53="-",0,IF(M53&lt;0,-2,IF(M53&gt;0,2,0))),
IF(M54="-",0,IF(M54&lt;0,-2,IF(M54&gt;0,2,0))),
IF(M55="-",0,IF(M55&lt;0,-2,IF(M55&gt;0,2,0))),
IF(M56="-",0,IF(M56&lt;0,-2,IF(M56&gt;0,2,0))),
IF(M57="-",0,IF(M57&lt;0,-2,IF(M57&gt;0,2,0))),
IF(M58="-",0,IF(M58&lt;0,-1,IF(M58&gt;0,1,0))),
IF(M59="-",0,IF(M59&lt;0,-1,IF(M59&gt;0,1,0))),
IF(M60="-",0,IF(M60&lt;0,-1,IF(M60&gt;0,1,0))),
IF(M61="-",0,IF(M61&lt;0,-1,IF(M61&gt;0,1,0))),
IF(M62="-",0,IF(M62&lt;0,-1,IF(M62&gt;0,1,0))),
IF(M63="-",0,IF(M63&lt;0,-1,IF(M63&gt;0,1,0))),
IF(M64="-",0,IF(M64&lt;0,-1,IF(M64&gt;0,1,0))),
IF(M65="-",0,IF(M65&lt;0,-1,IF(M65&gt;0,1,0))),
IF(M66="-",0,IF(M66&lt;0,-1,IF(M66&gt;0,1,0))),
IF(M67="-",0,IF(M67&lt;0,-1,IF(M67&gt;0,1,0))),
IF(M68="-",0,IF(M68&lt;0,-1,IF(M68&gt;0,1,0))),
IF(M69="-",0,IF(M69&lt;0,-1,IF(M69&gt;0,1,0)))) / 30 &lt; -0.1, "BEARISH", "NEUTRO")))</f>
        <v/>
      </c>
      <c r="L48" s="332"/>
      <c r="M48" s="332"/>
      <c r="N48" s="332" t="str">
        <f>IF(AND(P49="-",P50="-",P51="-",P52="-",P53="-",P54="-",P55="-",P56="-",P57="-",P58="-",P59="-",P60="-",P61="-",P62="-",P63="-",P64="-",P65="-",P66="-",P67="-",P68="-",P69="-"),"",
IF(SUM(IF(P49="-",0,IF(P49&lt;0,-2,IF(P49&gt;0,2,0))),
IF(P50="-",0,IF(P50&lt;0,-2,IF(P50&gt;0,2,0))),
IF(P51="-",0,IF(P51&lt;0,-2,IF(P51&gt;0,2,0))),
IF(P52="-",0,IF(P52&lt;0,-2,IF(P52&gt;0,2,0))),
IF(P53="-",0,IF(P53&lt;0,-2,IF(P53&gt;0,2,0))),
IF(P54="-",0,IF(P54&lt;0,-2,IF(P54&gt;0,2,0))),
IF(P55="-",0,IF(P55&lt;0,-2,IF(P55&gt;0,2,0))),
IF(P56="-",0,IF(P56&lt;0,-2,IF(P56&gt;0,2,0))),
IF(P57="-",0,IF(P57&lt;0,-2,IF(P57&gt;0,2,0))),
IF(P58="-",0,IF(P58&lt;0,-1,IF(P58&gt;0,1,0))),
IF(P59="-",0,IF(P59&lt;0,-1,IF(P59&gt;0,1,0))),
IF(P60="-",0,IF(P60&lt;0,-1,IF(P60&gt;0,1,0))),
IF(P61="-",0,IF(P61&lt;0,-1,IF(P61&gt;0,1,0))),
IF(P62="-",0,IF(P62&lt;0,-1,IF(P62&gt;0,1,0))),
IF(P63="-",0,IF(P63&lt;0,-1,IF(P63&gt;0,1,0))),
IF(P64="-",0,IF(P64&lt;0,-1,IF(P64&gt;0,1,0))),
IF(P65="-",0,IF(P65&lt;0,-1,IF(P65&gt;0,1,0))),
IF(P66="-",0,IF(P66&lt;0,-1,IF(P66&gt;0,1,0))),
IF(P67="-",0,IF(P67&lt;0,-1,IF(P67&gt;0,1,0))),
IF(P68="-",0,IF(P68&lt;0,-1,IF(P68&gt;0,1,0))),
IF(P69="-",0,IF(P69&lt;0,-1,IF(P69&gt;0,1,0)))) / 30 &gt; 0.1, "BULLISH",
IF(SUM(IF(P49="-",0,IF(P49&lt;0,-2,IF(P49&gt;0,2,0))),
IF(P50="-",0,IF(P50&lt;0,-2,IF(P50&gt;0,2,0))),
IF(P51="-",0,IF(P51&lt;0,-2,IF(P51&gt;0,2,0))),
IF(P52="-",0,IF(P52&lt;0,-2,IF(P52&gt;0,2,0))),
IF(P53="-",0,IF(P53&lt;0,-2,IF(P53&gt;0,2,0))),
IF(P54="-",0,IF(P54&lt;0,-2,IF(P54&gt;0,2,0))),
IF(P55="-",0,IF(P55&lt;0,-2,IF(P55&gt;0,2,0))),
IF(P56="-",0,IF(P56&lt;0,-2,IF(P56&gt;0,2,0))),
IF(P57="-",0,IF(P57&lt;0,-2,IF(P57&gt;0,2,0))),
IF(P58="-",0,IF(P58&lt;0,-1,IF(P58&gt;0,1,0))),
IF(P59="-",0,IF(P59&lt;0,-1,IF(P59&gt;0,1,0))),
IF(P60="-",0,IF(P60&lt;0,-1,IF(P60&gt;0,1,0))),
IF(P61="-",0,IF(P61&lt;0,-1,IF(P61&gt;0,1,0))),
IF(P62="-",0,IF(P62&lt;0,-1,IF(P62&gt;0,1,0))),
IF(P63="-",0,IF(P63&lt;0,-1,IF(P63&gt;0,1,0))),
IF(P64="-",0,IF(P64&lt;0,-1,IF(P64&gt;0,1,0))),
IF(P65="-",0,IF(P65&lt;0,-1,IF(P65&gt;0,1,0))),
IF(P66="-",0,IF(P66&lt;0,-1,IF(P66&gt;0,1,0))),
IF(P67="-",0,IF(P67&lt;0,-1,IF(P67&gt;0,1,0))),
IF(P68="-",0,IF(P68&lt;0,-1,IF(P68&gt;0,1,0))),
IF(P69="-",0,IF(P69&lt;0,-1,IF(P69&gt;0,1,0)))) / 30 &lt; -0.1, "BEARISH", "NEUTRO")))</f>
        <v>NEUTRO</v>
      </c>
      <c r="O48" s="332"/>
      <c r="P48" s="332"/>
      <c r="Q48" s="332" t="str">
        <f>IF(AND(S49="-",S50="-",S51="-",S52="-",S53="-",S54="-",S55="-",S56="-",S57="-",S58="-",S59="-",S60="-",S61="-",S62="-",S63="-",S64="-",S65="-",S66="-",S67="-",S68="-",S69="-"),"",
IF(SUM(IF(S49="-",0,IF(S49&lt;0,-2,IF(S49&gt;0,2,0))),
IF(S50="-",0,IF(S50&lt;0,-2,IF(S50&gt;0,2,0))),
IF(S51="-",0,IF(S51&lt;0,-2,IF(S51&gt;0,2,0))),
IF(S52="-",0,IF(S52&lt;0,-2,IF(S52&gt;0,2,0))),
IF(S53="-",0,IF(S53&lt;0,-2,IF(S53&gt;0,2,0))),
IF(S54="-",0,IF(S54&lt;0,-2,IF(S54&gt;0,2,0))),
IF(S55="-",0,IF(S55&lt;0,-2,IF(S55&gt;0,2,0))),
IF(S56="-",0,IF(S56&lt;0,-2,IF(S56&gt;0,2,0))),
IF(S57="-",0,IF(S57&lt;0,-2,IF(S57&gt;0,2,0))),
IF(S58="-",0,IF(S58&lt;0,-1,IF(S58&gt;0,1,0))),
IF(S59="-",0,IF(S59&lt;0,-1,IF(S59&gt;0,1,0))),
IF(S60="-",0,IF(S60&lt;0,-1,IF(S60&gt;0,1,0))),
IF(S61="-",0,IF(S61&lt;0,-1,IF(S61&gt;0,1,0))),
IF(S62="-",0,IF(S62&lt;0,-1,IF(S62&gt;0,1,0))),
IF(S63="-",0,IF(S63&lt;0,-1,IF(S63&gt;0,1,0))),
IF(S64="-",0,IF(S64&lt;0,-1,IF(S64&gt;0,1,0))),
IF(S65="-",0,IF(S65&lt;0,-1,IF(S65&gt;0,1,0))),
IF(S66="-",0,IF(S66&lt;0,-1,IF(S66&gt;0,1,0))),
IF(S67="-",0,IF(S67&lt;0,-1,IF(S67&gt;0,1,0))),
IF(S68="-",0,IF(S68&lt;0,-1,IF(S68&gt;0,1,0))),
IF(S69="-",0,IF(S69&lt;0,-1,IF(S69&gt;0,1,0)))) / 30 &gt; 0.1, "BULLISH",
IF(SUM(IF(S49="-",0,IF(S49&lt;0,-2,IF(S49&gt;0,2,0))),
IF(S50="-",0,IF(S50&lt;0,-2,IF(S50&gt;0,2,0))),
IF(S51="-",0,IF(S51&lt;0,-2,IF(S51&gt;0,2,0))),
IF(S52="-",0,IF(S52&lt;0,-2,IF(S52&gt;0,2,0))),
IF(S53="-",0,IF(S53&lt;0,-2,IF(S53&gt;0,2,0))),
IF(S54="-",0,IF(S54&lt;0,-2,IF(S54&gt;0,2,0))),
IF(S55="-",0,IF(S55&lt;0,-2,IF(S55&gt;0,2,0))),
IF(S56="-",0,IF(S56&lt;0,-2,IF(S56&gt;0,2,0))),
IF(S57="-",0,IF(S57&lt;0,-2,IF(S57&gt;0,2,0))),
IF(S58="-",0,IF(S58&lt;0,-1,IF(S58&gt;0,1,0))),
IF(S59="-",0,IF(S59&lt;0,-1,IF(S59&gt;0,1,0))),
IF(S60="-",0,IF(S60&lt;0,-1,IF(S60&gt;0,1,0))),
IF(S61="-",0,IF(S61&lt;0,-1,IF(S61&gt;0,1,0))),
IF(S62="-",0,IF(S62&lt;0,-1,IF(S62&gt;0,1,0))),
IF(S63="-",0,IF(S63&lt;0,-1,IF(S63&gt;0,1,0))),
IF(S64="-",0,IF(S64&lt;0,-1,IF(S64&gt;0,1,0))),
IF(S65="-",0,IF(S65&lt;0,-1,IF(S65&gt;0,1,0))),
IF(S66="-",0,IF(S66&lt;0,-1,IF(S66&gt;0,1,0))),
IF(S67="-",0,IF(S67&lt;0,-1,IF(S67&gt;0,1,0))),
IF(S68="-",0,IF(S68&lt;0,-1,IF(S68&gt;0,1,0))),
IF(S69="-",0,IF(S69&lt;0,-1,IF(S69&gt;0,1,0)))) / 30 &lt; -0.1, "BEARISH", "NEUTRO")))</f>
        <v>NEUTRO</v>
      </c>
      <c r="R48" s="332"/>
      <c r="S48" s="332"/>
      <c r="T48" s="332" t="str">
        <f>IF(AND(V49="-",V50="-",V51="-",V52="-",V53="-",V54="-",V55="-",V56="-",V57="-",V58="-",V59="-",V60="-",V61="-",V62="-",V63="-",V64="-",V65="-",V66="-",V67="-",V68="-",V69="-"),"",
IF(SUM(IF(V49="-",0,IF(V49&lt;0,-2,IF(V49&gt;0,2,0))),
IF(V50="-",0,IF(V50&lt;0,-2,IF(V50&gt;0,2,0))),
IF(V51="-",0,IF(V51&lt;0,-2,IF(V51&gt;0,2,0))),
IF(V52="-",0,IF(V52&lt;0,-2,IF(V52&gt;0,2,0))),
IF(V53="-",0,IF(V53&lt;0,-2,IF(V53&gt;0,2,0))),
IF(V54="-",0,IF(V54&lt;0,-2,IF(V54&gt;0,2,0))),
IF(V55="-",0,IF(V55&lt;0,-2,IF(V55&gt;0,2,0))),
IF(V56="-",0,IF(V56&lt;0,-2,IF(V56&gt;0,2,0))),
IF(V57="-",0,IF(V57&lt;0,-2,IF(V57&gt;0,2,0))),
IF(V58="-",0,IF(V58&lt;0,-1,IF(V58&gt;0,1,0))),
IF(V59="-",0,IF(V59&lt;0,-1,IF(V59&gt;0,1,0))),
IF(V60="-",0,IF(V60&lt;0,-1,IF(V60&gt;0,1,0))),
IF(V61="-",0,IF(V61&lt;0,-1,IF(V61&gt;0,1,0))),
IF(V62="-",0,IF(V62&lt;0,-1,IF(V62&gt;0,1,0))),
IF(V63="-",0,IF(V63&lt;0,-1,IF(V63&gt;0,1,0))),
IF(V64="-",0,IF(V64&lt;0,-1,IF(V64&gt;0,1,0))),
IF(V65="-",0,IF(V65&lt;0,-1,IF(V65&gt;0,1,0))),
IF(V66="-",0,IF(V66&lt;0,-1,IF(V66&gt;0,1,0))),
IF(V67="-",0,IF(V67&lt;0,-1,IF(V67&gt;0,1,0))),
IF(V68="-",0,IF(V68&lt;0,-1,IF(V68&gt;0,1,0))),
IF(V69="-",0,IF(V69&lt;0,-1,IF(V69&gt;0,1,0)))) / 30 &gt; 0.1, "BULLISH",
IF(SUM(IF(V49="-",0,IF(V49&lt;0,-2,IF(V49&gt;0,2,0))),
IF(V50="-",0,IF(V50&lt;0,-2,IF(V50&gt;0,2,0))),
IF(V51="-",0,IF(V51&lt;0,-2,IF(V51&gt;0,2,0))),
IF(V52="-",0,IF(V52&lt;0,-2,IF(V52&gt;0,2,0))),
IF(V53="-",0,IF(V53&lt;0,-2,IF(V53&gt;0,2,0))),
IF(V54="-",0,IF(V54&lt;0,-2,IF(V54&gt;0,2,0))),
IF(V55="-",0,IF(V55&lt;0,-2,IF(V55&gt;0,2,0))),
IF(V56="-",0,IF(V56&lt;0,-2,IF(V56&gt;0,2,0))),
IF(V57="-",0,IF(V57&lt;0,-2,IF(V57&gt;0,2,0))),
IF(V58="-",0,IF(V58&lt;0,-1,IF(V58&gt;0,1,0))),
IF(V59="-",0,IF(V59&lt;0,-1,IF(V59&gt;0,1,0))),
IF(V60="-",0,IF(V60&lt;0,-1,IF(V60&gt;0,1,0))),
IF(V61="-",0,IF(V61&lt;0,-1,IF(V61&gt;0,1,0))),
IF(V62="-",0,IF(V62&lt;0,-1,IF(V62&gt;0,1,0))),
IF(V63="-",0,IF(V63&lt;0,-1,IF(V63&gt;0,1,0))),
IF(V64="-",0,IF(V64&lt;0,-1,IF(V64&gt;0,1,0))),
IF(V65="-",0,IF(V65&lt;0,-1,IF(V65&gt;0,1,0))),
IF(V66="-",0,IF(V66&lt;0,-1,IF(V66&gt;0,1,0))),
IF(V67="-",0,IF(V67&lt;0,-1,IF(V67&gt;0,1,0))),
IF(V68="-",0,IF(V68&lt;0,-1,IF(V68&gt;0,1,0))),
IF(V69="-",0,IF(V69&lt;0,-1,IF(V69&gt;0,1,0)))) / 30 &lt; -0.1, "BEARISH", "NEUTRO")))</f>
        <v>NEUTRO</v>
      </c>
      <c r="U48" s="332"/>
      <c r="V48" s="332"/>
      <c r="W48" s="332" t="str">
        <f>IF(AND(Y49="-",Y50="-",Y51="-",Y52="-",Y53="-",Y54="-",Y55="-",Y56="-",Y57="-",Y58="-",Y59="-",Y60="-",Y61="-",Y62="-",Y63="-",Y64="-",Y65="-",Y66="-",Y67="-",Y68="-",Y69="-"),"",
IF(SUM(IF(Y49="-",0,IF(Y49&lt;0,-2,IF(Y49&gt;0,2,0))),
IF(Y50="-",0,IF(Y50&lt;0,-2,IF(Y50&gt;0,2,0))),
IF(Y51="-",0,IF(Y51&lt;0,-2,IF(Y51&gt;0,2,0))),
IF(Y52="-",0,IF(Y52&lt;0,-2,IF(Y52&gt;0,2,0))),
IF(Y53="-",0,IF(Y53&lt;0,-2,IF(Y53&gt;0,2,0))),
IF(Y54="-",0,IF(Y54&lt;0,-2,IF(Y54&gt;0,2,0))),
IF(Y55="-",0,IF(Y55&lt;0,-2,IF(Y55&gt;0,2,0))),
IF(Y56="-",0,IF(Y56&lt;0,-2,IF(Y56&gt;0,2,0))),
IF(Y57="-",0,IF(Y57&lt;0,-2,IF(Y57&gt;0,2,0))),
IF(Y58="-",0,IF(Y58&lt;0,-1,IF(Y58&gt;0,1,0))),
IF(Y59="-",0,IF(Y59&lt;0,-1,IF(Y59&gt;0,1,0))),
IF(Y60="-",0,IF(Y60&lt;0,-1,IF(Y60&gt;0,1,0))),
IF(Y61="-",0,IF(Y61&lt;0,-1,IF(Y61&gt;0,1,0))),
IF(Y62="-",0,IF(Y62&lt;0,-1,IF(Y62&gt;0,1,0))),
IF(Y63="-",0,IF(Y63&lt;0,-1,IF(Y63&gt;0,1,0))),
IF(Y64="-",0,IF(Y64&lt;0,-1,IF(Y64&gt;0,1,0))),
IF(Y65="-",0,IF(Y65&lt;0,-1,IF(Y65&gt;0,1,0))),
IF(Y66="-",0,IF(Y66&lt;0,-1,IF(Y66&gt;0,1,0))),
IF(Y67="-",0,IF(Y67&lt;0,-1,IF(Y67&gt;0,1,0))),
IF(Y68="-",0,IF(Y68&lt;0,-1,IF(Y68&gt;0,1,0))),
IF(Y69="-",0,IF(Y69&lt;0,-1,IF(Y69&gt;0,1,0)))) / 30 &gt; 0.1, "BULLISH",
IF(SUM(IF(Y49="-",0,IF(Y49&lt;0,-2,IF(Y49&gt;0,2,0))),
IF(Y50="-",0,IF(Y50&lt;0,-2,IF(Y50&gt;0,2,0))),
IF(Y51="-",0,IF(Y51&lt;0,-2,IF(Y51&gt;0,2,0))),
IF(Y52="-",0,IF(Y52&lt;0,-2,IF(Y52&gt;0,2,0))),
IF(Y53="-",0,IF(Y53&lt;0,-2,IF(Y53&gt;0,2,0))),
IF(Y54="-",0,IF(Y54&lt;0,-2,IF(Y54&gt;0,2,0))),
IF(Y55="-",0,IF(Y55&lt;0,-2,IF(Y55&gt;0,2,0))),
IF(Y56="-",0,IF(Y56&lt;0,-2,IF(Y56&gt;0,2,0))),
IF(Y57="-",0,IF(Y57&lt;0,-2,IF(Y57&gt;0,2,0))),
IF(Y58="-",0,IF(Y58&lt;0,-1,IF(Y58&gt;0,1,0))),
IF(Y59="-",0,IF(Y59&lt;0,-1,IF(Y59&gt;0,1,0))),
IF(Y60="-",0,IF(Y60&lt;0,-1,IF(Y60&gt;0,1,0))),
IF(Y61="-",0,IF(Y61&lt;0,-1,IF(Y61&gt;0,1,0))),
IF(Y62="-",0,IF(Y62&lt;0,-1,IF(Y62&gt;0,1,0))),
IF(Y63="-",0,IF(Y63&lt;0,-1,IF(Y63&gt;0,1,0))),
IF(Y64="-",0,IF(Y64&lt;0,-1,IF(Y64&gt;0,1,0))),
IF(Y65="-",0,IF(Y65&lt;0,-1,IF(Y65&gt;0,1,0))),
IF(Y66="-",0,IF(Y66&lt;0,-1,IF(Y66&gt;0,1,0))),
IF(Y67="-",0,IF(Y67&lt;0,-1,IF(Y67&gt;0,1,0))),
IF(Y68="-",0,IF(Y68&lt;0,-1,IF(Y68&gt;0,1,0))),
IF(Y69="-",0,IF(Y69&lt;0,-1,IF(Y69&gt;0,1,0)))) / 30 &lt; -0.1, "BEARISH", "NEUTRO")))</f>
        <v>NEUTRO</v>
      </c>
      <c r="X48" s="332"/>
      <c r="Y48" s="332"/>
      <c r="Z48" s="320" t="str">
        <f>IF(AND(AB49="-",AB50="-",AB51="-",AB52="-",AB53="-",AB54="-",AB55="-",AB56="-",AB57="-",AB58="-",AB59="-",AB60="-",AB61="-",AB62="-",AB63="-",AB64="-",AB65="-",AB66="-",AB67="-",AB68="-",AB69="-"),"",
IF(SUM(IF(AB49="-",0,IF(AB49&lt;0,-2,IF(AB49&gt;0,2,0))),
IF(AB50="-",0,IF(AB50&lt;0,-2,IF(AB50&gt;0,2,0))),
IF(AB51="-",0,IF(AB51&lt;0,-2,IF(AB51&gt;0,2,0))),
IF(AB52="-",0,IF(AB52&lt;0,-2,IF(AB52&gt;0,2,0))),
IF(AB53="-",0,IF(AB53&lt;0,-2,IF(AB53&gt;0,2,0))),
IF(AB54="-",0,IF(AB54&lt;0,-2,IF(AB54&gt;0,2,0))),
IF(AB55="-",0,IF(AB55&lt;0,-2,IF(AB55&gt;0,2,0))),
IF(AB56="-",0,IF(AB56&lt;0,-2,IF(AB56&gt;0,2,0))),
IF(AB57="-",0,IF(AB57&lt;0,-2,IF(AB57&gt;0,2,0))),
IF(AB58="-",0,IF(AB58&lt;0,-1,IF(AB58&gt;0,1,0))),
IF(AB59="-",0,IF(AB59&lt;0,-1,IF(AB59&gt;0,1,0))),
IF(AB60="-",0,IF(AB60&lt;0,-1,IF(AB60&gt;0,1,0))),
IF(AB61="-",0,IF(AB61&lt;0,-1,IF(AB61&gt;0,1,0))),
IF(AB62="-",0,IF(AB62&lt;0,-1,IF(AB62&gt;0,1,0))),
IF(AB63="-",0,IF(AB63&lt;0,-1,IF(AB63&gt;0,1,0))),
IF(AB64="-",0,IF(AB64&lt;0,-1,IF(AB64&gt;0,1,0))),
IF(AB65="-",0,IF(AB65&lt;0,-1,IF(AB65&gt;0,1,0))),
IF(AB66="-",0,IF(AB66&lt;0,-1,IF(AB66&gt;0,1,0))),
IF(AB67="-",0,IF(AB67&lt;0,-1,IF(AB67&gt;0,1,0))),
IF(AB68="-",0,IF(AB68&lt;0,-1,IF(AB68&gt;0,1,0))),
IF(AB69="-",0,IF(AB69&lt;0,-1,IF(AB69&gt;0,1,0)))) / 30 &gt; 0.1, "BULLISH",
IF(SUM(IF(AB49="-",0,IF(AB49&lt;0,-2,IF(AB49&gt;0,2,0))),
IF(AB50="-",0,IF(AB50&lt;0,-2,IF(AB50&gt;0,2,0))),
IF(AB51="-",0,IF(AB51&lt;0,-2,IF(AB51&gt;0,2,0))),
IF(AB52="-",0,IF(AB52&lt;0,-2,IF(AB52&gt;0,2,0))),
IF(AB53="-",0,IF(AB53&lt;0,-2,IF(AB53&gt;0,2,0))),
IF(AB54="-",0,IF(AB54&lt;0,-2,IF(AB54&gt;0,2,0))),
IF(AB55="-",0,IF(AB55&lt;0,-2,IF(AB55&gt;0,2,0))),
IF(AB56="-",0,IF(AB56&lt;0,-2,IF(AB56&gt;0,2,0))),
IF(AB57="-",0,IF(AB57&lt;0,-2,IF(AB57&gt;0,2,0))),
IF(AB58="-",0,IF(AB58&lt;0,-1,IF(AB58&gt;0,1,0))),
IF(AB59="-",0,IF(AB59&lt;0,-1,IF(AB59&gt;0,1,0))),
IF(AB60="-",0,IF(AB60&lt;0,-1,IF(AB60&gt;0,1,0))),
IF(AB61="-",0,IF(AB61&lt;0,-1,IF(AB61&gt;0,1,0))),
IF(AB62="-",0,IF(AB62&lt;0,-1,IF(AB62&gt;0,1,0))),
IF(AB63="-",0,IF(AB63&lt;0,-1,IF(AB63&gt;0,1,0))),
IF(AB64="-",0,IF(AB64&lt;0,-1,IF(AB64&gt;0,1,0))),
IF(AB65="-",0,IF(AB65&lt;0,-1,IF(AB65&gt;0,1,0))),
IF(AB66="-",0,IF(AB66&lt;0,-1,IF(AB66&gt;0,1,0))),
IF(AB67="-",0,IF(AB67&lt;0,-1,IF(AB67&gt;0,1,0))),
IF(AB68="-",0,IF(AB68&lt;0,-1,IF(AB68&gt;0,1,0))),
IF(AB69="-",0,IF(AB69&lt;0,-1,IF(AB69&gt;0,1,0)))) / 30 &lt; -0.1, "BEARISH", "NEUTRO")))</f>
        <v>BEARISH</v>
      </c>
      <c r="AA48" s="321"/>
      <c r="AB48" s="319"/>
      <c r="AC48" s="320" t="str">
        <f>IF(AND(AE49="-",AE50="-",AE51="-",AE52="-",AE53="-",AE54="-",AE55="-",AE56="-",AE57="-",AE58="-",AE59="-",AE60="-",AE61="-",AE62="-",AE63="-",AE64="-",AE65="-",AE66="-",AE67="-",AE68="-",AE69="-"),"",
IF(SUM(IF(AE49="-",0,IF(AE49&lt;0,-2,IF(AE49&gt;0,2,0))),
IF(AE50="-",0,IF(AE50&lt;0,-2,IF(AE50&gt;0,2,0))),
IF(AE51="-",0,IF(AE51&lt;0,-2,IF(AE51&gt;0,2,0))),
IF(AE52="-",0,IF(AE52&lt;0,-2,IF(AE52&gt;0,2,0))),
IF(AE53="-",0,IF(AE53&lt;0,-2,IF(AE53&gt;0,2,0))),
IF(AE54="-",0,IF(AE54&lt;0,-2,IF(AE54&gt;0,2,0))),
IF(AE55="-",0,IF(AE55&lt;0,-2,IF(AE55&gt;0,2,0))),
IF(AE56="-",0,IF(AE56&lt;0,-2,IF(AE56&gt;0,2,0))),
IF(AE57="-",0,IF(AE57&lt;0,-2,IF(AE57&gt;0,2,0))),
IF(AE58="-",0,IF(AE58&lt;0,-1,IF(AE58&gt;0,1,0))),
IF(AE59="-",0,IF(AE59&lt;0,-1,IF(AE59&gt;0,1,0))),
IF(AE60="-",0,IF(AE60&lt;0,-1,IF(AE60&gt;0,1,0))),
IF(AE61="-",0,IF(AE61&lt;0,-1,IF(AE61&gt;0,1,0))),
IF(AE62="-",0,IF(AE62&lt;0,-1,IF(AE62&gt;0,1,0))),
IF(AE63="-",0,IF(AE63&lt;0,-1,IF(AE63&gt;0,1,0))),
IF(AE64="-",0,IF(AE64&lt;0,-1,IF(AE64&gt;0,1,0))),
IF(AE65="-",0,IF(AE65&lt;0,-1,IF(AE65&gt;0,1,0))),
IF(AE66="-",0,IF(AE66&lt;0,-1,IF(AE66&gt;0,1,0))),
IF(AE67="-",0,IF(AE67&lt;0,-1,IF(AE67&gt;0,1,0))),
IF(AE68="-",0,IF(AE68&lt;0,-1,IF(AE68&gt;0,1,0))),
IF(AE69="-",0,IF(AE69&lt;0,-1,IF(AE69&gt;0,1,0)))) / 30 &gt; 0.1, "BULLISH",
IF(SUM(IF(AE49="-",0,IF(AE49&lt;0,-2,IF(AE49&gt;0,2,0))),
IF(AE50="-",0,IF(AE50&lt;0,-2,IF(AE50&gt;0,2,0))),
IF(AE51="-",0,IF(AE51&lt;0,-2,IF(AE51&gt;0,2,0))),
IF(AE52="-",0,IF(AE52&lt;0,-2,IF(AE52&gt;0,2,0))),
IF(AE53="-",0,IF(AE53&lt;0,-2,IF(AE53&gt;0,2,0))),
IF(AE54="-",0,IF(AE54&lt;0,-2,IF(AE54&gt;0,2,0))),
IF(AE55="-",0,IF(AE55&lt;0,-2,IF(AE55&gt;0,2,0))),
IF(AE56="-",0,IF(AE56&lt;0,-2,IF(AE56&gt;0,2,0))),
IF(AE57="-",0,IF(AE57&lt;0,-2,IF(AE57&gt;0,2,0))),
IF(AE58="-",0,IF(AE58&lt;0,-1,IF(AE58&gt;0,1,0))),
IF(AE59="-",0,IF(AE59&lt;0,-1,IF(AE59&gt;0,1,0))),
IF(AE60="-",0,IF(AE60&lt;0,-1,IF(AE60&gt;0,1,0))),
IF(AE61="-",0,IF(AE61&lt;0,-1,IF(AE61&gt;0,1,0))),
IF(AE62="-",0,IF(AE62&lt;0,-1,IF(AE62&gt;0,1,0))),
IF(AE63="-",0,IF(AE63&lt;0,-1,IF(AE63&gt;0,1,0))),
IF(AE64="-",0,IF(AE64&lt;0,-1,IF(AE64&gt;0,1,0))),
IF(AE65="-",0,IF(AE65&lt;0,-1,IF(AE65&gt;0,1,0))),
IF(AE66="-",0,IF(AE66&lt;0,-1,IF(AE66&gt;0,1,0))),
IF(AE67="-",0,IF(AE67&lt;0,-1,IF(AE67&gt;0,1,0))),
IF(AE68="-",0,IF(AE68&lt;0,-1,IF(AE68&gt;0,1,0))),
IF(AE69="-",0,IF(AE69&lt;0,-1,IF(AE69&gt;0,1,0)))) / 30 &lt; -0.1, "BEARISH", "NEUTRO")))</f>
        <v>BULLISH</v>
      </c>
      <c r="AD48" s="321"/>
      <c r="AE48" s="319"/>
      <c r="AF48" s="320" t="str">
        <f>IF(AND(AH49="-",AH50="-",AH51="-",AH52="-",AH53="-",AH54="-",AH55="-",AH56="-",AH57="-",AH58="-",AH59="-",AH60="-",AH61="-",AH62="-",AH63="-",AH64="-",AH65="-",AH66="-",AH67="-",AH68="-",AH69="-"),"",
IF(SUM(IF(AH49="-",0,IF(AH49&lt;0,-2,IF(AH49&gt;0,2,0))),
IF(AH50="-",0,IF(AH50&lt;0,-2,IF(AH50&gt;0,2,0))),
IF(AH51="-",0,IF(AH51&lt;0,-2,IF(AH51&gt;0,2,0))),
IF(AH52="-",0,IF(AH52&lt;0,-2,IF(AH52&gt;0,2,0))),
IF(AH53="-",0,IF(AH53&lt;0,-2,IF(AH53&gt;0,2,0))),
IF(AH54="-",0,IF(AH54&lt;0,-2,IF(AH54&gt;0,2,0))),
IF(AH55="-",0,IF(AH55&lt;0,-2,IF(AH55&gt;0,2,0))),
IF(AH56="-",0,IF(AH56&lt;0,-2,IF(AH56&gt;0,2,0))),
IF(AH57="-",0,IF(AH57&lt;0,-2,IF(AH57&gt;0,2,0))),
IF(AH58="-",0,IF(AH58&lt;0,-1,IF(AH58&gt;0,1,0))),
IF(AH59="-",0,IF(AH59&lt;0,-1,IF(AH59&gt;0,1,0))),
IF(AH60="-",0,IF(AH60&lt;0,-1,IF(AH60&gt;0,1,0))),
IF(AH61="-",0,IF(AH61&lt;0,-1,IF(AH61&gt;0,1,0))),
IF(AH62="-",0,IF(AH62&lt;0,-1,IF(AH62&gt;0,1,0))),
IF(AH63="-",0,IF(AH63&lt;0,-1,IF(AH63&gt;0,1,0))),
IF(AH64="-",0,IF(AH64&lt;0,-1,IF(AH64&gt;0,1,0))),
IF(AH65="-",0,IF(AH65&lt;0,-1,IF(AH65&gt;0,1,0))),
IF(AH66="-",0,IF(AH66&lt;0,-1,IF(AH66&gt;0,1,0))),
IF(AH67="-",0,IF(AH67&lt;0,-1,IF(AH67&gt;0,1,0))),
IF(AH68="-",0,IF(AH68&lt;0,-1,IF(AH68&gt;0,1,0))),
IF(AH69="-",0,IF(AH69&lt;0,-1,IF(AH69&gt;0,1,0)))) / 30 &gt; 0.1, "BULLISH",
IF(SUM(IF(AH49="-",0,IF(AH49&lt;0,-2,IF(AH49&gt;0,2,0))),
IF(AH50="-",0,IF(AH50&lt;0,-2,IF(AH50&gt;0,2,0))),
IF(AH51="-",0,IF(AH51&lt;0,-2,IF(AH51&gt;0,2,0))),
IF(AH52="-",0,IF(AH52&lt;0,-2,IF(AH52&gt;0,2,0))),
IF(AH53="-",0,IF(AH53&lt;0,-2,IF(AH53&gt;0,2,0))),
IF(AH54="-",0,IF(AH54&lt;0,-2,IF(AH54&gt;0,2,0))),
IF(AH55="-",0,IF(AH55&lt;0,-2,IF(AH55&gt;0,2,0))),
IF(AH56="-",0,IF(AH56&lt;0,-2,IF(AH56&gt;0,2,0))),
IF(AH57="-",0,IF(AH57&lt;0,-2,IF(AH57&gt;0,2,0))),
IF(AH58="-",0,IF(AH58&lt;0,-1,IF(AH58&gt;0,1,0))),
IF(AH59="-",0,IF(AH59&lt;0,-1,IF(AH59&gt;0,1,0))),
IF(AH60="-",0,IF(AH60&lt;0,-1,IF(AH60&gt;0,1,0))),
IF(AH61="-",0,IF(AH61&lt;0,-1,IF(AH61&gt;0,1,0))),
IF(AH62="-",0,IF(AH62&lt;0,-1,IF(AH62&gt;0,1,0))),
IF(AH63="-",0,IF(AH63&lt;0,-1,IF(AH63&gt;0,1,0))),
IF(AH64="-",0,IF(AH64&lt;0,-1,IF(AH64&gt;0,1,0))),
IF(AH65="-",0,IF(AH65&lt;0,-1,IF(AH65&gt;0,1,0))),
IF(AH66="-",0,IF(AH66&lt;0,-1,IF(AH66&gt;0,1,0))),
IF(AH67="-",0,IF(AH67&lt;0,-1,IF(AH67&gt;0,1,0))),
IF(AH68="-",0,IF(AH68&lt;0,-1,IF(AH68&gt;0,1,0))),
IF(AH69="-",0,IF(AH69&lt;0,-1,IF(AH69&gt;0,1,0)))) / 30 &lt; -0.1, "BEARISH", "NEUTRO")))</f>
        <v>NEUTRO</v>
      </c>
      <c r="AG48" s="321"/>
      <c r="AH48" s="319"/>
      <c r="AI48" s="320" t="str">
        <f>IF(AND(AK49="-",AK50="-",AK51="-",AK52="-",AK53="-",AK54="-",AK55="-",AK56="-",AK57="-",AK58="-",AK59="-",AK60="-",AK61="-",AK62="-",AK63="-",AK64="-",AK65="-",AK66="-",AK67="-",AK68="-",AK69="-"),"",
IF(SUM(IF(AK49="-",0,IF(AK49&lt;0,-2,IF(AK49&gt;0,2,0))),
IF(AK50="-",0,IF(AK50&lt;0,-2,IF(AK50&gt;0,2,0))),
IF(AK51="-",0,IF(AK51&lt;0,-2,IF(AK51&gt;0,2,0))),
IF(AK52="-",0,IF(AK52&lt;0,-2,IF(AK52&gt;0,2,0))),
IF(AK53="-",0,IF(AK53&lt;0,-2,IF(AK53&gt;0,2,0))),
IF(AK54="-",0,IF(AK54&lt;0,-2,IF(AK54&gt;0,2,0))),
IF(AK55="-",0,IF(AK55&lt;0,-2,IF(AK55&gt;0,2,0))),
IF(AK56="-",0,IF(AK56&lt;0,-2,IF(AK56&gt;0,2,0))),
IF(AK57="-",0,IF(AK57&lt;0,-2,IF(AK57&gt;0,2,0))),
IF(AK58="-",0,IF(AK58&lt;0,-1,IF(AK58&gt;0,1,0))),
IF(AK59="-",0,IF(AK59&lt;0,-1,IF(AK59&gt;0,1,0))),
IF(AK60="-",0,IF(AK60&lt;0,-1,IF(AK60&gt;0,1,0))),
IF(AK61="-",0,IF(AK61&lt;0,-1,IF(AK61&gt;0,1,0))),
IF(AK62="-",0,IF(AK62&lt;0,-1,IF(AK62&gt;0,1,0))),
IF(AK63="-",0,IF(AK63&lt;0,-1,IF(AK63&gt;0,1,0))),
IF(AK64="-",0,IF(AK64&lt;0,-1,IF(AK64&gt;0,1,0))),
IF(AK65="-",0,IF(AK65&lt;0,-1,IF(AK65&gt;0,1,0))),
IF(AK66="-",0,IF(AK66&lt;0,-1,IF(AK66&gt;0,1,0))),
IF(AK67="-",0,IF(AK67&lt;0,-1,IF(AK67&gt;0,1,0))),
IF(AK68="-",0,IF(AK68&lt;0,-1,IF(AK68&gt;0,1,0))),
IF(AK69="-",0,IF(AK69&lt;0,-1,IF(AK69&gt;0,1,0)))) / 30 &gt; 0.1, "BULLISH",
IF(SUM(IF(AK49="-",0,IF(AK49&lt;0,-2,IF(AK49&gt;0,2,0))),
IF(AK50="-",0,IF(AK50&lt;0,-2,IF(AK50&gt;0,2,0))),
IF(AK51="-",0,IF(AK51&lt;0,-2,IF(AK51&gt;0,2,0))),
IF(AK52="-",0,IF(AK52&lt;0,-2,IF(AK52&gt;0,2,0))),
IF(AK53="-",0,IF(AK53&lt;0,-2,IF(AK53&gt;0,2,0))),
IF(AK54="-",0,IF(AK54&lt;0,-2,IF(AK54&gt;0,2,0))),
IF(AK55="-",0,IF(AK55&lt;0,-2,IF(AK55&gt;0,2,0))),
IF(AK56="-",0,IF(AK56&lt;0,-2,IF(AK56&gt;0,2,0))),
IF(AK57="-",0,IF(AK57&lt;0,-2,IF(AK57&gt;0,2,0))),
IF(AK58="-",0,IF(AK58&lt;0,-1,IF(AK58&gt;0,1,0))),
IF(AK59="-",0,IF(AK59&lt;0,-1,IF(AK59&gt;0,1,0))),
IF(AK60="-",0,IF(AK60&lt;0,-1,IF(AK60&gt;0,1,0))),
IF(AK61="-",0,IF(AK61&lt;0,-1,IF(AK61&gt;0,1,0))),
IF(AK62="-",0,IF(AK62&lt;0,-1,IF(AK62&gt;0,1,0))),
IF(AK63="-",0,IF(AK63&lt;0,-1,IF(AK63&gt;0,1,0))),
IF(AK64="-",0,IF(AK64&lt;0,-1,IF(AK64&gt;0,1,0))),
IF(AK65="-",0,IF(AK65&lt;0,-1,IF(AK65&gt;0,1,0))),
IF(AK66="-",0,IF(AK66&lt;0,-1,IF(AK66&gt;0,1,0))),
IF(AK67="-",0,IF(AK67&lt;0,-1,IF(AK67&gt;0,1,0))),
IF(AK68="-",0,IF(AK68&lt;0,-1,IF(AK68&gt;0,1,0))),
IF(AK69="-",0,IF(AK69&lt;0,-1,IF(AK69&gt;0,1,0)))) / 30 &lt; -0.1, "BEARISH", "NEUTRO")))</f>
        <v>BULLISH</v>
      </c>
      <c r="AJ48" s="321"/>
      <c r="AK48" s="319"/>
      <c r="AL48" s="320" t="str">
        <f>IF(AND(AN49="-",AN50="-",AN51="-",AN52="-",AN53="-",AN54="-",AN55="-",AN56="-",AN57="-",AN58="-",AN59="-",AN60="-",AN61="-",AN62="-",AN63="-",AN64="-",AN65="-",AN66="-",AN67="-",AN68="-",AN69="-"),"",
IF(SUM(IF(AN49="-",0,IF(AN49&lt;0,-2,IF(AN49&gt;0,2,0))),
IF(AN50="-",0,IF(AN50&lt;0,-2,IF(AN50&gt;0,2,0))),
IF(AN51="-",0,IF(AN51&lt;0,-2,IF(AN51&gt;0,2,0))),
IF(AN52="-",0,IF(AN52&lt;0,-2,IF(AN52&gt;0,2,0))),
IF(AN53="-",0,IF(AN53&lt;0,-2,IF(AN53&gt;0,2,0))),
IF(AN54="-",0,IF(AN54&lt;0,-2,IF(AN54&gt;0,2,0))),
IF(AN55="-",0,IF(AN55&lt;0,-2,IF(AN55&gt;0,2,0))),
IF(AN56="-",0,IF(AN56&lt;0,-2,IF(AN56&gt;0,2,0))),
IF(AN57="-",0,IF(AN57&lt;0,-2,IF(AN57&gt;0,2,0))),
IF(AN58="-",0,IF(AN58&lt;0,-1,IF(AN58&gt;0,1,0))),
IF(AN59="-",0,IF(AN59&lt;0,-1,IF(AN59&gt;0,1,0))),
IF(AN60="-",0,IF(AN60&lt;0,-1,IF(AN60&gt;0,1,0))),
IF(AN61="-",0,IF(AN61&lt;0,-1,IF(AN61&gt;0,1,0))),
IF(AN62="-",0,IF(AN62&lt;0,-1,IF(AN62&gt;0,1,0))),
IF(AN63="-",0,IF(AN63&lt;0,-1,IF(AN63&gt;0,1,0))),
IF(AN64="-",0,IF(AN64&lt;0,-1,IF(AN64&gt;0,1,0))),
IF(AN65="-",0,IF(AN65&lt;0,-1,IF(AN65&gt;0,1,0))),
IF(AN66="-",0,IF(AN66&lt;0,-1,IF(AN66&gt;0,1,0))),
IF(AN67="-",0,IF(AN67&lt;0,-1,IF(AN67&gt;0,1,0))),
IF(AN68="-",0,IF(AN68&lt;0,-1,IF(AN68&gt;0,1,0))),
IF(AN69="-",0,IF(AN69&lt;0,-1,IF(AN69&gt;0,1,0)))) / 30 &gt; 0.1, "BULLISH",
IF(SUM(IF(AN49="-",0,IF(AN49&lt;0,-2,IF(AN49&gt;0,2,0))),
IF(AN50="-",0,IF(AN50&lt;0,-2,IF(AN50&gt;0,2,0))),
IF(AN51="-",0,IF(AN51&lt;0,-2,IF(AN51&gt;0,2,0))),
IF(AN52="-",0,IF(AN52&lt;0,-2,IF(AN52&gt;0,2,0))),
IF(AN53="-",0,IF(AN53&lt;0,-2,IF(AN53&gt;0,2,0))),
IF(AN54="-",0,IF(AN54&lt;0,-2,IF(AN54&gt;0,2,0))),
IF(AN55="-",0,IF(AN55&lt;0,-2,IF(AN55&gt;0,2,0))),
IF(AN56="-",0,IF(AN56&lt;0,-2,IF(AN56&gt;0,2,0))),
IF(AN57="-",0,IF(AN57&lt;0,-2,IF(AN57&gt;0,2,0))),
IF(AN58="-",0,IF(AN58&lt;0,-1,IF(AN58&gt;0,1,0))),
IF(AN59="-",0,IF(AN59&lt;0,-1,IF(AN59&gt;0,1,0))),
IF(AN60="-",0,IF(AN60&lt;0,-1,IF(AN60&gt;0,1,0))),
IF(AN61="-",0,IF(AN61&lt;0,-1,IF(AN61&gt;0,1,0))),
IF(AN62="-",0,IF(AN62&lt;0,-1,IF(AN62&gt;0,1,0))),
IF(AN63="-",0,IF(AN63&lt;0,-1,IF(AN63&gt;0,1,0))),
IF(AN64="-",0,IF(AN64&lt;0,-1,IF(AN64&gt;0,1,0))),
IF(AN65="-",0,IF(AN65&lt;0,-1,IF(AN65&gt;0,1,0))),
IF(AN66="-",0,IF(AN66&lt;0,-1,IF(AN66&gt;0,1,0))),
IF(AN67="-",0,IF(AN67&lt;0,-1,IF(AN67&gt;0,1,0))),
IF(AN68="-",0,IF(AN68&lt;0,-1,IF(AN68&gt;0,1,0))),
IF(AN69="-",0,IF(AN69&lt;0,-1,IF(AN69&gt;0,1,0)))) / 30 &lt; -0.1, "BEARISH", "NEUTRO")))</f>
        <v>NEUTRO</v>
      </c>
      <c r="AM48" s="321"/>
      <c r="AN48" s="319"/>
      <c r="AO48" s="320" t="str">
        <f>IF(AND(AQ49="-",AQ50="-",AQ51="-",AQ52="-",AQ53="-",AQ54="-",AQ55="-",AQ56="-",AQ57="-",AQ58="-",AQ59="-",AQ60="-",AQ61="-",AQ62="-",AQ63="-",AQ64="-",AQ65="-",AQ66="-",AQ67="-",AQ68="-",AQ69="-"),"",
IF(SUM(IF(AQ49="-",0,IF(AQ49&lt;0,-2,IF(AQ49&gt;0,2,0))),
IF(AQ50="-",0,IF(AQ50&lt;0,-2,IF(AQ50&gt;0,2,0))),
IF(AQ51="-",0,IF(AQ51&lt;0,-2,IF(AQ51&gt;0,2,0))),
IF(AQ52="-",0,IF(AQ52&lt;0,-2,IF(AQ52&gt;0,2,0))),
IF(AQ53="-",0,IF(AQ53&lt;0,-2,IF(AQ53&gt;0,2,0))),
IF(AQ54="-",0,IF(AQ54&lt;0,-2,IF(AQ54&gt;0,2,0))),
IF(AQ55="-",0,IF(AQ55&lt;0,-2,IF(AQ55&gt;0,2,0))),
IF(AQ56="-",0,IF(AQ56&lt;0,-2,IF(AQ56&gt;0,2,0))),
IF(AQ57="-",0,IF(AQ57&lt;0,-2,IF(AQ57&gt;0,2,0))),
IF(AQ58="-",0,IF(AQ58&lt;0,-1,IF(AQ58&gt;0,1,0))),
IF(AQ59="-",0,IF(AQ59&lt;0,-1,IF(AQ59&gt;0,1,0))),
IF(AQ60="-",0,IF(AQ60&lt;0,-1,IF(AQ60&gt;0,1,0))),
IF(AQ61="-",0,IF(AQ61&lt;0,-1,IF(AQ61&gt;0,1,0))),
IF(AQ62="-",0,IF(AQ62&lt;0,-1,IF(AQ62&gt;0,1,0))),
IF(AQ63="-",0,IF(AQ63&lt;0,-1,IF(AQ63&gt;0,1,0))),
IF(AQ64="-",0,IF(AQ64&lt;0,-1,IF(AQ64&gt;0,1,0))),
IF(AQ65="-",0,IF(AQ65&lt;0,-1,IF(AQ65&gt;0,1,0))),
IF(AQ66="-",0,IF(AQ66&lt;0,-1,IF(AQ66&gt;0,1,0))),
IF(AQ67="-",0,IF(AQ67&lt;0,-1,IF(AQ67&gt;0,1,0))),
IF(AQ68="-",0,IF(AQ68&lt;0,-1,IF(AQ68&gt;0,1,0))),
IF(AQ69="-",0,IF(AQ69&lt;0,-1,IF(AQ69&gt;0,1,0)))) / 30 &gt; 0.1, "BULLISH",
IF(SUM(IF(AQ49="-",0,IF(AQ49&lt;0,-2,IF(AQ49&gt;0,2,0))),
IF(AQ50="-",0,IF(AQ50&lt;0,-2,IF(AQ50&gt;0,2,0))),
IF(AQ51="-",0,IF(AQ51&lt;0,-2,IF(AQ51&gt;0,2,0))),
IF(AQ52="-",0,IF(AQ52&lt;0,-2,IF(AQ52&gt;0,2,0))),
IF(AQ53="-",0,IF(AQ53&lt;0,-2,IF(AQ53&gt;0,2,0))),
IF(AQ54="-",0,IF(AQ54&lt;0,-2,IF(AQ54&gt;0,2,0))),
IF(AQ55="-",0,IF(AQ55&lt;0,-2,IF(AQ55&gt;0,2,0))),
IF(AQ56="-",0,IF(AQ56&lt;0,-2,IF(AQ56&gt;0,2,0))),
IF(AQ57="-",0,IF(AQ57&lt;0,-2,IF(AQ57&gt;0,2,0))),
IF(AQ58="-",0,IF(AQ58&lt;0,-1,IF(AQ58&gt;0,1,0))),
IF(AQ59="-",0,IF(AQ59&lt;0,-1,IF(AQ59&gt;0,1,0))),
IF(AQ60="-",0,IF(AQ60&lt;0,-1,IF(AQ60&gt;0,1,0))),
IF(AQ61="-",0,IF(AQ61&lt;0,-1,IF(AQ61&gt;0,1,0))),
IF(AQ62="-",0,IF(AQ62&lt;0,-1,IF(AQ62&gt;0,1,0))),
IF(AQ63="-",0,IF(AQ63&lt;0,-1,IF(AQ63&gt;0,1,0))),
IF(AQ64="-",0,IF(AQ64&lt;0,-1,IF(AQ64&gt;0,1,0))),
IF(AQ65="-",0,IF(AQ65&lt;0,-1,IF(AQ65&gt;0,1,0))),
IF(AQ66="-",0,IF(AQ66&lt;0,-1,IF(AQ66&gt;0,1,0))),
IF(AQ67="-",0,IF(AQ67&lt;0,-1,IF(AQ67&gt;0,1,0))),
IF(AQ68="-",0,IF(AQ68&lt;0,-1,IF(AQ68&gt;0,1,0))),
IF(AQ69="-",0,IF(AQ69&lt;0,-1,IF(AQ69&gt;0,1,0)))) / 30 &lt; -0.1, "BEARISH", "NEUTRO")))</f>
        <v>BULLISH</v>
      </c>
      <c r="AP48" s="321"/>
      <c r="AQ48" s="319"/>
      <c r="AR48" s="320" t="str">
        <f>IF(AND(AT49="-",AT50="-",AT51="-",AT52="-",AT53="-",AT54="-",AT55="-",AT56="-",AT57="-",AT58="-",AT59="-",AT60="-",AT61="-",AT62="-",AT63="-",AT64="-",AT65="-",AT66="-",AT67="-",AT68="-",AT69="-"),"",
IF(SUM(IF(AT49="-",0,IF(AT49&lt;0,-2,IF(AT49&gt;0,2,0))),
IF(AT50="-",0,IF(AT50&lt;0,-2,IF(AT50&gt;0,2,0))),
IF(AT51="-",0,IF(AT51&lt;0,-2,IF(AT51&gt;0,2,0))),
IF(AT52="-",0,IF(AT52&lt;0,-2,IF(AT52&gt;0,2,0))),
IF(AT53="-",0,IF(AT53&lt;0,-2,IF(AT53&gt;0,2,0))),
IF(AT54="-",0,IF(AT54&lt;0,-2,IF(AT54&gt;0,2,0))),
IF(AT55="-",0,IF(AT55&lt;0,-2,IF(AT55&gt;0,2,0))),
IF(AT56="-",0,IF(AT56&lt;0,-2,IF(AT56&gt;0,2,0))),
IF(AT57="-",0,IF(AT57&lt;0,-2,IF(AT57&gt;0,2,0))),
IF(AT58="-",0,IF(AT58&lt;0,-1,IF(AT58&gt;0,1,0))),
IF(AT59="-",0,IF(AT59&lt;0,-1,IF(AT59&gt;0,1,0))),
IF(AT60="-",0,IF(AT60&lt;0,-1,IF(AT60&gt;0,1,0))),
IF(AT61="-",0,IF(AT61&lt;0,-1,IF(AT61&gt;0,1,0))),
IF(AT62="-",0,IF(AT62&lt;0,-1,IF(AT62&gt;0,1,0))),
IF(AT63="-",0,IF(AT63&lt;0,-1,IF(AT63&gt;0,1,0))),
IF(AT64="-",0,IF(AT64&lt;0,-1,IF(AT64&gt;0,1,0))),
IF(AT65="-",0,IF(AT65&lt;0,-1,IF(AT65&gt;0,1,0))),
IF(AT66="-",0,IF(AT66&lt;0,-1,IF(AT66&gt;0,1,0))),
IF(AT67="-",0,IF(AT67&lt;0,-1,IF(AT67&gt;0,1,0))),
IF(AT68="-",0,IF(AT68&lt;0,-1,IF(AT68&gt;0,1,0))),
IF(AT69="-",0,IF(AT69&lt;0,-1,IF(AT69&gt;0,1,0)))) / 30 &gt; 0.1, "BULLISH",
IF(SUM(IF(AT49="-",0,IF(AT49&lt;0,-2,IF(AT49&gt;0,2,0))),
IF(AT50="-",0,IF(AT50&lt;0,-2,IF(AT50&gt;0,2,0))),
IF(AT51="-",0,IF(AT51&lt;0,-2,IF(AT51&gt;0,2,0))),
IF(AT52="-",0,IF(AT52&lt;0,-2,IF(AT52&gt;0,2,0))),
IF(AT53="-",0,IF(AT53&lt;0,-2,IF(AT53&gt;0,2,0))),
IF(AT54="-",0,IF(AT54&lt;0,-2,IF(AT54&gt;0,2,0))),
IF(AT55="-",0,IF(AT55&lt;0,-2,IF(AT55&gt;0,2,0))),
IF(AT56="-",0,IF(AT56&lt;0,-2,IF(AT56&gt;0,2,0))),
IF(AT57="-",0,IF(AT57&lt;0,-2,IF(AT57&gt;0,2,0))),
IF(AT58="-",0,IF(AT58&lt;0,-1,IF(AT58&gt;0,1,0))),
IF(AT59="-",0,IF(AT59&lt;0,-1,IF(AT59&gt;0,1,0))),
IF(AT60="-",0,IF(AT60&lt;0,-1,IF(AT60&gt;0,1,0))),
IF(AT61="-",0,IF(AT61&lt;0,-1,IF(AT61&gt;0,1,0))),
IF(AT62="-",0,IF(AT62&lt;0,-1,IF(AT62&gt;0,1,0))),
IF(AT63="-",0,IF(AT63&lt;0,-1,IF(AT63&gt;0,1,0))),
IF(AT64="-",0,IF(AT64&lt;0,-1,IF(AT64&gt;0,1,0))),
IF(AT65="-",0,IF(AT65&lt;0,-1,IF(AT65&gt;0,1,0))),
IF(AT66="-",0,IF(AT66&lt;0,-1,IF(AT66&gt;0,1,0))),
IF(AT67="-",0,IF(AT67&lt;0,-1,IF(AT67&gt;0,1,0))),
IF(AT68="-",0,IF(AT68&lt;0,-1,IF(AT68&gt;0,1,0))),
IF(AT69="-",0,IF(AT69&lt;0,-1,IF(AT69&gt;0,1,0)))) / 30 &lt; -0.1, "BEARISH", "NEUTRO")))</f>
        <v>BEARISH</v>
      </c>
      <c r="AS48" s="321"/>
      <c r="AT48" s="319"/>
      <c r="AU48" s="320" t="str">
        <f>IF(AND(AW49="-",AW50="-",AW51="-",AW52="-",AW53="-",AW54="-",AW55="-",AW56="-",AW57="-",AW58="-",AW59="-",AW60="-",AW61="-",AW62="-",AW63="-",AW64="-",AW65="-",AW66="-",AW67="-",AW68="-",AW69="-"),"",
IF(SUM(IF(AW49="-",0,IF(AW49&lt;0,-2,IF(AW49&gt;0,2,0))),
IF(AW50="-",0,IF(AW50&lt;0,-2,IF(AW50&gt;0,2,0))),
IF(AW51="-",0,IF(AW51&lt;0,-2,IF(AW51&gt;0,2,0))),
IF(AW52="-",0,IF(AW52&lt;0,-2,IF(AW52&gt;0,2,0))),
IF(AW53="-",0,IF(AW53&lt;0,-2,IF(AW53&gt;0,2,0))),
IF(AW54="-",0,IF(AW54&lt;0,-2,IF(AW54&gt;0,2,0))),
IF(AW55="-",0,IF(AW55&lt;0,-2,IF(AW55&gt;0,2,0))),
IF(AW56="-",0,IF(AW56&lt;0,-2,IF(AW56&gt;0,2,0))),
IF(AW57="-",0,IF(AW57&lt;0,-2,IF(AW57&gt;0,2,0))),
IF(AW58="-",0,IF(AW58&lt;0,-1,IF(AW58&gt;0,1,0))),
IF(AW59="-",0,IF(AW59&lt;0,-1,IF(AW59&gt;0,1,0))),
IF(AW60="-",0,IF(AW60&lt;0,-1,IF(AW60&gt;0,1,0))),
IF(AW61="-",0,IF(AW61&lt;0,-1,IF(AW61&gt;0,1,0))),
IF(AW62="-",0,IF(AW62&lt;0,-1,IF(AW62&gt;0,1,0))),
IF(AW63="-",0,IF(AW63&lt;0,-1,IF(AW63&gt;0,1,0))),
IF(AW64="-",0,IF(AW64&lt;0,-1,IF(AW64&gt;0,1,0))),
IF(AW65="-",0,IF(AW65&lt;0,-1,IF(AW65&gt;0,1,0))),
IF(AW66="-",0,IF(AW66&lt;0,-1,IF(AW66&gt;0,1,0))),
IF(AW67="-",0,IF(AW67&lt;0,-1,IF(AW67&gt;0,1,0))),
IF(AW68="-",0,IF(AW68&lt;0,-1,IF(AW68&gt;0,1,0))),
IF(AW69="-",0,IF(AW69&lt;0,-1,IF(AW69&gt;0,1,0)))) / 30 &gt; 0.1, "BULLISH",
IF(SUM(IF(AW49="-",0,IF(AW49&lt;0,-2,IF(AW49&gt;0,2,0))),
IF(AW50="-",0,IF(AW50&lt;0,-2,IF(AW50&gt;0,2,0))),
IF(AW51="-",0,IF(AW51&lt;0,-2,IF(AW51&gt;0,2,0))),
IF(AW52="-",0,IF(AW52&lt;0,-2,IF(AW52&gt;0,2,0))),
IF(AW53="-",0,IF(AW53&lt;0,-2,IF(AW53&gt;0,2,0))),
IF(AW54="-",0,IF(AW54&lt;0,-2,IF(AW54&gt;0,2,0))),
IF(AW55="-",0,IF(AW55&lt;0,-2,IF(AW55&gt;0,2,0))),
IF(AW56="-",0,IF(AW56&lt;0,-2,IF(AW56&gt;0,2,0))),
IF(AW57="-",0,IF(AW57&lt;0,-2,IF(AW57&gt;0,2,0))),
IF(AW58="-",0,IF(AW58&lt;0,-1,IF(AW58&gt;0,1,0))),
IF(AW59="-",0,IF(AW59&lt;0,-1,IF(AW59&gt;0,1,0))),
IF(AW60="-",0,IF(AW60&lt;0,-1,IF(AW60&gt;0,1,0))),
IF(AW61="-",0,IF(AW61&lt;0,-1,IF(AW61&gt;0,1,0))),
IF(AW62="-",0,IF(AW62&lt;0,-1,IF(AW62&gt;0,1,0))),
IF(AW63="-",0,IF(AW63&lt;0,-1,IF(AW63&gt;0,1,0))),
IF(AW64="-",0,IF(AW64&lt;0,-1,IF(AW64&gt;0,1,0))),
IF(AW65="-",0,IF(AW65&lt;0,-1,IF(AW65&gt;0,1,0))),
IF(AW66="-",0,IF(AW66&lt;0,-1,IF(AW66&gt;0,1,0))),
IF(AW67="-",0,IF(AW67&lt;0,-1,IF(AW67&gt;0,1,0))),
IF(AW68="-",0,IF(AW68&lt;0,-1,IF(AW68&gt;0,1,0))),
IF(AW69="-",0,IF(AW69&lt;0,-1,IF(AW69&gt;0,1,0)))) / 30 &lt; -0.1, "BEARISH", "NEUTRO")))</f>
        <v>BEARISH</v>
      </c>
      <c r="AV48" s="321"/>
      <c r="AW48" s="319"/>
      <c r="AX48" s="320" t="str">
        <f>IF(AND(AZ49="-",AZ50="-",AZ51="-",AZ52="-",AZ53="-",AZ54="-",AZ55="-",AZ56="-",AZ57="-",AZ58="-",AZ59="-",AZ60="-",AZ61="-",AZ62="-",AZ63="-",AZ64="-",AZ65="-",AZ66="-",AZ67="-",AZ68="-",AZ69="-"),"",
IF(SUM(IF(AZ49="-",0,IF(AZ49&lt;0,-2,IF(AZ49&gt;0,2,0))),
IF(AZ50="-",0,IF(AZ50&lt;0,-2,IF(AZ50&gt;0,2,0))),
IF(AZ51="-",0,IF(AZ51&lt;0,-2,IF(AZ51&gt;0,2,0))),
IF(AZ52="-",0,IF(AZ52&lt;0,-2,IF(AZ52&gt;0,2,0))),
IF(AZ53="-",0,IF(AZ53&lt;0,-2,IF(AZ53&gt;0,2,0))),
IF(AZ54="-",0,IF(AZ54&lt;0,-2,IF(AZ54&gt;0,2,0))),
IF(AZ55="-",0,IF(AZ55&lt;0,-2,IF(AZ55&gt;0,2,0))),
IF(AZ56="-",0,IF(AZ56&lt;0,-2,IF(AZ56&gt;0,2,0))),
IF(AZ57="-",0,IF(AZ57&lt;0,-2,IF(AZ57&gt;0,2,0))),
IF(AZ58="-",0,IF(AZ58&lt;0,-1,IF(AZ58&gt;0,1,0))),
IF(AZ59="-",0,IF(AZ59&lt;0,-1,IF(AZ59&gt;0,1,0))),
IF(AZ60="-",0,IF(AZ60&lt;0,-1,IF(AZ60&gt;0,1,0))),
IF(AZ61="-",0,IF(AZ61&lt;0,-1,IF(AZ61&gt;0,1,0))),
IF(AZ62="-",0,IF(AZ62&lt;0,-1,IF(AZ62&gt;0,1,0))),
IF(AZ63="-",0,IF(AZ63&lt;0,-1,IF(AZ63&gt;0,1,0))),
IF(AZ64="-",0,IF(AZ64&lt;0,-1,IF(AZ64&gt;0,1,0))),
IF(AZ65="-",0,IF(AZ65&lt;0,-1,IF(AZ65&gt;0,1,0))),
IF(AZ66="-",0,IF(AZ66&lt;0,-1,IF(AZ66&gt;0,1,0))),
IF(AZ67="-",0,IF(AZ67&lt;0,-1,IF(AZ67&gt;0,1,0))),
IF(AZ68="-",0,IF(AZ68&lt;0,-1,IF(AZ68&gt;0,1,0))),
IF(AZ69="-",0,IF(AZ69&lt;0,-1,IF(AZ69&gt;0,1,0)))) / 30 &gt; 0.1, "BULLISH",
IF(SUM(IF(AZ49="-",0,IF(AZ49&lt;0,-2,IF(AZ49&gt;0,2,0))),
IF(AZ50="-",0,IF(AZ50&lt;0,-2,IF(AZ50&gt;0,2,0))),
IF(AZ51="-",0,IF(AZ51&lt;0,-2,IF(AZ51&gt;0,2,0))),
IF(AZ52="-",0,IF(AZ52&lt;0,-2,IF(AZ52&gt;0,2,0))),
IF(AZ53="-",0,IF(AZ53&lt;0,-2,IF(AZ53&gt;0,2,0))),
IF(AZ54="-",0,IF(AZ54&lt;0,-2,IF(AZ54&gt;0,2,0))),
IF(AZ55="-",0,IF(AZ55&lt;0,-2,IF(AZ55&gt;0,2,0))),
IF(AZ56="-",0,IF(AZ56&lt;0,-2,IF(AZ56&gt;0,2,0))),
IF(AZ57="-",0,IF(AZ57&lt;0,-2,IF(AZ57&gt;0,2,0))),
IF(AZ58="-",0,IF(AZ58&lt;0,-1,IF(AZ58&gt;0,1,0))),
IF(AZ59="-",0,IF(AZ59&lt;0,-1,IF(AZ59&gt;0,1,0))),
IF(AZ60="-",0,IF(AZ60&lt;0,-1,IF(AZ60&gt;0,1,0))),
IF(AZ61="-",0,IF(AZ61&lt;0,-1,IF(AZ61&gt;0,1,0))),
IF(AZ62="-",0,IF(AZ62&lt;0,-1,IF(AZ62&gt;0,1,0))),
IF(AZ63="-",0,IF(AZ63&lt;0,-1,IF(AZ63&gt;0,1,0))),
IF(AZ64="-",0,IF(AZ64&lt;0,-1,IF(AZ64&gt;0,1,0))),
IF(AZ65="-",0,IF(AZ65&lt;0,-1,IF(AZ65&gt;0,1,0))),
IF(AZ66="-",0,IF(AZ66&lt;0,-1,IF(AZ66&gt;0,1,0))),
IF(AZ67="-",0,IF(AZ67&lt;0,-1,IF(AZ67&gt;0,1,0))),
IF(AZ68="-",0,IF(AZ68&lt;0,-1,IF(AZ68&gt;0,1,0))),
IF(AZ69="-",0,IF(AZ69&lt;0,-1,IF(AZ69&gt;0,1,0)))) / 30 &lt; -0.1, "BEARISH", "NEUTRO")))</f>
        <v>BEARISH</v>
      </c>
      <c r="AY48" s="321"/>
      <c r="AZ48" s="319"/>
    </row>
    <row r="49" spans="1:52" x14ac:dyDescent="0.25">
      <c r="A49" s="237" t="s">
        <v>125</v>
      </c>
      <c r="B49" s="229"/>
      <c r="C49" s="229"/>
      <c r="D49" s="221" t="str">
        <f>IF(OR(B49="",C49="",B49="-",C49="-"),"-",B49-C49)</f>
        <v>-</v>
      </c>
      <c r="E49" s="229">
        <v>52.4</v>
      </c>
      <c r="F49" s="229">
        <v>51.9</v>
      </c>
      <c r="G49" s="221">
        <f>IF(OR(E49="",F49="",E49="-",F49="-"),"-",E49-F49)</f>
        <v>0.5</v>
      </c>
      <c r="H49" s="229">
        <v>51.8</v>
      </c>
      <c r="I49" s="229">
        <v>52.2</v>
      </c>
      <c r="J49" s="221">
        <f>IF(OR(H49="",I49="",H49="-",I49="-"),"-",H49-I49)</f>
        <v>-0.40000000000000568</v>
      </c>
      <c r="K49" s="229">
        <v>52.2</v>
      </c>
      <c r="L49" s="229"/>
      <c r="M49" s="221" t="str">
        <f>IF(OR(K49="",L49="",K49="-",L49="-"),"-",K49-L49)</f>
        <v>-</v>
      </c>
      <c r="N49" s="229">
        <v>52.2</v>
      </c>
      <c r="O49" s="229">
        <v>53</v>
      </c>
      <c r="P49" s="221">
        <f>IF(OR(N49="",O49="",N49="-",O49="-"),"-",N49-O49)</f>
        <v>-0.79999999999999716</v>
      </c>
      <c r="Q49" s="229">
        <v>53.3</v>
      </c>
      <c r="R49" s="229">
        <v>49.7</v>
      </c>
      <c r="S49" s="221">
        <f>IF(OR(Q49="",R49="",Q49="-",R49="-"),"-",Q49-R49)</f>
        <v>3.5999999999999943</v>
      </c>
      <c r="T49" s="229">
        <v>49.5</v>
      </c>
      <c r="U49" s="229">
        <v>52</v>
      </c>
      <c r="V49" s="221">
        <f>IF(OR(T49="",U49="",T49="-",U49="-"),"-",T49-U49)</f>
        <v>-2.5</v>
      </c>
      <c r="W49" s="229">
        <v>52.3</v>
      </c>
      <c r="X49" s="229">
        <v>50.2</v>
      </c>
      <c r="Y49" s="221">
        <f>IF(OR(W49="",X49="",W49="-",X49="-"),"-",W49-X49)</f>
        <v>2.0999999999999943</v>
      </c>
      <c r="Z49" s="17">
        <v>50.7</v>
      </c>
      <c r="AA49" s="17">
        <v>52.7</v>
      </c>
      <c r="AB49" s="11">
        <f>IF(OR(Z49="",AA49="",Z49="-",AA49="-"),"-",Z49-AA49)</f>
        <v>-2</v>
      </c>
      <c r="AC49" s="17">
        <v>51.6</v>
      </c>
      <c r="AD49" s="17">
        <v>50.1</v>
      </c>
      <c r="AE49" s="11">
        <f>IF(OR(AC49="",AD49="",AC49="-",AD49="-"),"-",AC49-AD49)</f>
        <v>1.5</v>
      </c>
      <c r="AF49" s="17">
        <v>50.1</v>
      </c>
      <c r="AG49" s="17">
        <v>49.4</v>
      </c>
      <c r="AH49" s="11">
        <f>IF(OR(AF49="",AG49="",AF49="-",AG49="-"),"-",AF49-AG49)</f>
        <v>0.70000000000000284</v>
      </c>
      <c r="AI49" s="17">
        <v>48.3</v>
      </c>
      <c r="AJ49" s="17">
        <v>47.8</v>
      </c>
      <c r="AK49" s="11">
        <f>IF(OR(AI49="",AJ49="",AI49="-",AJ49="-"),"-",AI49-AJ49)</f>
        <v>0.5</v>
      </c>
      <c r="AL49" s="17">
        <v>47.8</v>
      </c>
      <c r="AM49" s="17">
        <v>47.3</v>
      </c>
      <c r="AN49" s="11">
        <f>IF(OR(AL49="",AM49="",AL49="-",AM49="-"),"-",AL49-AM49)</f>
        <v>0.5</v>
      </c>
      <c r="AO49" s="17">
        <v>48</v>
      </c>
      <c r="AP49" s="17">
        <v>49.6</v>
      </c>
      <c r="AQ49" s="11">
        <f>IF(OR(AO49="",AP49="",AO49="-",AP49="-"),"-",AO49-AP49)</f>
        <v>-1.6000000000000014</v>
      </c>
      <c r="AR49" s="17">
        <v>49.5</v>
      </c>
      <c r="AS49" s="17">
        <v>51.6</v>
      </c>
      <c r="AT49" s="11">
        <f>IF(OR(AR49="",AS49="",AR49="-",AS49="-"),"-",AR49-AS49)</f>
        <v>-2.1000000000000014</v>
      </c>
      <c r="AU49" s="17"/>
      <c r="AV49" s="17"/>
      <c r="AW49" s="11" t="str">
        <f>IF(OR(AU49="",AV49="",AU49="-",AV49="-"),"-",AU49-AV49)</f>
        <v>-</v>
      </c>
      <c r="AX49" s="95">
        <v>49.9</v>
      </c>
      <c r="AY49" s="17">
        <v>52.2</v>
      </c>
      <c r="AZ49" s="11">
        <f>IF(OR(AX49="",AY49="",AX49="-",AY49="-"),"-",AX49-AY49)</f>
        <v>-2.3000000000000043</v>
      </c>
    </row>
    <row r="50" spans="1:52" x14ac:dyDescent="0.25">
      <c r="A50" s="237" t="s">
        <v>126</v>
      </c>
      <c r="B50" s="229"/>
      <c r="C50" s="229"/>
      <c r="D50" s="221" t="str">
        <f>IF(OR(B50="",C50="",B50="-",C50="-"),"-",B50-C50)</f>
        <v>-</v>
      </c>
      <c r="E50" s="229">
        <v>52.7</v>
      </c>
      <c r="F50" s="229">
        <v>52.5</v>
      </c>
      <c r="G50" s="221">
        <f>IF(OR(E50="",F50="",E50="-",F50="-"),"-",E50-F50)</f>
        <v>0.20000000000000284</v>
      </c>
      <c r="H50" s="229">
        <v>52.9</v>
      </c>
      <c r="I50" s="229">
        <v>54.1</v>
      </c>
      <c r="J50" s="221">
        <f>IF(OR(H50="",I50="",H50="-",I50="-"),"-",H50-I50)</f>
        <v>-1.2000000000000028</v>
      </c>
      <c r="K50" s="229">
        <v>54.1</v>
      </c>
      <c r="L50" s="229"/>
      <c r="M50" s="221" t="str">
        <f>IF(OR(K50="",L50="",K50="-",L50="-"),"-",K50-L50)</f>
        <v>-</v>
      </c>
      <c r="N50" s="229">
        <v>55.2</v>
      </c>
      <c r="O50" s="229">
        <v>54.4</v>
      </c>
      <c r="P50" s="221">
        <f>IF(OR(N50="",O50="",N50="-",O50="-"),"-",N50-O50)</f>
        <v>0.80000000000000426</v>
      </c>
      <c r="Q50" s="229">
        <v>55.4</v>
      </c>
      <c r="R50" s="229">
        <v>55.7</v>
      </c>
      <c r="S50" s="221">
        <f>IF(OR(Q50="",R50="",Q50="-",R50="-"),"-",Q50-R50)</f>
        <v>-0.30000000000000426</v>
      </c>
      <c r="T50" s="229">
        <v>55.2</v>
      </c>
      <c r="U50" s="229">
        <v>53.7</v>
      </c>
      <c r="V50" s="221">
        <f>IF(OR(T50="",U50="",T50="-",U50="-"),"-",T50-U50)</f>
        <v>1.5</v>
      </c>
      <c r="W50" s="229">
        <v>52.3</v>
      </c>
      <c r="X50" s="229">
        <v>50.8</v>
      </c>
      <c r="Y50" s="221">
        <f>IF(OR(W50="",X50="",W50="-",X50="-"),"-",W50-X50)</f>
        <v>1.5</v>
      </c>
      <c r="Z50" s="17">
        <v>51.4</v>
      </c>
      <c r="AA50" s="17">
        <v>51</v>
      </c>
      <c r="AB50" s="9">
        <f>IF(OR(Z50="",AA50="",Z50="-",AA50="-"),"-",Z50-AA50)</f>
        <v>0.39999999999999858</v>
      </c>
      <c r="AC50" s="17">
        <v>51</v>
      </c>
      <c r="AD50" s="17">
        <v>52.9</v>
      </c>
      <c r="AE50" s="9">
        <f>IF(OR(AC50="",AD50="",AC50="-",AD50="-"),"-",AC50-AD50)</f>
        <v>-1.8999999999999986</v>
      </c>
      <c r="AF50" s="17">
        <v>52.8</v>
      </c>
      <c r="AG50" s="17">
        <v>56.8</v>
      </c>
      <c r="AH50" s="9">
        <f>IF(OR(AF50="",AG50="",AF50="-",AG50="-"),"-",AF50-AG50)</f>
        <v>-4</v>
      </c>
      <c r="AI50" s="17">
        <v>58.5</v>
      </c>
      <c r="AJ50" s="17">
        <v>55.4</v>
      </c>
      <c r="AK50" s="9">
        <f>IF(OR(AI50="",AJ50="",AI50="-",AJ50="-"),"-",AI50-AJ50)</f>
        <v>3.1000000000000014</v>
      </c>
      <c r="AL50" s="17">
        <v>55.4</v>
      </c>
      <c r="AM50" s="17">
        <v>55.2</v>
      </c>
      <c r="AN50" s="9">
        <f>IF(OR(AL50="",AM50="",AL50="-",AM50="-"),"-",AL50-AM50)</f>
        <v>0.19999999999999574</v>
      </c>
      <c r="AO50" s="17">
        <v>55.2</v>
      </c>
      <c r="AP50" s="17">
        <v>55</v>
      </c>
      <c r="AQ50" s="9">
        <f>IF(OR(AO50="",AP50="",AO50="-",AP50="-"),"-",AO50-AP50)</f>
        <v>0.20000000000000284</v>
      </c>
      <c r="AR50" s="17">
        <v>56</v>
      </c>
      <c r="AS50" s="17">
        <v>55.3</v>
      </c>
      <c r="AT50" s="9">
        <f>IF(OR(AR50="",AS50="",AR50="-",AS50="-"),"-",AR50-AS50)</f>
        <v>0.70000000000000284</v>
      </c>
      <c r="AU50" s="17"/>
      <c r="AV50" s="17"/>
      <c r="AW50" s="9" t="str">
        <f>IF(OR(AU50="",AV50="",AU50="-",AV50="-"),"-",AU50-AV50)</f>
        <v>-</v>
      </c>
      <c r="AX50" s="95">
        <v>50.9</v>
      </c>
      <c r="AY50" s="17">
        <v>52.3</v>
      </c>
      <c r="AZ50" s="9">
        <f>IF(OR(AX50="",AY50="",AX50="-",AY50="-"),"-",AX50-AY50)</f>
        <v>-1.3999999999999986</v>
      </c>
    </row>
    <row r="51" spans="1:52" x14ac:dyDescent="0.25">
      <c r="A51" s="237" t="s">
        <v>127</v>
      </c>
      <c r="B51" s="229"/>
      <c r="C51" s="229"/>
      <c r="D51" s="221" t="str">
        <f>IF(OR(B51="",C51="",B51="-",C51="-"),"-",B51-C51)</f>
        <v>-</v>
      </c>
      <c r="E51" s="229">
        <v>52.4</v>
      </c>
      <c r="F51" s="229">
        <v>51.9</v>
      </c>
      <c r="G51" s="221">
        <f>IF(OR(E51="",F51="",E51="-",F51="-"),"-",E51-F51)</f>
        <v>0.5</v>
      </c>
      <c r="H51" s="229"/>
      <c r="I51" s="229"/>
      <c r="J51" s="221" t="str">
        <f>IF(OR(H51="",I51="",H51="-",I51="-"),"-",H51-I51)</f>
        <v>-</v>
      </c>
      <c r="K51" s="229"/>
      <c r="L51" s="229"/>
      <c r="M51" s="221" t="str">
        <f>IF(OR(K51="",L51="",K51="-",L51="-"),"-",K51-L51)</f>
        <v>-</v>
      </c>
      <c r="N51" s="229">
        <v>52</v>
      </c>
      <c r="O51" s="229">
        <v>52</v>
      </c>
      <c r="P51" s="221">
        <f>IF(OR(N51="",O51="",N51="-",O51="-"),"-",N51-O51)</f>
        <v>0</v>
      </c>
      <c r="Q51" s="229">
        <v>53</v>
      </c>
      <c r="R51" s="229">
        <v>49.5</v>
      </c>
      <c r="S51" s="221">
        <f>IF(OR(Q51="",R51="",Q51="-",R51="-"),"-",Q51-R51)</f>
        <v>3.5</v>
      </c>
      <c r="T51" s="229">
        <v>52.9</v>
      </c>
      <c r="U51" s="229">
        <v>52</v>
      </c>
      <c r="V51" s="221">
        <f>IF(OR(T51="",U51="",T51="-",U51="-"),"-",T51-U51)</f>
        <v>0.89999999999999858</v>
      </c>
      <c r="W51" s="229">
        <v>52</v>
      </c>
      <c r="X51" s="229">
        <v>52.3</v>
      </c>
      <c r="Y51" s="221">
        <f>IF(OR(W51="",X51="",W51="-",X51="-"),"-",W51-X51)</f>
        <v>-0.29999999999999716</v>
      </c>
      <c r="Z51" s="17">
        <v>50.2</v>
      </c>
      <c r="AA51" s="17">
        <v>49.8</v>
      </c>
      <c r="AB51" s="9">
        <f>IF(OR(Z51="",AA51="",Z51="-",AA51="-"),"-",Z51-AA51)</f>
        <v>0.40000000000000568</v>
      </c>
      <c r="AC51" s="17">
        <v>52.7</v>
      </c>
      <c r="AD51" s="17">
        <v>51.6</v>
      </c>
      <c r="AE51" s="9">
        <f>IF(OR(AC51="",AD51="",AC51="-",AD51="-"),"-",AC51-AD51)</f>
        <v>1.1000000000000014</v>
      </c>
      <c r="AF51" s="17">
        <v>49.4</v>
      </c>
      <c r="AG51" s="17">
        <v>48.3</v>
      </c>
      <c r="AH51" s="9">
        <f>IF(OR(AF51="",AG51="",AF51="-",AG51="-"),"-",AF51-AG51)</f>
        <v>1.1000000000000014</v>
      </c>
      <c r="AI51" s="17">
        <v>49.7</v>
      </c>
      <c r="AJ51" s="17">
        <v>48.8</v>
      </c>
      <c r="AK51" s="9">
        <f>IF(OR(AI51="",AJ51="",AI51="-",AJ51="-"),"-",AI51-AJ51)</f>
        <v>0.90000000000000568</v>
      </c>
      <c r="AL51" s="17">
        <v>48.5</v>
      </c>
      <c r="AM51" s="17">
        <v>47.8</v>
      </c>
      <c r="AN51" s="9">
        <f>IF(OR(AL51="",AM51="",AL51="-",AM51="-"),"-",AL51-AM51)</f>
        <v>0.70000000000000284</v>
      </c>
      <c r="AO51" s="17">
        <v>47.9</v>
      </c>
      <c r="AP51" s="17">
        <v>48</v>
      </c>
      <c r="AQ51" s="9">
        <f>IF(OR(AO51="",AP51="",AO51="-",AP51="-"),"-",AO51-AP51)</f>
        <v>-0.10000000000000142</v>
      </c>
      <c r="AR51" s="17">
        <v>51.6</v>
      </c>
      <c r="AS51" s="17">
        <v>51.7</v>
      </c>
      <c r="AT51" s="9">
        <f>IF(OR(AR51="",AS51="",AR51="-",AS51="-"),"-",AR51-AS51)</f>
        <v>-0.10000000000000142</v>
      </c>
      <c r="AU51" s="17"/>
      <c r="AV51" s="17"/>
      <c r="AW51" s="9" t="str">
        <f>IF(OR(AU51="",AV51="",AU51="-",AV51="-"),"-",AU51-AV51)</f>
        <v>-</v>
      </c>
      <c r="AX51" s="95">
        <v>50</v>
      </c>
      <c r="AY51" s="17">
        <v>52.5</v>
      </c>
      <c r="AZ51" s="9">
        <f>IF(OR(AX51="",AY51="",AX51="-",AY51="-"),"-",AX51-AY51)</f>
        <v>-2.5</v>
      </c>
    </row>
    <row r="52" spans="1:52" x14ac:dyDescent="0.25">
      <c r="A52" s="237" t="s">
        <v>128</v>
      </c>
      <c r="B52" s="229"/>
      <c r="C52" s="229"/>
      <c r="D52" s="221" t="str">
        <f>IF(OR(B52="",C52="",B52="-",C52="-"),"-",B52-C52)</f>
        <v>-</v>
      </c>
      <c r="E52" s="229">
        <v>52.7</v>
      </c>
      <c r="F52" s="229">
        <v>52.5</v>
      </c>
      <c r="G52" s="221">
        <f>IF(OR(E52="",F52="",E52="-",F52="-"),"-",E52-F52)</f>
        <v>0.20000000000000284</v>
      </c>
      <c r="H52" s="229">
        <v>52.5</v>
      </c>
      <c r="I52" s="229">
        <v>52.9</v>
      </c>
      <c r="J52" s="221">
        <f>IF(OR(H52="",I52="",H52="-",I52="-"),"-",H52-I52)</f>
        <v>-0.39999999999999858</v>
      </c>
      <c r="K52" s="229">
        <v>52.9</v>
      </c>
      <c r="L52" s="229"/>
      <c r="M52" s="221" t="str">
        <f>IF(OR(K52="",L52="",K52="-",L52="-"),"-",K52-L52)</f>
        <v>-</v>
      </c>
      <c r="N52" s="229">
        <v>54.2</v>
      </c>
      <c r="O52" s="229">
        <v>53.9</v>
      </c>
      <c r="P52" s="221">
        <f>IF(OR(N52="",O52="",N52="-",O52="-"),"-",N52-O52)</f>
        <v>0.30000000000000426</v>
      </c>
      <c r="Q52" s="229">
        <v>54.5</v>
      </c>
      <c r="R52" s="229">
        <v>55.2</v>
      </c>
      <c r="S52" s="221">
        <f>IF(OR(Q52="",R52="",Q52="-",R52="-"),"-",Q52-R52)</f>
        <v>-0.70000000000000284</v>
      </c>
      <c r="T52" s="229">
        <v>52.9</v>
      </c>
      <c r="U52" s="229">
        <v>53.1</v>
      </c>
      <c r="V52" s="221">
        <f>IF(OR(T52="",U52="",T52="-",U52="-"),"-",T52-U52)</f>
        <v>-0.20000000000000284</v>
      </c>
      <c r="W52" s="229">
        <v>53.7</v>
      </c>
      <c r="X52" s="229">
        <v>52.3</v>
      </c>
      <c r="Y52" s="221">
        <f>IF(OR(W52="",X52="",W52="-",X52="-"),"-",W52-X52)</f>
        <v>1.4000000000000057</v>
      </c>
      <c r="Z52" s="17">
        <v>50.8</v>
      </c>
      <c r="AA52" s="17">
        <v>54.3</v>
      </c>
      <c r="AB52" s="9">
        <f>IF(OR(Z52="",AA52="",Z52="-",AA52="-"),"-",Z52-AA52)</f>
        <v>-3.5</v>
      </c>
      <c r="AC52" s="17">
        <v>52.9</v>
      </c>
      <c r="AD52" s="17">
        <v>52.8</v>
      </c>
      <c r="AE52" s="9">
        <f>IF(OR(AC52="",AD52="",AC52="-",AD52="-"),"-",AC52-AD52)</f>
        <v>0.10000000000000142</v>
      </c>
      <c r="AF52" s="17">
        <v>56.8</v>
      </c>
      <c r="AG52" s="17">
        <v>58.5</v>
      </c>
      <c r="AH52" s="9">
        <f>IF(OR(AF52="",AG52="",AF52="-",AG52="-"),"-",AF52-AG52)</f>
        <v>-1.7000000000000028</v>
      </c>
      <c r="AI52" s="17">
        <v>56.1</v>
      </c>
      <c r="AJ52" s="17">
        <v>57</v>
      </c>
      <c r="AK52" s="9">
        <f>IF(OR(AI52="",AJ52="",AI52="-",AJ52="-"),"-",AI52-AJ52)</f>
        <v>-0.89999999999999858</v>
      </c>
      <c r="AL52" s="17">
        <v>55</v>
      </c>
      <c r="AM52" s="17">
        <v>55.3</v>
      </c>
      <c r="AN52" s="9">
        <f>IF(OR(AL52="",AM52="",AL52="-",AM52="-"),"-",AL52-AM52)</f>
        <v>-0.29999999999999716</v>
      </c>
      <c r="AO52" s="17">
        <v>55.7</v>
      </c>
      <c r="AP52" s="17">
        <v>55.2</v>
      </c>
      <c r="AQ52" s="9">
        <f>IF(OR(AO52="",AP52="",AO52="-",AP52="-"),"-",AO52-AP52)</f>
        <v>0.5</v>
      </c>
      <c r="AR52" s="17">
        <v>55.3</v>
      </c>
      <c r="AS52" s="17">
        <v>55.1</v>
      </c>
      <c r="AT52" s="9">
        <f>IF(OR(AR52="",AS52="",AR52="-",AS52="-"),"-",AR52-AS52)</f>
        <v>0.19999999999999574</v>
      </c>
      <c r="AU52" s="17">
        <v>54.8</v>
      </c>
      <c r="AV52" s="17">
        <v>54.8</v>
      </c>
      <c r="AW52" s="9">
        <f>IF(OR(AU52="",AV52="",AU52="-",AV52="-"),"-",AU52-AV52)</f>
        <v>0</v>
      </c>
      <c r="AX52" s="17">
        <v>51.7</v>
      </c>
      <c r="AY52" s="17">
        <v>51.7</v>
      </c>
      <c r="AZ52" s="9">
        <f>IF(OR(AX52="",AY52="",AX52="-",AY52="-"),"-",AX52-AY52)</f>
        <v>0</v>
      </c>
    </row>
    <row r="53" spans="1:52" x14ac:dyDescent="0.25">
      <c r="A53" s="237" t="s">
        <v>129</v>
      </c>
      <c r="B53" s="229"/>
      <c r="C53" s="229"/>
      <c r="D53" s="221" t="str">
        <f>IF(OR(B53="",C53="",B53="-",C53="-"),"-",B53-C53)</f>
        <v>-</v>
      </c>
      <c r="E53" s="229">
        <v>51.6</v>
      </c>
      <c r="F53" s="229">
        <v>47.9</v>
      </c>
      <c r="G53" s="221">
        <f>IF(OR(E53="",F53="",E53="-",F53="-"),"-",E53-F53)</f>
        <v>3.7000000000000028</v>
      </c>
      <c r="H53" s="229">
        <v>47.9</v>
      </c>
      <c r="I53" s="229">
        <v>48.2</v>
      </c>
      <c r="J53" s="221">
        <f>IF(OR(H53="",I53="",H53="-",I53="-"),"-",H53-I53)</f>
        <v>-0.30000000000000426</v>
      </c>
      <c r="K53" s="229">
        <v>48.2</v>
      </c>
      <c r="L53" s="229"/>
      <c r="M53" s="221" t="str">
        <f>IF(OR(K53="",L53="",K53="-",L53="-"),"-",K53-L53)</f>
        <v>-</v>
      </c>
      <c r="N53" s="229">
        <v>49.1</v>
      </c>
      <c r="O53" s="229">
        <v>48.7</v>
      </c>
      <c r="P53" s="221">
        <f>IF(OR(N53="",O53="",N53="-",O53="-"),"-",N53-O53)</f>
        <v>0.39999999999999858</v>
      </c>
      <c r="Q53" s="229">
        <v>48.7</v>
      </c>
      <c r="R53" s="229">
        <v>49</v>
      </c>
      <c r="S53" s="221">
        <f>IF(OR(Q53="",R53="",Q53="-",R53="-"),"-",Q53-R53)</f>
        <v>-0.29999999999999716</v>
      </c>
      <c r="T53" s="229">
        <v>49</v>
      </c>
      <c r="U53" s="229">
        <v>48.5</v>
      </c>
      <c r="V53" s="221">
        <f>IF(OR(T53="",U53="",T53="-",U53="-"),"-",T53-U53)</f>
        <v>0.5</v>
      </c>
      <c r="W53" s="229">
        <v>48.5</v>
      </c>
      <c r="X53" s="229">
        <v>48.7</v>
      </c>
      <c r="Y53" s="221">
        <f>IF(OR(W53="",X53="",W53="-",X53="-"),"-",W53-X53)</f>
        <v>-0.20000000000000284</v>
      </c>
      <c r="Z53" s="17">
        <v>48.7</v>
      </c>
      <c r="AA53" s="17">
        <v>50.3</v>
      </c>
      <c r="AB53" s="9">
        <f>IF(OR(Z53="",AA53="",Z53="-",AA53="-"),"-",Z53-AA53)</f>
        <v>-1.5999999999999943</v>
      </c>
      <c r="AC53" s="17">
        <v>50.3</v>
      </c>
      <c r="AD53" s="17">
        <v>49.3</v>
      </c>
      <c r="AE53" s="9">
        <f>IF(OR(AC53="",AD53="",AC53="-",AD53="-"),"-",AC53-AD53)</f>
        <v>1</v>
      </c>
      <c r="AF53" s="17">
        <v>49.3</v>
      </c>
      <c r="AG53" s="17">
        <v>48.4</v>
      </c>
      <c r="AH53" s="9">
        <f>IF(OR(AF53="",AG53="",AF53="-",AG53="-"),"-",AF53-AG53)</f>
        <v>0.89999999999999858</v>
      </c>
      <c r="AI53" s="17">
        <v>48.4</v>
      </c>
      <c r="AJ53" s="17">
        <v>46.5</v>
      </c>
      <c r="AK53" s="9">
        <f>IF(OR(AI53="",AJ53="",AI53="-",AJ53="-"),"-",AI53-AJ53)</f>
        <v>1.8999999999999986</v>
      </c>
      <c r="AL53" s="17">
        <v>46.5</v>
      </c>
      <c r="AM53" s="17">
        <v>47.2</v>
      </c>
      <c r="AN53" s="9">
        <f>IF(OR(AL53="",AM53="",AL53="-",AM53="-"),"-",AL53-AM53)</f>
        <v>-0.70000000000000284</v>
      </c>
      <c r="AO53" s="17">
        <v>47.2</v>
      </c>
      <c r="AP53" s="17">
        <v>46.8</v>
      </c>
      <c r="AQ53" s="9">
        <f>IF(OR(AO53="",AP53="",AO53="-",AP53="-"),"-",AO53-AP53)</f>
        <v>0.40000000000000568</v>
      </c>
      <c r="AR53" s="17">
        <v>48.5</v>
      </c>
      <c r="AS53" s="17">
        <v>48.7</v>
      </c>
      <c r="AT53" s="9">
        <f>IF(OR(AR53="",AS53="",AR53="-",AS53="-"),"-",AR53-AS53)</f>
        <v>-0.20000000000000284</v>
      </c>
      <c r="AU53" s="17">
        <v>49.2</v>
      </c>
      <c r="AV53" s="17">
        <v>50.3</v>
      </c>
      <c r="AW53" s="9">
        <f>IF(OR(AU53="",AV53="",AU53="-",AV53="-"),"-",AU53-AV53)</f>
        <v>-1.0999999999999943</v>
      </c>
      <c r="AX53" s="95">
        <v>49.2</v>
      </c>
      <c r="AY53" s="17">
        <v>47.8</v>
      </c>
      <c r="AZ53" s="9">
        <f>IF(OR(AX53="",AY53="",AX53="-",AY53="-"),"-",AX53-AY53)</f>
        <v>1.4000000000000057</v>
      </c>
    </row>
    <row r="54" spans="1:52" x14ac:dyDescent="0.25">
      <c r="A54" s="237" t="s">
        <v>130</v>
      </c>
      <c r="B54" s="229"/>
      <c r="C54" s="229"/>
      <c r="D54" s="230" t="str">
        <f>IF(OR(B54="",C54="",B54="-",C54="-"),"-",B54-C54)</f>
        <v>-</v>
      </c>
      <c r="E54" s="229">
        <v>54</v>
      </c>
      <c r="F54" s="229">
        <v>56.1</v>
      </c>
      <c r="G54" s="230">
        <f>IF(OR(E54="",F54="",E54="-",F54="-"),"-",E54-F54)</f>
        <v>-2.1000000000000014</v>
      </c>
      <c r="H54" s="229"/>
      <c r="I54" s="229"/>
      <c r="J54" s="230" t="str">
        <f>IF(OR(H54="",I54="",H54="-",I54="-"),"-",H54-I54)</f>
        <v>-</v>
      </c>
      <c r="K54" s="229"/>
      <c r="L54" s="229"/>
      <c r="M54" s="230" t="str">
        <f>IF(OR(K54="",L54="",K54="-",L54="-"),"-",K54-L54)</f>
        <v>-</v>
      </c>
      <c r="N54" s="229"/>
      <c r="O54" s="229"/>
      <c r="P54" s="230" t="str">
        <f>IF(OR(N54="",O54="",N54="-",O54="-"),"-",N54-O54)</f>
        <v>-</v>
      </c>
      <c r="Q54" s="229"/>
      <c r="R54" s="229"/>
      <c r="S54" s="230" t="str">
        <f>IF(OR(Q54="",R54="",Q54="-",R54="-"),"-",Q54-R54)</f>
        <v>-</v>
      </c>
      <c r="T54" s="229"/>
      <c r="U54" s="229"/>
      <c r="V54" s="230" t="str">
        <f>IF(OR(T54="",U54="",T54="-",U54="-"),"-",T54-U54)</f>
        <v>-</v>
      </c>
      <c r="W54" s="229">
        <v>69.400000000000006</v>
      </c>
      <c r="X54" s="229">
        <v>69.8</v>
      </c>
      <c r="Y54" s="230">
        <f>IF(OR(W54="",X54="",W54="-",X54="-"),"-",W54-X54)</f>
        <v>-0.39999999999999147</v>
      </c>
      <c r="Z54" s="17"/>
      <c r="AA54" s="17"/>
      <c r="AB54" s="25" t="str">
        <f>IF(OR(Z54="",AA54="",Z54="-",AA54="-"),"-",Z54-AA54)</f>
        <v>-</v>
      </c>
      <c r="AC54" s="17"/>
      <c r="AD54" s="17"/>
      <c r="AE54" s="25" t="str">
        <f>IF(OR(AC54="",AD54="",AC54="-",AD54="-"),"-",AC54-AD54)</f>
        <v>-</v>
      </c>
      <c r="AF54" s="17"/>
      <c r="AG54" s="17"/>
      <c r="AH54" s="25" t="str">
        <f>IF(OR(AF54="",AG54="",AF54="-",AG54="-"),"-",AF54-AG54)</f>
        <v>-</v>
      </c>
      <c r="AI54" s="17"/>
      <c r="AJ54" s="17"/>
      <c r="AK54" s="25" t="str">
        <f>IF(OR(AI54="",AJ54="",AI54="-",AJ54="-"),"-",AI54-AJ54)</f>
        <v>-</v>
      </c>
      <c r="AL54" s="17"/>
      <c r="AM54" s="17"/>
      <c r="AN54" s="25" t="str">
        <f>IF(OR(AL54="",AM54="",AL54="-",AM54="-"),"-",AL54-AM54)</f>
        <v>-</v>
      </c>
      <c r="AO54" s="17"/>
      <c r="AP54" s="17"/>
      <c r="AQ54" s="25" t="str">
        <f>IF(OR(AO54="",AP54="",AO54="-",AP54="-"),"-",AO54-AP54)</f>
        <v>-</v>
      </c>
      <c r="AR54" s="17"/>
      <c r="AS54" s="17"/>
      <c r="AT54" s="25" t="str">
        <f>IF(OR(AR54="",AS54="",AR54="-",AS54="-"),"-",AR54-AS54)</f>
        <v>-</v>
      </c>
      <c r="AU54" s="17"/>
      <c r="AV54" s="17"/>
      <c r="AW54" s="25" t="str">
        <f>IF(OR(AU54="",AV54="",AU54="-",AV54="-"),"-",AU54-AV54)</f>
        <v>-</v>
      </c>
      <c r="AX54" s="17"/>
      <c r="AY54" s="17"/>
      <c r="AZ54" s="25" t="str">
        <f>IF(OR(AX54="",AY54="",AX54="-",AY54="-"),"-",AX54-AY54)</f>
        <v>-</v>
      </c>
    </row>
    <row r="55" spans="1:52" x14ac:dyDescent="0.25">
      <c r="A55" s="237" t="s">
        <v>131</v>
      </c>
      <c r="B55" s="229"/>
      <c r="C55" s="229"/>
      <c r="D55" s="221" t="str">
        <f>IF(OR(B55="",C55="",B55="-",C55="-"),"-",B55-C55)</f>
        <v>-</v>
      </c>
      <c r="E55" s="229"/>
      <c r="F55" s="229"/>
      <c r="G55" s="221" t="str">
        <f>IF(OR(E55="",F55="",E55="-",F55="-"),"-",E55-F55)</f>
        <v>-</v>
      </c>
      <c r="H55" s="229">
        <v>54.4</v>
      </c>
      <c r="I55" s="229">
        <v>52.6</v>
      </c>
      <c r="J55" s="221">
        <f>IF(OR(H55="",I55="",H55="-",I55="-"),"-",H55-I55)</f>
        <v>1.7999999999999972</v>
      </c>
      <c r="K55" s="229">
        <v>52.6</v>
      </c>
      <c r="L55" s="229"/>
      <c r="M55" s="221" t="str">
        <f>IF(OR(K55="",L55="",K55="-",L55="-"),"-",K55-L55)</f>
        <v>-</v>
      </c>
      <c r="N55" s="229">
        <v>50</v>
      </c>
      <c r="O55" s="229">
        <v>52</v>
      </c>
      <c r="P55" s="221">
        <f>IF(OR(N55="",O55="",N55="-",O55="-"),"-",N55-O55)</f>
        <v>-2</v>
      </c>
      <c r="Q55" s="229">
        <v>52</v>
      </c>
      <c r="R55" s="229">
        <v>50.8</v>
      </c>
      <c r="S55" s="221">
        <f>IF(OR(Q55="",R55="",Q55="-",R55="-"),"-",Q55-R55)</f>
        <v>1.2000000000000028</v>
      </c>
      <c r="T55" s="229">
        <v>50.8</v>
      </c>
      <c r="U55" s="229">
        <v>49.9</v>
      </c>
      <c r="V55" s="221">
        <f>IF(OR(T55="",U55="",T55="-",U55="-"),"-",T55-U55)</f>
        <v>0.89999999999999858</v>
      </c>
      <c r="W55" s="229">
        <v>49.9</v>
      </c>
      <c r="X55" s="229">
        <v>51.6</v>
      </c>
      <c r="Y55" s="221">
        <f>IF(OR(W55="",X55="",W55="-",X55="-"),"-",W55-X55)</f>
        <v>-1.7000000000000028</v>
      </c>
      <c r="Z55" s="17">
        <v>51.6</v>
      </c>
      <c r="AA55" s="17">
        <v>53.5</v>
      </c>
      <c r="AB55" s="9">
        <f>IF(OR(Z55="",AA55="",Z55="-",AA55="-"),"-",Z55-AA55)</f>
        <v>-1.8999999999999986</v>
      </c>
      <c r="AC55" s="17">
        <v>53.5</v>
      </c>
      <c r="AD55" s="17">
        <v>54.1</v>
      </c>
      <c r="AE55" s="9">
        <f>IF(OR(AC55="",AD55="",AC55="-",AD55="-"),"-",AC55-AD55)</f>
        <v>-0.60000000000000142</v>
      </c>
      <c r="AF55" s="17">
        <v>54.1</v>
      </c>
      <c r="AG55" s="17">
        <v>52.1</v>
      </c>
      <c r="AH55" s="9">
        <f>IF(OR(AF55="",AG55="",AF55="-",AG55="-"),"-",AF55-AG55)</f>
        <v>2</v>
      </c>
      <c r="AI55" s="17">
        <v>52.1</v>
      </c>
      <c r="AJ55" s="17">
        <v>56</v>
      </c>
      <c r="AK55" s="9">
        <f>IF(OR(AI55="",AJ55="",AI55="-",AJ55="-"),"-",AI55-AJ55)</f>
        <v>-3.8999999999999986</v>
      </c>
      <c r="AL55" s="17">
        <v>56</v>
      </c>
      <c r="AM55" s="17">
        <v>54.9</v>
      </c>
      <c r="AN55" s="9">
        <f>IF(OR(AL55="",AM55="",AL55="-",AM55="-"),"-",AL55-AM55)</f>
        <v>1.1000000000000014</v>
      </c>
      <c r="AO55" s="17">
        <v>51.5</v>
      </c>
      <c r="AP55" s="17">
        <v>51.4</v>
      </c>
      <c r="AQ55" s="9">
        <f>IF(OR(AO55="",AP55="",AO55="-",AP55="-"),"-",AO55-AP55)</f>
        <v>0.10000000000000142</v>
      </c>
      <c r="AR55" s="17">
        <v>48.8</v>
      </c>
      <c r="AS55" s="17">
        <v>53.8</v>
      </c>
      <c r="AT55" s="9">
        <f>IF(OR(AR55="",AS55="",AR55="-",AS55="-"),"-",AR55-AS55)</f>
        <v>-5</v>
      </c>
      <c r="AU55" s="17">
        <v>53.8</v>
      </c>
      <c r="AV55" s="17">
        <v>49.4</v>
      </c>
      <c r="AW55" s="9">
        <f>IF(OR(AU55="",AV55="",AU55="-",AV55="-"),"-",AU55-AV55)</f>
        <v>4.3999999999999986</v>
      </c>
      <c r="AX55" s="17">
        <v>51.4</v>
      </c>
      <c r="AY55" s="17">
        <v>52.6</v>
      </c>
      <c r="AZ55" s="9">
        <f>IF(OR(AX55="",AY55="",AX55="-",AY55="-"),"-",AX55-AY55)</f>
        <v>-1.2000000000000028</v>
      </c>
    </row>
    <row r="56" spans="1:52" x14ac:dyDescent="0.25">
      <c r="A56" s="237" t="s">
        <v>132</v>
      </c>
      <c r="B56" s="229"/>
      <c r="C56" s="229"/>
      <c r="D56" s="221" t="str">
        <f>IF(OR(B56="",C56="",B56="-",C56="-"),"-",B56-C56)</f>
        <v>-</v>
      </c>
      <c r="E56" s="229">
        <v>54</v>
      </c>
      <c r="F56" s="229">
        <v>43.5</v>
      </c>
      <c r="G56" s="221">
        <f>IF(OR(E56="",F56="",E56="-",F56="-"),"-",E56-F56)</f>
        <v>10.5</v>
      </c>
      <c r="H56" s="229">
        <v>43.5</v>
      </c>
      <c r="I56" s="229">
        <v>36.299999999999997</v>
      </c>
      <c r="J56" s="221">
        <f>IF(OR(H56="",I56="",H56="-",I56="-"),"-",H56-I56)</f>
        <v>7.2000000000000028</v>
      </c>
      <c r="K56" s="229">
        <v>36.299999999999997</v>
      </c>
      <c r="L56" s="229"/>
      <c r="M56" s="221" t="str">
        <f>IF(OR(K56="",L56="",K56="-",L56="-"),"-",K56-L56)</f>
        <v>-</v>
      </c>
      <c r="N56" s="229">
        <v>40.6</v>
      </c>
      <c r="O56" s="229">
        <v>41.5</v>
      </c>
      <c r="P56" s="221">
        <f>IF(OR(N56="",O56="",N56="-",O56="-"),"-",N56-O56)</f>
        <v>-0.89999999999999858</v>
      </c>
      <c r="Q56" s="229">
        <v>41.5</v>
      </c>
      <c r="R56" s="229">
        <v>40.4</v>
      </c>
      <c r="S56" s="221">
        <f>IF(OR(Q56="",R56="",Q56="-",R56="-"),"-",Q56-R56)</f>
        <v>1.1000000000000014</v>
      </c>
      <c r="T56" s="229">
        <v>40.4</v>
      </c>
      <c r="U56" s="229">
        <v>40.5</v>
      </c>
      <c r="V56" s="221">
        <f>IF(OR(T56="",U56="",T56="-",U56="-"),"-",T56-U56)</f>
        <v>-0.10000000000000142</v>
      </c>
      <c r="W56" s="229">
        <v>40.5</v>
      </c>
      <c r="X56" s="229">
        <v>44.6</v>
      </c>
      <c r="Y56" s="221">
        <f>IF(OR(W56="",X56="",W56="-",X56="-"),"-",W56-X56)</f>
        <v>-4.1000000000000014</v>
      </c>
      <c r="Z56" s="17">
        <v>44.6</v>
      </c>
      <c r="AA56" s="17">
        <v>45.5</v>
      </c>
      <c r="AB56" s="9">
        <f>IF(OR(Z56="",AA56="",Z56="-",AA56="-"),"-",Z56-AA56)</f>
        <v>-0.89999999999999858</v>
      </c>
      <c r="AC56" s="17">
        <v>45.5</v>
      </c>
      <c r="AD56" s="17">
        <v>39.5</v>
      </c>
      <c r="AE56" s="9">
        <f>IF(OR(AC56="",AD56="",AC56="-",AD56="-"),"-",AC56-AD56)</f>
        <v>6</v>
      </c>
      <c r="AF56" s="17"/>
      <c r="AG56" s="17"/>
      <c r="AH56" s="9" t="str">
        <f>IF(OR(AF56="",AG56="",AF56="-",AG56="-"),"-",AF56-AG56)</f>
        <v>-</v>
      </c>
      <c r="AI56" s="17">
        <v>40.200000000000003</v>
      </c>
      <c r="AJ56" s="17">
        <v>41.6</v>
      </c>
      <c r="AK56" s="9">
        <f>IF(OR(AI56="",AJ56="",AI56="-",AJ56="-"),"-",AI56-AJ56)</f>
        <v>-1.3999999999999986</v>
      </c>
      <c r="AL56" s="17">
        <v>41.5</v>
      </c>
      <c r="AM56" s="17">
        <v>46.6</v>
      </c>
      <c r="AN56" s="9">
        <f>IF(OR(AL56="",AM56="",AL56="-",AM56="-"),"-",AL56-AM56)</f>
        <v>-5.1000000000000014</v>
      </c>
      <c r="AO56" s="17">
        <v>46.1</v>
      </c>
      <c r="AP56" s="17">
        <v>45.3</v>
      </c>
      <c r="AQ56" s="9">
        <f>IF(OR(AO56="",AP56="",AO56="-",AP56="-"),"-",AO56-AP56)</f>
        <v>0.80000000000000426</v>
      </c>
      <c r="AR56" s="17">
        <v>45.3</v>
      </c>
      <c r="AS56" s="17">
        <v>47.4</v>
      </c>
      <c r="AT56" s="9">
        <f>IF(OR(AR56="",AS56="",AR56="-",AS56="-"),"-",AR56-AS56)</f>
        <v>-2.1000000000000014</v>
      </c>
      <c r="AU56" s="17"/>
      <c r="AV56" s="17"/>
      <c r="AW56" s="9" t="str">
        <f>IF(OR(AU56="",AV56="",AU56="-",AV56="-"),"-",AU56-AV56)</f>
        <v>-</v>
      </c>
      <c r="AX56" s="95">
        <v>37.9</v>
      </c>
      <c r="AY56" s="17">
        <v>44</v>
      </c>
      <c r="AZ56" s="9">
        <f>IF(OR(AX56="",AY56="",AX56="-",AY56="-"),"-",AX56-AY56)</f>
        <v>-6.1000000000000014</v>
      </c>
    </row>
    <row r="57" spans="1:52" x14ac:dyDescent="0.25">
      <c r="A57" s="237" t="s">
        <v>133</v>
      </c>
      <c r="B57" s="229"/>
      <c r="C57" s="229"/>
      <c r="D57" s="221" t="str">
        <f>IF(OR(B57="",C57="",B57="-",C57="-"),"-",B57-C57)</f>
        <v>-</v>
      </c>
      <c r="E57" s="229">
        <v>-56.8</v>
      </c>
      <c r="F57" s="229">
        <v>-29.2</v>
      </c>
      <c r="G57" s="221">
        <f>IF(OR(E57="",F57="",E57="-",F57="-"),"-",E57-F57)</f>
        <v>-27.599999999999998</v>
      </c>
      <c r="H57" s="229">
        <v>-29.4</v>
      </c>
      <c r="I57" s="229">
        <v>-48.1</v>
      </c>
      <c r="J57" s="221">
        <f>IF(OR(H57="",I57="",H57="-",I57="-"),"-",H57-I57)</f>
        <v>18.700000000000003</v>
      </c>
      <c r="K57" s="229">
        <v>-48.1</v>
      </c>
      <c r="L57" s="229"/>
      <c r="M57" s="221" t="str">
        <f>IF(OR(K57="",L57="",K57="-",L57="-"),"-",K57-L57)</f>
        <v>-</v>
      </c>
      <c r="N57" s="229"/>
      <c r="O57" s="229"/>
      <c r="P57" s="221" t="str">
        <f>IF(OR(N57="",O57="",N57="-",O57="-"),"-",N57-O57)</f>
        <v>-</v>
      </c>
      <c r="Q57" s="229">
        <v>-78.3</v>
      </c>
      <c r="R57" s="229">
        <v>-71.7</v>
      </c>
      <c r="S57" s="221">
        <f>IF(OR(Q57="",R57="",Q57="-",R57="-"),"-",Q57-R57)</f>
        <v>-6.5999999999999943</v>
      </c>
      <c r="T57" s="229">
        <v>-71.5</v>
      </c>
      <c r="U57" s="229">
        <v>-60.3</v>
      </c>
      <c r="V57" s="221">
        <f>IF(OR(T57="",U57="",T57="-",U57="-"),"-",T57-U57)</f>
        <v>-11.200000000000003</v>
      </c>
      <c r="W57" s="229">
        <v>-61.6</v>
      </c>
      <c r="X57" s="229">
        <v>-138.30000000000001</v>
      </c>
      <c r="Y57" s="221">
        <f>IF(OR(W57="",X57="",W57="-",X57="-"),"-",W57-X57)</f>
        <v>76.700000000000017</v>
      </c>
      <c r="Z57" s="17">
        <v>-140.5</v>
      </c>
      <c r="AA57" s="17">
        <v>-130.69999999999999</v>
      </c>
      <c r="AB57" s="9">
        <f>IF(OR(Z57="",AA57="",Z57="-",AA57="-"),"-",Z57-AA57)</f>
        <v>-9.8000000000000114</v>
      </c>
      <c r="AC57" s="17">
        <v>-131.4</v>
      </c>
      <c r="AD57" s="17">
        <v>-98.1</v>
      </c>
      <c r="AE57" s="9">
        <f>IF(OR(AC57="",AD57="",AC57="-",AD57="-"),"-",AC57-AD57)</f>
        <v>-33.300000000000011</v>
      </c>
      <c r="AF57" s="17">
        <v>-78.2</v>
      </c>
      <c r="AG57" s="17">
        <v>-73.599999999999994</v>
      </c>
      <c r="AH57" s="9">
        <f>IF(OR(AF57="",AG57="",AF57="-",AG57="-"),"-",AF57-AG57)</f>
        <v>-4.6000000000000085</v>
      </c>
      <c r="AI57" s="17">
        <v>-73.8</v>
      </c>
      <c r="AJ57" s="17">
        <v>-84.4</v>
      </c>
      <c r="AK57" s="9">
        <f>IF(OR(AI57="",AJ57="",AI57="-",AJ57="-"),"-",AI57-AJ57)</f>
        <v>10.600000000000009</v>
      </c>
      <c r="AL57" s="17">
        <v>-84.4</v>
      </c>
      <c r="AM57" s="17">
        <v>-70.8</v>
      </c>
      <c r="AN57" s="9">
        <f>IF(OR(AL57="",AM57="",AL57="-",AM57="-"),"-",AL57-AM57)</f>
        <v>-13.600000000000009</v>
      </c>
      <c r="AO57" s="17">
        <v>-78.8</v>
      </c>
      <c r="AP57" s="17">
        <v>-73</v>
      </c>
      <c r="AQ57" s="9">
        <f>IF(OR(AO57="",AP57="",AO57="-",AP57="-"),"-",AO57-AP57)</f>
        <v>-5.7999999999999972</v>
      </c>
      <c r="AR57" s="17">
        <v>-75.099999999999994</v>
      </c>
      <c r="AS57" s="17">
        <v>-74.5</v>
      </c>
      <c r="AT57" s="9">
        <f>IF(OR(AR57="",AS57="",AR57="-",AS57="-"),"-",AR57-AS57)</f>
        <v>-0.59999999999999432</v>
      </c>
      <c r="AU57" s="17">
        <v>-74.599999999999994</v>
      </c>
      <c r="AV57" s="17">
        <v>-68.599999999999994</v>
      </c>
      <c r="AW57" s="9">
        <f>IF(OR(AU57="",AV57="",AU57="-",AV57="-"),"-",AU57-AV57)</f>
        <v>-6</v>
      </c>
      <c r="AX57" s="17">
        <v>-68.900000000000006</v>
      </c>
      <c r="AY57" s="17">
        <v>-67.599999999999994</v>
      </c>
      <c r="AZ57" s="9">
        <f>IF(OR(AX57="",AY57="",AX57="-",AY57="-"),"-",AX57-AY57)</f>
        <v>-1.3000000000000114</v>
      </c>
    </row>
    <row r="58" spans="1:52" x14ac:dyDescent="0.25">
      <c r="A58" s="241" t="s">
        <v>134</v>
      </c>
      <c r="B58" s="223"/>
      <c r="C58" s="223"/>
      <c r="D58" s="215" t="str">
        <f>IF(OR(B58="",C58="",B58="-",C58="-"),"-",B58-C58)</f>
        <v>-</v>
      </c>
      <c r="E58" s="223">
        <v>4.0000000000000001E-3</v>
      </c>
      <c r="F58" s="223">
        <v>0</v>
      </c>
      <c r="G58" s="215">
        <f>IF(OR(E58="",F58="",E58="-",F58="-"),"-",E58-F58)</f>
        <v>4.0000000000000001E-3</v>
      </c>
      <c r="H58" s="225">
        <v>4.0000000000000001E-3</v>
      </c>
      <c r="I58" s="225">
        <v>4.0000000000000001E-3</v>
      </c>
      <c r="J58" s="215">
        <f>IF(OR(H58="",I58="",H58="-",I58="-"),"-",H58-I58)</f>
        <v>0</v>
      </c>
      <c r="K58" s="225">
        <v>4.0000000000000001E-3</v>
      </c>
      <c r="L58" s="223"/>
      <c r="M58" s="215" t="str">
        <f>IF(OR(K58="",L58="",K58="-",L58="-"),"-",K58-L58)</f>
        <v>-</v>
      </c>
      <c r="N58" s="225"/>
      <c r="O58" s="225"/>
      <c r="P58" s="215" t="str">
        <f>IF(OR(N58="",O58="",N58="-",O58="-"),"-",N58-O58)</f>
        <v>-</v>
      </c>
      <c r="Q58" s="225">
        <v>1E-3</v>
      </c>
      <c r="R58" s="225">
        <v>-4.0000000000000001E-3</v>
      </c>
      <c r="S58" s="215">
        <f>IF(OR(Q58="",R58="",Q58="-",R58="-"),"-",Q58-R58)</f>
        <v>5.0000000000000001E-3</v>
      </c>
      <c r="T58" s="225">
        <v>3.0000000000000001E-3</v>
      </c>
      <c r="U58" s="228">
        <v>0</v>
      </c>
      <c r="V58" s="215">
        <f>IF(OR(T58="",U58="",T58="-",U58="-"),"-",T58-U58)</f>
        <v>3.0000000000000001E-3</v>
      </c>
      <c r="W58" s="225">
        <v>-2E-3</v>
      </c>
      <c r="X58" s="225">
        <v>-3.0000000000000001E-3</v>
      </c>
      <c r="Y58" s="215">
        <f>IF(OR(W58="",X58="",W58="-",X58="-"),"-",W58-X58)</f>
        <v>1E-3</v>
      </c>
      <c r="Z58" s="24">
        <v>3.0000000000000001E-3</v>
      </c>
      <c r="AA58" s="24">
        <v>8.0000000000000002E-3</v>
      </c>
      <c r="AB58" s="4">
        <f>IF(OR(Z58="",AA58="",Z58="-",AA58="-"),"-",Z58-AA58)</f>
        <v>-5.0000000000000001E-3</v>
      </c>
      <c r="AC58" s="24">
        <v>7.0000000000000001E-3</v>
      </c>
      <c r="AD58" s="94">
        <v>0.01</v>
      </c>
      <c r="AE58" s="4">
        <f>IF(OR(AC58="",AD58="",AC58="-",AD58="-"),"-",AC58-AD58)</f>
        <v>-3.0000000000000001E-3</v>
      </c>
      <c r="AF58" s="24">
        <v>8.9999999999999993E-3</v>
      </c>
      <c r="AG58" s="24">
        <v>2E-3</v>
      </c>
      <c r="AH58" s="4">
        <f>IF(OR(AF58="",AG58="",AF58="-",AG58="-"),"-",AF58-AG58)</f>
        <v>6.9999999999999993E-3</v>
      </c>
      <c r="AI58" s="24">
        <v>-1E-3</v>
      </c>
      <c r="AJ58" s="24">
        <v>-5.0000000000000001E-3</v>
      </c>
      <c r="AK58" s="4">
        <f>IF(OR(AI58="",AJ58="",AI58="-",AJ58="-"),"-",AI58-AJ58)</f>
        <v>4.0000000000000001E-3</v>
      </c>
      <c r="AL58" s="24">
        <v>-3.0000000000000001E-3</v>
      </c>
      <c r="AM58" s="24">
        <v>3.0000000000000001E-3</v>
      </c>
      <c r="AN58" s="4">
        <f>IF(OR(AL58="",AM58="",AL58="-",AM58="-"),"-",AL58-AM58)</f>
        <v>-6.0000000000000001E-3</v>
      </c>
      <c r="AO58" s="24">
        <v>8.0000000000000002E-3</v>
      </c>
      <c r="AP58" s="24">
        <v>-8.9999999999999993E-3</v>
      </c>
      <c r="AQ58" s="4">
        <f>IF(OR(AO58="",AP58="",AO58="-",AP58="-"),"-",AO58-AP58)</f>
        <v>1.7000000000000001E-2</v>
      </c>
      <c r="AR58" s="24">
        <v>6.0000000000000001E-3</v>
      </c>
      <c r="AS58" s="94">
        <v>8.9999999999999993E-3</v>
      </c>
      <c r="AT58" s="4">
        <f>IF(OR(AR58="",AS58="",AR58="-",AS58="-"),"-",AR58-AS58)</f>
        <v>-2.9999999999999992E-3</v>
      </c>
      <c r="AU58" s="94">
        <v>0</v>
      </c>
      <c r="AV58" s="94">
        <v>1E-3</v>
      </c>
      <c r="AW58" s="4">
        <f>IF(OR(AU58="",AV58="",AU58="-",AV58="-"),"-",AU58-AV58)</f>
        <v>-1E-3</v>
      </c>
      <c r="AX58" s="24">
        <v>4.0000000000000001E-3</v>
      </c>
      <c r="AY58" s="24">
        <v>4.0000000000000001E-3</v>
      </c>
      <c r="AZ58" s="4">
        <f>IF(OR(AX58="",AY58="",AX58="-",AY58="-"),"-",AX58-AY58)</f>
        <v>0</v>
      </c>
    </row>
    <row r="59" spans="1:52" x14ac:dyDescent="0.25">
      <c r="A59" s="241" t="s">
        <v>135</v>
      </c>
      <c r="B59" s="223"/>
      <c r="C59" s="223"/>
      <c r="D59" s="217" t="str">
        <f>IF(OR(B59="",C59="",B59="-",C59="-"),"-",B59-C59)</f>
        <v>-</v>
      </c>
      <c r="E59" s="223">
        <v>3.37</v>
      </c>
      <c r="F59" s="223">
        <v>-59</v>
      </c>
      <c r="G59" s="217">
        <f>IF(OR(E59="",F59="",E59="-",F59="-"),"-",E59-F59)</f>
        <v>62.37</v>
      </c>
      <c r="H59" s="223">
        <v>-59.1</v>
      </c>
      <c r="I59" s="223">
        <v>-78.3</v>
      </c>
      <c r="J59" s="217">
        <f>IF(OR(H59="",I59="",H59="-",I59="-"),"-",H59-I59)</f>
        <v>19.199999999999996</v>
      </c>
      <c r="K59" s="223">
        <v>-78.3</v>
      </c>
      <c r="L59" s="223"/>
      <c r="M59" s="217" t="str">
        <f>IF(OR(K59="",L59="",K59="-",L59="-"),"-",K59-L59)</f>
        <v>-</v>
      </c>
      <c r="N59" s="223">
        <v>-85.5</v>
      </c>
      <c r="O59" s="223">
        <v>-102.8</v>
      </c>
      <c r="P59" s="217">
        <f>IF(OR(N59="",O59="",N59="-",O59="-"),"-",N59-O59)</f>
        <v>17.299999999999997</v>
      </c>
      <c r="Q59" s="223">
        <v>-103.6</v>
      </c>
      <c r="R59" s="223">
        <v>-84.9</v>
      </c>
      <c r="S59" s="217">
        <f>IF(OR(Q59="",R59="",Q59="-",R59="-"),"-",Q59-R59)</f>
        <v>-18.699999999999989</v>
      </c>
      <c r="T59" s="223">
        <v>-86</v>
      </c>
      <c r="U59" s="223">
        <v>-87</v>
      </c>
      <c r="V59" s="217">
        <f>IF(OR(T59="",U59="",T59="-",U59="-"),"-",T59-U59)</f>
        <v>1</v>
      </c>
      <c r="W59" s="223">
        <v>-87.6</v>
      </c>
      <c r="X59" s="223">
        <v>-163.19999999999999</v>
      </c>
      <c r="Y59" s="217">
        <f>IF(OR(W59="",X59="",W59="-",X59="-"),"-",W59-X59)</f>
        <v>75.599999999999994</v>
      </c>
      <c r="Z59" s="5">
        <v>-162</v>
      </c>
      <c r="AA59" s="5">
        <v>-155.6</v>
      </c>
      <c r="AB59" s="10">
        <f>IF(OR(Z59="",AA59="",Z59="-",AA59="-"),"-",Z59-AA59)</f>
        <v>-6.4000000000000057</v>
      </c>
      <c r="AC59" s="5">
        <v>-153.30000000000001</v>
      </c>
      <c r="AD59" s="5">
        <v>-122</v>
      </c>
      <c r="AE59" s="10">
        <f>IF(OR(AC59="",AD59="",AC59="-",AD59="-"),"-",AC59-AD59)</f>
        <v>-31.300000000000011</v>
      </c>
      <c r="AF59" s="5">
        <v>-122.1</v>
      </c>
      <c r="AG59" s="5">
        <v>-98.3</v>
      </c>
      <c r="AH59" s="10">
        <f>IF(OR(AF59="",AG59="",AF59="-",AG59="-"),"-",AF59-AG59)</f>
        <v>-23.799999999999997</v>
      </c>
      <c r="AI59" s="5">
        <v>-99.1</v>
      </c>
      <c r="AJ59" s="5">
        <v>-108.7</v>
      </c>
      <c r="AK59" s="10">
        <f>IF(OR(AI59="",AJ59="",AI59="-",AJ59="-"),"-",AI59-AJ59)</f>
        <v>9.6000000000000085</v>
      </c>
      <c r="AL59" s="5">
        <v>-108.2</v>
      </c>
      <c r="AM59" s="5">
        <v>-94.2</v>
      </c>
      <c r="AN59" s="10">
        <f>IF(OR(AL59="",AM59="",AL59="-",AM59="-"),"-",AL59-AM59)</f>
        <v>-14</v>
      </c>
      <c r="AO59" s="5">
        <v>-102.7</v>
      </c>
      <c r="AP59" s="5">
        <v>-96.6</v>
      </c>
      <c r="AQ59" s="10">
        <f>IF(OR(AO59="",AP59="",AO59="-",AP59="-"),"-",AO59-AP59)</f>
        <v>-6.1000000000000085</v>
      </c>
      <c r="AR59" s="5">
        <v>-96.8</v>
      </c>
      <c r="AS59" s="5">
        <v>-99.4</v>
      </c>
      <c r="AT59" s="10">
        <f>IF(OR(AR59="",AS59="",AR59="-",AS59="-"),"-",AR59-AS59)</f>
        <v>2.6000000000000085</v>
      </c>
      <c r="AU59" s="5">
        <v>-99.41</v>
      </c>
      <c r="AV59" s="5">
        <v>-92.29</v>
      </c>
      <c r="AW59" s="10">
        <f>IF(OR(AU59="",AV59="",AU59="-",AV59="-"),"-",AU59-AV59)</f>
        <v>-7.1199999999999903</v>
      </c>
      <c r="AX59" s="93">
        <v>-91.8</v>
      </c>
      <c r="AY59" s="5">
        <v>-90.5</v>
      </c>
      <c r="AZ59" s="10">
        <f>IF(OR(AX59="",AY59="",AX59="-",AY59="-"),"-",AX59-AY59)</f>
        <v>-1.2999999999999972</v>
      </c>
    </row>
    <row r="60" spans="1:52" x14ac:dyDescent="0.25">
      <c r="A60" s="241" t="s">
        <v>136</v>
      </c>
      <c r="B60" s="223"/>
      <c r="C60" s="223"/>
      <c r="D60" s="215" t="str">
        <f>IF(OR(B60="",C60="",B60="-",C60="-"),"-",B60-C60)</f>
        <v>-</v>
      </c>
      <c r="E60" s="223">
        <v>5.2999999999999999E-2</v>
      </c>
      <c r="F60" s="223">
        <v>-2.1000000000000001E-2</v>
      </c>
      <c r="G60" s="215">
        <f>IF(OR(E60="",F60="",E60="-",F60="-"),"-",E60-F60)</f>
        <v>7.3999999999999996E-2</v>
      </c>
      <c r="H60" s="225">
        <v>5.2999999999999999E-2</v>
      </c>
      <c r="I60" s="225">
        <v>-2.1000000000000001E-2</v>
      </c>
      <c r="J60" s="215">
        <f>IF(OR(H60="",I60="",H60="-",I60="-"),"-",H60-I60)</f>
        <v>7.3999999999999996E-2</v>
      </c>
      <c r="K60" s="223"/>
      <c r="L60" s="223"/>
      <c r="M60" s="215" t="str">
        <f>IF(OR(K60="",L60="",K60="-",L60="-"),"-",K60-L60)</f>
        <v>-</v>
      </c>
      <c r="N60" s="225">
        <v>2.9000000000000001E-2</v>
      </c>
      <c r="O60" s="225">
        <v>-2.7E-2</v>
      </c>
      <c r="P60" s="215">
        <f>IF(OR(N60="",O60="",N60="-",O60="-"),"-",N60-O60)</f>
        <v>5.6000000000000001E-2</v>
      </c>
      <c r="Q60" s="225">
        <v>-2.8000000000000001E-2</v>
      </c>
      <c r="R60" s="225">
        <v>-9.4E-2</v>
      </c>
      <c r="S60" s="215">
        <f>IF(OR(Q60="",R60="",Q60="-",R60="-"),"-",Q60-R60)</f>
        <v>6.6000000000000003E-2</v>
      </c>
      <c r="T60" s="225">
        <v>-9.2999999999999999E-2</v>
      </c>
      <c r="U60" s="225">
        <v>-6.6000000000000003E-2</v>
      </c>
      <c r="V60" s="215">
        <f>IF(OR(T60="",U60="",T60="-",U60="-"),"-",T60-U60)</f>
        <v>-2.6999999999999996E-2</v>
      </c>
      <c r="W60" s="225">
        <v>-6.3E-2</v>
      </c>
      <c r="X60" s="225">
        <v>7.4999999999999997E-2</v>
      </c>
      <c r="Y60" s="215">
        <f>IF(OR(W60="",X60="",W60="-",X60="-"),"-",W60-X60)</f>
        <v>-0.13800000000000001</v>
      </c>
      <c r="Z60" s="24">
        <v>9.1999999999999998E-2</v>
      </c>
      <c r="AA60" s="24">
        <v>3.2000000000000001E-2</v>
      </c>
      <c r="AB60" s="4">
        <f>IF(OR(Z60="",AA60="",Z60="-",AA60="-"),"-",Z60-AA60)</f>
        <v>0.06</v>
      </c>
      <c r="AC60" s="24">
        <v>3.1E-2</v>
      </c>
      <c r="AD60" s="24">
        <v>-1.7999999999999999E-2</v>
      </c>
      <c r="AE60" s="4">
        <f>IF(OR(AC60="",AD60="",AC60="-",AD60="-"),"-",AC60-AD60)</f>
        <v>4.9000000000000002E-2</v>
      </c>
      <c r="AF60" s="24">
        <v>-2.1999999999999999E-2</v>
      </c>
      <c r="AG60" s="24">
        <v>2E-3</v>
      </c>
      <c r="AH60" s="4">
        <f>IF(OR(AF60="",AG60="",AF60="-",AG60="-"),"-",AF60-AG60)</f>
        <v>-2.4E-2</v>
      </c>
      <c r="AI60" s="24">
        <v>2E-3</v>
      </c>
      <c r="AJ60" s="24">
        <v>-7.0000000000000001E-3</v>
      </c>
      <c r="AK60" s="4">
        <f>IF(OR(AI60="",AJ60="",AI60="-",AJ60="-"),"-",AI60-AJ60)</f>
        <v>9.0000000000000011E-3</v>
      </c>
      <c r="AL60" s="24">
        <v>-8.0000000000000002E-3</v>
      </c>
      <c r="AM60" s="24">
        <v>-8.0000000000000002E-3</v>
      </c>
      <c r="AN60" s="4">
        <f>IF(OR(AL60="",AM60="",AL60="-",AM60="-"),"-",AL60-AM60)</f>
        <v>0</v>
      </c>
      <c r="AO60" s="24">
        <v>9.9000000000000005E-2</v>
      </c>
      <c r="AP60" s="24">
        <v>-6.7000000000000004E-2</v>
      </c>
      <c r="AQ60" s="4">
        <f>IF(OR(AO60="",AP60="",AO60="-",AP60="-"),"-",AO60-AP60)</f>
        <v>0.16600000000000001</v>
      </c>
      <c r="AR60" s="24">
        <v>-6.6000000000000003E-2</v>
      </c>
      <c r="AS60" s="24">
        <v>1E-3</v>
      </c>
      <c r="AT60" s="4">
        <f>IF(OR(AR60="",AS60="",AR60="-",AS60="-"),"-",AR60-AS60)</f>
        <v>-6.7000000000000004E-2</v>
      </c>
      <c r="AW60" s="4" t="str">
        <f>IF(OR(AU60="",AV60="",AU60="-",AV60="-"),"-",AU60-AV60)</f>
        <v>-</v>
      </c>
      <c r="AX60" s="97">
        <v>2.5999999999999999E-2</v>
      </c>
      <c r="AY60" s="24">
        <v>-6.2E-2</v>
      </c>
      <c r="AZ60" s="4">
        <f>IF(OR(AX60="",AY60="",AX60="-",AY60="-"),"-",AX60-AY60)</f>
        <v>8.7999999999999995E-2</v>
      </c>
    </row>
    <row r="61" spans="1:52" x14ac:dyDescent="0.25">
      <c r="A61" s="241" t="s">
        <v>137</v>
      </c>
      <c r="B61" s="223"/>
      <c r="C61" s="223"/>
      <c r="D61" s="215" t="str">
        <f>IF(OR(B61="",C61="",B61="-",C61="-"),"-",B61-C61)</f>
        <v>-</v>
      </c>
      <c r="E61" s="223">
        <v>5.0000000000000001E-3</v>
      </c>
      <c r="F61" s="223">
        <v>1E-3</v>
      </c>
      <c r="G61" s="215">
        <f>IF(OR(E61="",F61="",E61="-",F61="-"),"-",E61-F61)</f>
        <v>4.0000000000000001E-3</v>
      </c>
      <c r="H61" s="225">
        <v>5.0000000000000001E-3</v>
      </c>
      <c r="I61" s="225">
        <v>1E-3</v>
      </c>
      <c r="J61" s="215">
        <f>IF(OR(H61="",I61="",H61="-",I61="-"),"-",H61-I61)</f>
        <v>4.0000000000000001E-3</v>
      </c>
      <c r="K61" s="223"/>
      <c r="L61" s="223"/>
      <c r="M61" s="215" t="str">
        <f>IF(OR(K61="",L61="",K61="-",L61="-"),"-",K61-L61)</f>
        <v>-</v>
      </c>
      <c r="N61" s="225">
        <v>4.0000000000000001E-3</v>
      </c>
      <c r="O61" s="228">
        <v>0.01</v>
      </c>
      <c r="P61" s="215">
        <f>IF(OR(N61="",O61="",N61="-",O61="-"),"-",N61-O61)</f>
        <v>-6.0000000000000001E-3</v>
      </c>
      <c r="Q61" s="225">
        <v>1.0999999999999999E-2</v>
      </c>
      <c r="R61" s="225">
        <v>3.0000000000000001E-3</v>
      </c>
      <c r="S61" s="215">
        <f>IF(OR(Q61="",R61="",Q61="-",R61="-"),"-",Q61-R61)</f>
        <v>8.0000000000000002E-3</v>
      </c>
      <c r="T61" s="225">
        <v>2E-3</v>
      </c>
      <c r="U61" s="225">
        <v>1E-3</v>
      </c>
      <c r="V61" s="215">
        <f>IF(OR(T61="",U61="",T61="-",U61="-"),"-",T61-U61)</f>
        <v>1E-3</v>
      </c>
      <c r="W61" s="225">
        <v>2E-3</v>
      </c>
      <c r="X61" s="225">
        <v>-4.0000000000000001E-3</v>
      </c>
      <c r="Y61" s="215">
        <f>IF(OR(W61="",X61="",W61="-",X61="-"),"-",W61-X61)</f>
        <v>6.0000000000000001E-3</v>
      </c>
      <c r="Z61" s="24">
        <v>0</v>
      </c>
      <c r="AA61" s="24">
        <v>1E-3</v>
      </c>
      <c r="AB61" s="4">
        <f>IF(OR(Z61="",AA61="",Z61="-",AA61="-"),"-",Z61-AA61)</f>
        <v>-1E-3</v>
      </c>
      <c r="AC61" s="5">
        <v>0</v>
      </c>
      <c r="AD61" s="24">
        <v>1E-3</v>
      </c>
      <c r="AE61" s="4">
        <f>IF(OR(AC61="",AD61="",AC61="-",AD61="-"),"-",AC61-AD61)</f>
        <v>-1E-3</v>
      </c>
      <c r="AF61" s="24">
        <v>3.0000000000000001E-3</v>
      </c>
      <c r="AG61" s="24">
        <v>1E-3</v>
      </c>
      <c r="AH61" s="4">
        <f>IF(OR(AF61="",AG61="",AF61="-",AG61="-"),"-",AF61-AG61)</f>
        <v>2E-3</v>
      </c>
      <c r="AI61" s="24">
        <v>1E-3</v>
      </c>
      <c r="AJ61" s="24">
        <v>5.0000000000000001E-3</v>
      </c>
      <c r="AK61" s="4">
        <f>IF(OR(AI61="",AJ61="",AI61="-",AJ61="-"),"-",AI61-AJ61)</f>
        <v>-4.0000000000000001E-3</v>
      </c>
      <c r="AL61" s="24">
        <v>4.0000000000000001E-3</v>
      </c>
      <c r="AM61" s="24">
        <v>6.0000000000000001E-3</v>
      </c>
      <c r="AN61" s="4">
        <f>IF(OR(AL61="",AM61="",AL61="-",AM61="-"),"-",AL61-AM61)</f>
        <v>-2E-3</v>
      </c>
      <c r="AO61" s="24">
        <v>-2E-3</v>
      </c>
      <c r="AP61" s="24">
        <v>4.0000000000000001E-3</v>
      </c>
      <c r="AQ61" s="4">
        <f>IF(OR(AO61="",AP61="",AO61="-",AP61="-"),"-",AO61-AP61)</f>
        <v>-6.0000000000000001E-3</v>
      </c>
      <c r="AR61" s="24">
        <v>5.0000000000000001E-3</v>
      </c>
      <c r="AS61" s="24">
        <v>1E-3</v>
      </c>
      <c r="AT61" s="4">
        <f>IF(OR(AR61="",AS61="",AR61="-",AS61="-"),"-",AR61-AS61)</f>
        <v>4.0000000000000001E-3</v>
      </c>
      <c r="AW61" s="4" t="str">
        <f>IF(OR(AU61="",AV61="",AU61="-",AV61="-"),"-",AU61-AV61)</f>
        <v>-</v>
      </c>
      <c r="AX61" s="97">
        <v>2E-3</v>
      </c>
      <c r="AY61" s="24">
        <v>-4.0000000000000001E-3</v>
      </c>
      <c r="AZ61" s="4">
        <f>IF(OR(AX61="",AY61="",AX61="-",AY61="-"),"-",AX61-AY61)</f>
        <v>6.0000000000000001E-3</v>
      </c>
    </row>
    <row r="62" spans="1:52" x14ac:dyDescent="0.25">
      <c r="A62" s="241" t="s">
        <v>138</v>
      </c>
      <c r="B62" s="223"/>
      <c r="C62" s="223"/>
      <c r="D62" s="215" t="str">
        <f>IF(OR(B62="",C62="",B62="-",C62="-"),"-",B62-C62)</f>
        <v>-</v>
      </c>
      <c r="E62" s="225">
        <v>2.7E-2</v>
      </c>
      <c r="F62" s="225">
        <v>-1.2E-2</v>
      </c>
      <c r="G62" s="215">
        <f>IF(OR(E62="",F62="",E62="-",F62="-"),"-",E62-F62)</f>
        <v>3.9E-2</v>
      </c>
      <c r="H62" s="225">
        <v>-1.2999999999999999E-2</v>
      </c>
      <c r="I62" s="225">
        <v>2E-3</v>
      </c>
      <c r="J62" s="215">
        <f>IF(OR(H62="",I62="",H62="-",I62="-"),"-",H62-I62)</f>
        <v>-1.4999999999999999E-2</v>
      </c>
      <c r="K62" s="225">
        <v>2E-3</v>
      </c>
      <c r="L62" s="223"/>
      <c r="M62" s="215" t="str">
        <f>IF(OR(K62="",L62="",K62="-",L62="-"),"-",K62-L62)</f>
        <v>-</v>
      </c>
      <c r="N62" s="223"/>
      <c r="O62" s="223"/>
      <c r="P62" s="215" t="str">
        <f>IF(OR(N62="",O62="",N62="-",O62="-"),"-",N62-O62)</f>
        <v>-</v>
      </c>
      <c r="Q62" s="225">
        <v>-1.2999999999999999E-2</v>
      </c>
      <c r="R62" s="225">
        <v>8.3000000000000004E-2</v>
      </c>
      <c r="S62" s="215">
        <f>IF(OR(Q62="",R62="",Q62="-",R62="-"),"-",Q62-R62)</f>
        <v>-9.6000000000000002E-2</v>
      </c>
      <c r="T62" s="225">
        <v>8.2000000000000003E-2</v>
      </c>
      <c r="U62" s="225">
        <v>-3.9E-2</v>
      </c>
      <c r="V62" s="215">
        <f>IF(OR(T62="",U62="",T62="-",U62="-"),"-",T62-U62)</f>
        <v>0.121</v>
      </c>
      <c r="W62" s="225">
        <v>-3.6999999999999998E-2</v>
      </c>
      <c r="X62" s="225">
        <v>3.4000000000000002E-2</v>
      </c>
      <c r="Y62" s="215">
        <f>IF(OR(W62="",X62="",W62="-",X62="-"),"-",W62-X62)</f>
        <v>-7.1000000000000008E-2</v>
      </c>
      <c r="Z62" s="24">
        <v>4.2999999999999997E-2</v>
      </c>
      <c r="AA62" s="24">
        <v>1.7999999999999999E-2</v>
      </c>
      <c r="AB62" s="4">
        <f>IF(OR(Z62="",AA62="",Z62="-",AA62="-"),"-",Z62-AA62)</f>
        <v>2.4999999999999998E-2</v>
      </c>
      <c r="AC62" s="24">
        <v>1.7000000000000001E-2</v>
      </c>
      <c r="AD62" s="24">
        <v>-8.0000000000000002E-3</v>
      </c>
      <c r="AE62" s="4">
        <f>IF(OR(AC62="",AD62="",AC62="-",AD62="-"),"-",AC62-AD62)</f>
        <v>2.5000000000000001E-2</v>
      </c>
      <c r="AF62" s="24">
        <v>-4.0000000000000001E-3</v>
      </c>
      <c r="AG62" s="24">
        <v>5.0000000000000001E-3</v>
      </c>
      <c r="AH62" s="4">
        <f>IF(OR(AF62="",AG62="",AF62="-",AG62="-"),"-",AF62-AG62)</f>
        <v>-9.0000000000000011E-3</v>
      </c>
      <c r="AI62" s="24">
        <v>2E-3</v>
      </c>
      <c r="AJ62" s="24">
        <v>-2E-3</v>
      </c>
      <c r="AK62" s="4">
        <f>IF(OR(AI62="",AJ62="",AI62="-",AJ62="-"),"-",AI62-AJ62)</f>
        <v>4.0000000000000001E-3</v>
      </c>
      <c r="AL62" s="24">
        <v>-5.0000000000000001E-3</v>
      </c>
      <c r="AM62" s="24">
        <v>-8.0000000000000002E-3</v>
      </c>
      <c r="AN62" s="4">
        <f>IF(OR(AL62="",AM62="",AL62="-",AM62="-"),"-",AL62-AM62)</f>
        <v>3.0000000000000001E-3</v>
      </c>
      <c r="AO62" s="24">
        <v>0.05</v>
      </c>
      <c r="AP62" s="24">
        <v>-3.3000000000000002E-2</v>
      </c>
      <c r="AQ62" s="4">
        <f>IF(OR(AO62="",AP62="",AO62="-",AP62="-"),"-",AO62-AP62)</f>
        <v>8.3000000000000004E-2</v>
      </c>
      <c r="AR62" s="24">
        <v>-5.0000000000000001E-3</v>
      </c>
      <c r="AS62" s="24">
        <v>4.0000000000000001E-3</v>
      </c>
      <c r="AT62" s="4">
        <f>IF(OR(AR62="",AS62="",AR62="-",AS62="-"),"-",AR62-AS62)</f>
        <v>-9.0000000000000011E-3</v>
      </c>
      <c r="AU62" s="24">
        <v>1.6E-2</v>
      </c>
      <c r="AV62" s="24">
        <v>1.2E-2</v>
      </c>
      <c r="AW62" s="4">
        <f>IF(OR(AU62="",AV62="",AU62="-",AV62="-"),"-",AU62-AV62)</f>
        <v>4.0000000000000001E-3</v>
      </c>
      <c r="AX62" s="24">
        <v>1.4E-2</v>
      </c>
      <c r="AY62" s="24">
        <v>-3.7999999999999999E-2</v>
      </c>
      <c r="AZ62" s="4">
        <f>IF(OR(AX62="",AY62="",AX62="-",AY62="-"),"-",AX62-AY62)</f>
        <v>5.1999999999999998E-2</v>
      </c>
    </row>
    <row r="63" spans="1:52" x14ac:dyDescent="0.25">
      <c r="A63" s="241" t="s">
        <v>139</v>
      </c>
      <c r="B63" s="223"/>
      <c r="C63" s="223"/>
      <c r="D63" s="226" t="str">
        <f>IF(OR(B63="",C63="",B63="-",C63="-"),"-",B63-C63)</f>
        <v>-</v>
      </c>
      <c r="E63" s="223">
        <v>3.0000000000000001E-3</v>
      </c>
      <c r="F63" s="223">
        <v>3.0000000000000001E-3</v>
      </c>
      <c r="G63" s="226">
        <f>IF(OR(E63="",F63="",E63="-",F63="-"),"-",E63-F63)</f>
        <v>0</v>
      </c>
      <c r="H63" s="225">
        <v>3.0000000000000001E-3</v>
      </c>
      <c r="I63" s="225">
        <v>3.0000000000000001E-3</v>
      </c>
      <c r="J63" s="226">
        <f>IF(OR(H63="",I63="",H63="-",I63="-"),"-",H63-I63)</f>
        <v>0</v>
      </c>
      <c r="K63" s="225">
        <v>3.0000000000000001E-3</v>
      </c>
      <c r="L63" s="223"/>
      <c r="M63" s="226" t="str">
        <f>IF(OR(K63="",L63="",K63="-",L63="-"),"-",K63-L63)</f>
        <v>-</v>
      </c>
      <c r="N63" s="223"/>
      <c r="O63" s="223"/>
      <c r="P63" s="226" t="str">
        <f>IF(OR(N63="",O63="",N63="-",O63="-"),"-",N63-O63)</f>
        <v>-</v>
      </c>
      <c r="Q63" s="225">
        <v>2E-3</v>
      </c>
      <c r="R63" s="228">
        <v>0</v>
      </c>
      <c r="S63" s="226">
        <f>IF(OR(Q63="",R63="",Q63="-",R63="-"),"-",Q63-R63)</f>
        <v>2E-3</v>
      </c>
      <c r="T63" s="223">
        <v>0</v>
      </c>
      <c r="U63" s="223">
        <v>0</v>
      </c>
      <c r="V63" s="226">
        <f>IF(OR(T63="",U63="",T63="-",U63="-"),"-",T63-U63)</f>
        <v>0</v>
      </c>
      <c r="W63" s="225">
        <v>0</v>
      </c>
      <c r="X63" s="225">
        <v>2E-3</v>
      </c>
      <c r="Y63" s="226">
        <f>IF(OR(W63="",X63="",W63="-",X63="-"),"-",W63-X63)</f>
        <v>-2E-3</v>
      </c>
      <c r="Z63" s="24">
        <v>2E-3</v>
      </c>
      <c r="AA63" s="24">
        <v>3.0000000000000001E-3</v>
      </c>
      <c r="AB63" s="7">
        <f>IF(OR(Z63="",AA63="",Z63="-",AA63="-"),"-",Z63-AA63)</f>
        <v>-1E-3</v>
      </c>
      <c r="AC63" s="24">
        <v>3.0000000000000001E-3</v>
      </c>
      <c r="AD63" s="24">
        <v>1E-3</v>
      </c>
      <c r="AE63" s="7">
        <f>IF(OR(AC63="",AD63="",AC63="-",AD63="-"),"-",AC63-AD63)</f>
        <v>2E-3</v>
      </c>
      <c r="AF63" s="24">
        <v>1E-3</v>
      </c>
      <c r="AG63" s="5">
        <v>0</v>
      </c>
      <c r="AH63" s="7">
        <f>IF(OR(AF63="",AG63="",AF63="-",AG63="-"),"-",AF63-AG63)</f>
        <v>1E-3</v>
      </c>
      <c r="AI63" s="24">
        <v>1E-3</v>
      </c>
      <c r="AJ63" s="24">
        <v>3.0000000000000001E-3</v>
      </c>
      <c r="AK63" s="7">
        <f>IF(OR(AI63="",AJ63="",AI63="-",AJ63="-"),"-",AI63-AJ63)</f>
        <v>-2E-3</v>
      </c>
      <c r="AL63" s="24">
        <v>3.0000000000000001E-3</v>
      </c>
      <c r="AM63" s="24">
        <v>3.0000000000000001E-3</v>
      </c>
      <c r="AN63" s="7">
        <f>IF(OR(AL63="",AM63="",AL63="-",AM63="-"),"-",AL63-AM63)</f>
        <v>0</v>
      </c>
      <c r="AO63" s="24">
        <v>4.0000000000000001E-3</v>
      </c>
      <c r="AP63" s="24">
        <v>3.0000000000000001E-3</v>
      </c>
      <c r="AQ63" s="7">
        <f>IF(OR(AO63="",AP63="",AO63="-",AP63="-"),"-",AO63-AP63)</f>
        <v>1E-3</v>
      </c>
      <c r="AR63" s="24">
        <v>5.0000000000000001E-3</v>
      </c>
      <c r="AS63" s="24">
        <v>3.0000000000000001E-3</v>
      </c>
      <c r="AT63" s="7">
        <f>IF(OR(AR63="",AS63="",AR63="-",AS63="-"),"-",AR63-AS63)</f>
        <v>2E-3</v>
      </c>
      <c r="AW63" s="7" t="str">
        <f>IF(OR(AU63="",AV63="",AU63="-",AV63="-"),"-",AU63-AV63)</f>
        <v>-</v>
      </c>
      <c r="AX63" s="24">
        <v>4.0000000000000001E-3</v>
      </c>
      <c r="AY63" s="24">
        <v>0</v>
      </c>
      <c r="AZ63" s="7">
        <f>IF(OR(AX63="",AY63="",AX63="-",AY63="-"),"-",AX63-AY63)</f>
        <v>4.0000000000000001E-3</v>
      </c>
    </row>
    <row r="64" spans="1:52" x14ac:dyDescent="0.25">
      <c r="A64" s="241" t="s">
        <v>140</v>
      </c>
      <c r="B64" s="223"/>
      <c r="C64" s="223"/>
      <c r="D64" s="226" t="str">
        <f>IF(OR(B64="",C64="",B64="-",C64="-"),"-",B64-C64)</f>
        <v>-</v>
      </c>
      <c r="E64" s="223">
        <v>2E-3</v>
      </c>
      <c r="F64" s="223">
        <v>2E-3</v>
      </c>
      <c r="G64" s="226">
        <f>IF(OR(E64="",F64="",E64="-",F64="-"),"-",E64-F64)</f>
        <v>0</v>
      </c>
      <c r="H64" s="223"/>
      <c r="I64" s="223"/>
      <c r="J64" s="226" t="str">
        <f>IF(OR(H64="",I64="",H64="-",I64="-"),"-",H64-I64)</f>
        <v>-</v>
      </c>
      <c r="K64" s="223"/>
      <c r="L64" s="223"/>
      <c r="M64" s="226" t="str">
        <f>IF(OR(K64="",L64="",K64="-",L64="-"),"-",K64-L64)</f>
        <v>-</v>
      </c>
      <c r="N64" s="225">
        <v>-1E-3</v>
      </c>
      <c r="O64" s="225">
        <v>1E-3</v>
      </c>
      <c r="P64" s="226">
        <f>IF(OR(N64="",O64="",N64="-",O64="-"),"-",N64-O64)</f>
        <v>-2E-3</v>
      </c>
      <c r="Q64" s="225">
        <v>2E-3</v>
      </c>
      <c r="R64" s="225">
        <v>-3.0000000000000001E-3</v>
      </c>
      <c r="S64" s="226">
        <f>IF(OR(Q64="",R64="",Q64="-",R64="-"),"-",Q64-R64)</f>
        <v>5.0000000000000001E-3</v>
      </c>
      <c r="T64" s="225">
        <v>2E-3</v>
      </c>
      <c r="U64" s="225">
        <v>2E-3</v>
      </c>
      <c r="V64" s="226">
        <f>IF(OR(T64="",U64="",T64="-",U64="-"),"-",T64-U64)</f>
        <v>0</v>
      </c>
      <c r="W64" s="223">
        <v>0</v>
      </c>
      <c r="X64" s="225">
        <v>5.0000000000000001E-3</v>
      </c>
      <c r="Y64" s="226">
        <f>IF(OR(W64="",X64="",W64="-",X64="-"),"-",W64-X64)</f>
        <v>-5.0000000000000001E-3</v>
      </c>
      <c r="Z64" s="24">
        <v>5.0000000000000001E-3</v>
      </c>
      <c r="AA64" s="24">
        <v>8.0000000000000002E-3</v>
      </c>
      <c r="AB64" s="7">
        <f>IF(OR(Z64="",AA64="",Z64="-",AA64="-"),"-",Z64-AA64)</f>
        <v>-3.0000000000000001E-3</v>
      </c>
      <c r="AC64" s="24">
        <v>7.0000000000000001E-3</v>
      </c>
      <c r="AD64" s="24">
        <v>-4.0000000000000001E-3</v>
      </c>
      <c r="AE64" s="7">
        <f>IF(OR(AC64="",AD64="",AC64="-",AD64="-"),"-",AC64-AD64)</f>
        <v>1.0999999999999999E-2</v>
      </c>
      <c r="AF64" s="24">
        <v>-5.0000000000000001E-3</v>
      </c>
      <c r="AG64" s="24">
        <v>1E-3</v>
      </c>
      <c r="AH64" s="7">
        <f>IF(OR(AF64="",AG64="",AF64="-",AG64="-"),"-",AF64-AG64)</f>
        <v>-6.0000000000000001E-3</v>
      </c>
      <c r="AI64" s="24">
        <v>2E-3</v>
      </c>
      <c r="AJ64" s="24">
        <v>-2E-3</v>
      </c>
      <c r="AK64" s="7">
        <f>IF(OR(AI64="",AJ64="",AI64="-",AJ64="-"),"-",AI64-AJ64)</f>
        <v>4.0000000000000001E-3</v>
      </c>
      <c r="AL64" s="24">
        <v>-1E-3</v>
      </c>
      <c r="AM64" s="24">
        <v>1E-3</v>
      </c>
      <c r="AN64" s="7">
        <f>IF(OR(AL64="",AM64="",AL64="-",AM64="-"),"-",AL64-AM64)</f>
        <v>-2E-3</v>
      </c>
      <c r="AO64" s="24">
        <v>3.0000000000000001E-3</v>
      </c>
      <c r="AP64" s="24">
        <v>2E-3</v>
      </c>
      <c r="AQ64" s="7">
        <f>IF(OR(AO64="",AP64="",AO64="-",AP64="-"),"-",AO64-AP64)</f>
        <v>1E-3</v>
      </c>
      <c r="AR64" s="24">
        <v>2E-3</v>
      </c>
      <c r="AS64" s="24">
        <v>6.0000000000000001E-3</v>
      </c>
      <c r="AT64" s="7">
        <f>IF(OR(AR64="",AS64="",AR64="-",AS64="-"),"-",AR64-AS64)</f>
        <v>-4.0000000000000001E-3</v>
      </c>
      <c r="AW64" s="7" t="str">
        <f>IF(OR(AU64="",AV64="",AU64="-",AV64="-"),"-",AU64-AV64)</f>
        <v>-</v>
      </c>
      <c r="AX64" s="97">
        <v>-4.0000000000000001E-3</v>
      </c>
      <c r="AY64" s="24">
        <v>-3.0000000000000001E-3</v>
      </c>
      <c r="AZ64" s="7">
        <f>IF(OR(AX64="",AY64="",AX64="-",AY64="-"),"-",AX64-AY64)</f>
        <v>-1E-3</v>
      </c>
    </row>
    <row r="65" spans="1:52" x14ac:dyDescent="0.25">
      <c r="A65" s="241" t="s">
        <v>141</v>
      </c>
      <c r="B65" s="223"/>
      <c r="C65" s="223"/>
      <c r="D65" s="226" t="str">
        <f>IF(OR(B65="",C65="",B65="-",C65="-"),"-",B65-C65)</f>
        <v>-</v>
      </c>
      <c r="E65" s="225">
        <v>2E-3</v>
      </c>
      <c r="F65" s="225">
        <v>2E-3</v>
      </c>
      <c r="G65" s="226">
        <f>IF(OR(E65="",F65="",E65="-",F65="-"),"-",E65-F65)</f>
        <v>0</v>
      </c>
      <c r="H65" s="225">
        <v>2E-3</v>
      </c>
      <c r="I65" s="225">
        <v>5.0000000000000001E-3</v>
      </c>
      <c r="J65" s="226">
        <f>IF(OR(H65="",I65="",H65="-",I65="-"),"-",H65-I65)</f>
        <v>-3.0000000000000001E-3</v>
      </c>
      <c r="K65" s="225">
        <v>5.0000000000000001E-3</v>
      </c>
      <c r="L65" s="223"/>
      <c r="M65" s="226" t="str">
        <f>IF(OR(K65="",L65="",K65="-",L65="-"),"-",K65-L65)</f>
        <v>-</v>
      </c>
      <c r="N65" s="223"/>
      <c r="O65" s="223"/>
      <c r="P65" s="226" t="str">
        <f>IF(OR(N65="",O65="",N65="-",O65="-"),"-",N65-O65)</f>
        <v>-</v>
      </c>
      <c r="Q65" s="225">
        <v>1E-3</v>
      </c>
      <c r="R65" s="225">
        <v>2E-3</v>
      </c>
      <c r="S65" s="226">
        <f>IF(OR(Q65="",R65="",Q65="-",R65="-"),"-",Q65-R65)</f>
        <v>-1E-3</v>
      </c>
      <c r="T65" s="225">
        <v>-3.0000000000000001E-3</v>
      </c>
      <c r="U65" s="225">
        <v>-3.0000000000000001E-3</v>
      </c>
      <c r="V65" s="226">
        <f>IF(OR(T65="",U65="",T65="-",U65="-"),"-",T65-U65)</f>
        <v>0</v>
      </c>
      <c r="W65" s="225">
        <v>2E-3</v>
      </c>
      <c r="X65" s="225">
        <v>5.0000000000000001E-3</v>
      </c>
      <c r="Y65" s="226">
        <f>IF(OR(W65="",X65="",W65="-",X65="-"),"-",W65-X65)</f>
        <v>-3.0000000000000001E-3</v>
      </c>
      <c r="Z65" s="24">
        <v>3.0000000000000001E-3</v>
      </c>
      <c r="AA65" s="24">
        <v>3.0000000000000001E-3</v>
      </c>
      <c r="AB65" s="7">
        <f>IF(OR(Z65="",AA65="",Z65="-",AA65="-"),"-",Z65-AA65)</f>
        <v>0</v>
      </c>
      <c r="AC65" s="24">
        <v>8.0000000000000002E-3</v>
      </c>
      <c r="AD65" s="24">
        <v>-5.0000000000000001E-3</v>
      </c>
      <c r="AE65" s="7">
        <f>IF(OR(AC65="",AD65="",AC65="-",AD65="-"),"-",AC65-AD65)</f>
        <v>1.3000000000000001E-2</v>
      </c>
      <c r="AF65" s="24">
        <v>-2E-3</v>
      </c>
      <c r="AG65" s="24">
        <v>-2E-3</v>
      </c>
      <c r="AH65" s="7">
        <f>IF(OR(AF65="",AG65="",AF65="-",AG65="-"),"-",AF65-AG65)</f>
        <v>0</v>
      </c>
      <c r="AI65" s="24">
        <v>2E-3</v>
      </c>
      <c r="AJ65" s="24">
        <v>2E-3</v>
      </c>
      <c r="AK65" s="7">
        <f>IF(OR(AI65="",AJ65="",AI65="-",AJ65="-"),"-",AI65-AJ65)</f>
        <v>0</v>
      </c>
      <c r="AL65" s="24">
        <v>-2E-3</v>
      </c>
      <c r="AM65" s="24">
        <v>-1E-3</v>
      </c>
      <c r="AN65" s="7">
        <f>IF(OR(AL65="",AM65="",AL65="-",AM65="-"),"-",AL65-AM65)</f>
        <v>-1E-3</v>
      </c>
      <c r="AO65" s="24">
        <v>2E-3</v>
      </c>
      <c r="AP65" s="24">
        <v>3.0000000000000001E-3</v>
      </c>
      <c r="AQ65" s="7">
        <f>IF(OR(AO65="",AP65="",AO65="-",AP65="-"),"-",AO65-AP65)</f>
        <v>-1E-3</v>
      </c>
      <c r="AR65" s="24">
        <v>6.0000000000000001E-3</v>
      </c>
      <c r="AS65" s="24">
        <v>6.0000000000000001E-3</v>
      </c>
      <c r="AT65" s="7">
        <f>IF(OR(AR65="",AS65="",AR65="-",AS65="-"),"-",AR65-AS65)</f>
        <v>0</v>
      </c>
      <c r="AU65" s="24">
        <v>1E-3</v>
      </c>
      <c r="AV65" s="24">
        <v>2E-3</v>
      </c>
      <c r="AW65" s="7">
        <f>IF(OR(AU65="",AV65="",AU65="-",AV65="-"),"-",AU65-AV65)</f>
        <v>-1E-3</v>
      </c>
      <c r="AX65" s="24">
        <v>5.0000000000000001E-3</v>
      </c>
      <c r="AY65" s="24">
        <v>5.0000000000000001E-3</v>
      </c>
      <c r="AZ65" s="7">
        <f>IF(OR(AX65="",AY65="",AX65="-",AY65="-"),"-",AX65-AY65)</f>
        <v>0</v>
      </c>
    </row>
    <row r="66" spans="1:52" x14ac:dyDescent="0.25">
      <c r="A66" s="241" t="s">
        <v>142</v>
      </c>
      <c r="B66" s="223"/>
      <c r="C66" s="223"/>
      <c r="D66" s="217" t="str">
        <f>IF(OR(B66="",C66="",B66="-",C66="-"),"-",B66-C66)</f>
        <v>-</v>
      </c>
      <c r="E66" s="223">
        <v>12.6</v>
      </c>
      <c r="F66" s="223">
        <v>-10.199999999999999</v>
      </c>
      <c r="G66" s="217">
        <f>IF(OR(E66="",F66="",E66="-",F66="-"),"-",E66-F66)</f>
        <v>22.799999999999997</v>
      </c>
      <c r="H66" s="223">
        <v>12.6</v>
      </c>
      <c r="I66" s="223">
        <v>-10.199999999999999</v>
      </c>
      <c r="J66" s="217">
        <f>IF(OR(H66="",I66="",H66="-",I66="-"),"-",H66-I66)</f>
        <v>22.799999999999997</v>
      </c>
      <c r="K66" s="223">
        <v>-10.199999999999999</v>
      </c>
      <c r="L66" s="223"/>
      <c r="M66" s="217" t="str">
        <f>IF(OR(K66="",L66="",K66="-",L66="-"),"-",K66-L66)</f>
        <v>-</v>
      </c>
      <c r="N66" s="223">
        <v>-12.9</v>
      </c>
      <c r="O66" s="223">
        <v>-0.3</v>
      </c>
      <c r="P66" s="217">
        <f>IF(OR(N66="",O66="",N66="-",O66="-"),"-",N66-O66)</f>
        <v>-12.6</v>
      </c>
      <c r="Q66" s="223">
        <v>-0.3</v>
      </c>
      <c r="R66" s="223">
        <v>15.9</v>
      </c>
      <c r="S66" s="217">
        <f>IF(OR(Q66="",R66="",Q66="-",R66="-"),"-",Q66-R66)</f>
        <v>-16.2</v>
      </c>
      <c r="T66" s="223">
        <v>15.9</v>
      </c>
      <c r="U66" s="223">
        <v>-4</v>
      </c>
      <c r="V66" s="217">
        <f>IF(OR(T66="",U66="",T66="-",U66="-"),"-",T66-U66)</f>
        <v>19.899999999999999</v>
      </c>
      <c r="W66" s="223">
        <v>-4</v>
      </c>
      <c r="X66" s="223">
        <v>-26.4</v>
      </c>
      <c r="Y66" s="217">
        <f>IF(OR(W66="",X66="",W66="-",X66="-"),"-",W66-X66)</f>
        <v>22.4</v>
      </c>
      <c r="Z66" s="5">
        <v>-26.4</v>
      </c>
      <c r="AA66" s="5">
        <v>18.100000000000001</v>
      </c>
      <c r="AB66" s="10">
        <f>IF(OR(Z66="",AA66="",Z66="-",AA66="-"),"-",Z66-AA66)</f>
        <v>-44.5</v>
      </c>
      <c r="AC66" s="5">
        <v>18.100000000000001</v>
      </c>
      <c r="AD66" s="5">
        <v>44.3</v>
      </c>
      <c r="AE66" s="10">
        <f>IF(OR(AC66="",AD66="",AC66="-",AD66="-"),"-",AC66-AD66)</f>
        <v>-26.199999999999996</v>
      </c>
      <c r="AF66" s="5">
        <v>44.3</v>
      </c>
      <c r="AG66" s="5">
        <v>-5.5</v>
      </c>
      <c r="AH66" s="10">
        <f>IF(OR(AF66="",AG66="",AF66="-",AG66="-"),"-",AF66-AG66)</f>
        <v>49.8</v>
      </c>
      <c r="AI66" s="5">
        <v>-5.5</v>
      </c>
      <c r="AJ66" s="5">
        <v>10.3</v>
      </c>
      <c r="AK66" s="10">
        <f>IF(OR(AI66="",AJ66="",AI66="-",AJ66="-"),"-",AI66-AJ66)</f>
        <v>-15.8</v>
      </c>
      <c r="AL66" s="5">
        <v>10.3</v>
      </c>
      <c r="AM66" s="5">
        <v>1.7</v>
      </c>
      <c r="AN66" s="10">
        <f>IF(OR(AL66="",AM66="",AL66="-",AM66="-"),"-",AL66-AM66)</f>
        <v>8.6000000000000014</v>
      </c>
      <c r="AO66" s="5">
        <v>-7</v>
      </c>
      <c r="AP66" s="5">
        <v>13.9</v>
      </c>
      <c r="AQ66" s="10">
        <f>IF(OR(AO66="",AP66="",AO66="-",AP66="-"),"-",AO66-AP66)</f>
        <v>-20.9</v>
      </c>
      <c r="AR66" s="24">
        <v>-2E-3</v>
      </c>
      <c r="AS66" s="24">
        <v>-4.0000000000000001E-3</v>
      </c>
      <c r="AT66" s="10">
        <f>IF(OR(AR66="",AS66="",AR66="-",AS66="-"),"-",AR66-AS66)</f>
        <v>2E-3</v>
      </c>
      <c r="AU66" s="5">
        <v>4.5</v>
      </c>
      <c r="AV66" s="5">
        <v>15.5</v>
      </c>
      <c r="AW66" s="10">
        <f>IF(OR(AU66="",AV66="",AU66="-",AV66="-"),"-",AU66-AV66)</f>
        <v>-11</v>
      </c>
      <c r="AX66" s="93">
        <v>15.5</v>
      </c>
      <c r="AY66" s="5">
        <v>5.2</v>
      </c>
      <c r="AZ66" s="10">
        <f>IF(OR(AX66="",AY66="",AX66="-",AY66="-"),"-",AX66-AY66)</f>
        <v>10.3</v>
      </c>
    </row>
    <row r="67" spans="1:52" x14ac:dyDescent="0.25">
      <c r="A67" s="241" t="s">
        <v>143</v>
      </c>
      <c r="B67" s="223"/>
      <c r="C67" s="223"/>
      <c r="D67" s="217" t="str">
        <f>IF(OR(B67="",C67="",B67="-",C67="-"),"-",B67-C67)</f>
        <v>-</v>
      </c>
      <c r="E67" s="223">
        <v>-6</v>
      </c>
      <c r="F67" s="223">
        <v>-7</v>
      </c>
      <c r="G67" s="217">
        <f>IF(OR(E67="",F67="",E67="-",F67="-"),"-",E67-F67)</f>
        <v>1</v>
      </c>
      <c r="H67" s="223">
        <v>-6</v>
      </c>
      <c r="I67" s="223">
        <v>-7</v>
      </c>
      <c r="J67" s="217">
        <f>IF(OR(H67="",I67="",H67="-",I67="-"),"-",H67-I67)</f>
        <v>1</v>
      </c>
      <c r="K67" s="223"/>
      <c r="L67" s="223"/>
      <c r="M67" s="217" t="str">
        <f>IF(OR(K67="",L67="",K67="-",L67="-"),"-",K67-L67)</f>
        <v>-</v>
      </c>
      <c r="N67" s="223">
        <v>-17</v>
      </c>
      <c r="O67" s="223">
        <v>-7</v>
      </c>
      <c r="P67" s="217">
        <f>IF(OR(N67="",O67="",N67="-",O67="-"),"-",N67-O67)</f>
        <v>-10</v>
      </c>
      <c r="Q67" s="223">
        <v>-7</v>
      </c>
      <c r="R67" s="223">
        <v>-20</v>
      </c>
      <c r="S67" s="217">
        <f>IF(OR(Q67="",R67="",Q67="-",R67="-"),"-",Q67-R67)</f>
        <v>13</v>
      </c>
      <c r="T67" s="223">
        <v>-20</v>
      </c>
      <c r="U67" s="223">
        <v>-9</v>
      </c>
      <c r="V67" s="217">
        <f>IF(OR(T67="",U67="",T67="-",U67="-"),"-",T67-U67)</f>
        <v>-11</v>
      </c>
      <c r="W67" s="223">
        <v>-9</v>
      </c>
      <c r="X67" s="223">
        <v>-13</v>
      </c>
      <c r="Y67" s="217">
        <f>IF(OR(W67="",X67="",W67="-",X67="-"),"-",W67-X67)</f>
        <v>4</v>
      </c>
      <c r="Z67" s="5">
        <v>-13</v>
      </c>
      <c r="AA67" s="5">
        <v>6</v>
      </c>
      <c r="AB67" s="10">
        <f>IF(OR(Z67="",AA67="",Z67="-",AA67="-"),"-",Z67-AA67)</f>
        <v>-19</v>
      </c>
      <c r="AC67" s="5">
        <v>6</v>
      </c>
      <c r="AD67" s="5">
        <v>-4</v>
      </c>
      <c r="AE67" s="10">
        <f>IF(OR(AC67="",AD67="",AC67="-",AD67="-"),"-",AC67-AD67)</f>
        <v>10</v>
      </c>
      <c r="AF67" s="5">
        <v>-4</v>
      </c>
      <c r="AG67" s="5">
        <v>0.14000000000000001</v>
      </c>
      <c r="AH67" s="10">
        <f>IF(OR(AF67="",AG67="",AF67="-",AG67="-"),"-",AF67-AG67)</f>
        <v>-4.1399999999999997</v>
      </c>
      <c r="AI67" s="5">
        <v>-14</v>
      </c>
      <c r="AJ67" s="5">
        <v>-14</v>
      </c>
      <c r="AK67" s="10">
        <f>IF(OR(AI67="",AJ67="",AI67="-",AJ67="-"),"-",AI67-AJ67)</f>
        <v>0</v>
      </c>
      <c r="AL67" s="5">
        <v>-14</v>
      </c>
      <c r="AM67" s="5">
        <v>-21</v>
      </c>
      <c r="AN67" s="10">
        <f>IF(OR(AL67="",AM67="",AL67="-",AM67="-"),"-",AL67-AM67)</f>
        <v>7</v>
      </c>
      <c r="AO67" s="5">
        <v>-19</v>
      </c>
      <c r="AP67" s="5">
        <v>-17</v>
      </c>
      <c r="AQ67" s="10">
        <f>IF(OR(AO67="",AP67="",AO67="-",AP67="-"),"-",AO67-AP67)</f>
        <v>-2</v>
      </c>
      <c r="AR67" s="5">
        <v>-17</v>
      </c>
      <c r="AS67" s="5">
        <v>-10</v>
      </c>
      <c r="AT67" s="10">
        <f>IF(OR(AR67="",AS67="",AR67="-",AS67="-"),"-",AR67-AS67)</f>
        <v>-7</v>
      </c>
      <c r="AW67" s="10" t="str">
        <f>IF(OR(AU67="",AV67="",AU67="-",AV67="-"),"-",AU67-AV67)</f>
        <v>-</v>
      </c>
      <c r="AX67" s="93">
        <v>-7</v>
      </c>
      <c r="AY67" s="5">
        <v>-5</v>
      </c>
      <c r="AZ67" s="10">
        <f>IF(OR(AX67="",AY67="",AX67="-",AY67="-"),"-",AX67-AY67)</f>
        <v>-2</v>
      </c>
    </row>
    <row r="68" spans="1:52" x14ac:dyDescent="0.25">
      <c r="A68" s="241" t="s">
        <v>144</v>
      </c>
      <c r="B68" s="223"/>
      <c r="C68" s="223"/>
      <c r="D68" s="217" t="str">
        <f>IF(OR(B68="",C68="",B68="-",C68="-"),"-",B68-C68)</f>
        <v>-</v>
      </c>
      <c r="E68" s="223">
        <v>99.5</v>
      </c>
      <c r="F68" s="223">
        <v>99</v>
      </c>
      <c r="G68" s="217">
        <f>IF(OR(E68="",F68="",E68="-",F68="-"),"-",E68-F68)</f>
        <v>0.5</v>
      </c>
      <c r="H68" s="223">
        <v>99.5</v>
      </c>
      <c r="I68" s="223">
        <v>99</v>
      </c>
      <c r="J68" s="217">
        <f>IF(OR(H68="",I68="",H68="-",I68="-"),"-",H68-I68)</f>
        <v>0.5</v>
      </c>
      <c r="K68" s="223">
        <v>99</v>
      </c>
      <c r="L68" s="223"/>
      <c r="M68" s="217" t="str">
        <f>IF(OR(K68="",L68="",K68="-",L68="-"),"-",K68-L68)</f>
        <v>-</v>
      </c>
      <c r="N68" s="223">
        <v>98.8</v>
      </c>
      <c r="O68" s="223">
        <v>100.8</v>
      </c>
      <c r="P68" s="217">
        <f>IF(OR(N68="",O68="",N68="-",O68="-"),"-",N68-O68)</f>
        <v>-2</v>
      </c>
      <c r="Q68" s="223">
        <v>100.8</v>
      </c>
      <c r="R68" s="223">
        <v>98.6</v>
      </c>
      <c r="S68" s="217">
        <f>IF(OR(Q68="",R68="",Q68="-",R68="-"),"-",Q68-R68)</f>
        <v>2.2000000000000028</v>
      </c>
      <c r="T68" s="223">
        <v>98.6</v>
      </c>
      <c r="U68" s="223">
        <v>98.8</v>
      </c>
      <c r="V68" s="217">
        <f>IF(OR(T68="",U68="",T68="-",U68="-"),"-",T68-U68)</f>
        <v>-0.20000000000000284</v>
      </c>
      <c r="W68" s="223">
        <v>98.8</v>
      </c>
      <c r="X68" s="223">
        <v>95.8</v>
      </c>
      <c r="Y68" s="217">
        <f>IF(OR(W68="",X68="",W68="-",X68="-"),"-",W68-X68)</f>
        <v>3</v>
      </c>
      <c r="Z68" s="5">
        <v>97.4</v>
      </c>
      <c r="AA68" s="5">
        <v>100.7</v>
      </c>
      <c r="AB68" s="10">
        <f>IF(OR(Z68="",AA68="",Z68="-",AA68="-"),"-",Z68-AA68)</f>
        <v>-3.2999999999999972</v>
      </c>
      <c r="AC68" s="5">
        <v>100.7</v>
      </c>
      <c r="AD68" s="5">
        <v>105.1</v>
      </c>
      <c r="AE68" s="10">
        <f>IF(OR(AC68="",AD68="",AC68="-",AD68="-"),"-",AC68-AD68)</f>
        <v>-4.3999999999999915</v>
      </c>
      <c r="AF68" s="5">
        <v>105.1</v>
      </c>
      <c r="AG68" s="5">
        <v>101.7</v>
      </c>
      <c r="AH68" s="10">
        <f>IF(OR(AF68="",AG68="",AF68="-",AG68="-"),"-",AF68-AG68)</f>
        <v>3.3999999999999915</v>
      </c>
      <c r="AI68" s="5">
        <v>101.7</v>
      </c>
      <c r="AJ68" s="5">
        <v>91.5</v>
      </c>
      <c r="AK68" s="10">
        <f>IF(OR(AI68="",AJ68="",AI68="-",AJ68="-"),"-",AI68-AJ68)</f>
        <v>10.200000000000003</v>
      </c>
      <c r="AN68" s="10" t="str">
        <f>IF(OR(AL68="",AM68="",AL68="-",AM68="-"),"-",AL68-AM68)</f>
        <v>-</v>
      </c>
      <c r="AO68" s="5">
        <v>91.2</v>
      </c>
      <c r="AP68" s="5">
        <v>93.7</v>
      </c>
      <c r="AQ68" s="10">
        <f>IF(OR(AO68="",AP68="",AO68="-",AP68="-"),"-",AO68-AP68)</f>
        <v>-2.5</v>
      </c>
      <c r="AR68" s="5">
        <v>91.5</v>
      </c>
      <c r="AS68" s="5">
        <v>90.5</v>
      </c>
      <c r="AT68" s="10">
        <f>IF(OR(AR68="",AS68="",AR68="-",AS68="-"),"-",AR68-AS68)</f>
        <v>1</v>
      </c>
      <c r="AW68" s="10" t="str">
        <f>IF(OR(AU68="",AV68="",AU68="-",AV68="-"),"-",AU68-AV68)</f>
        <v>-</v>
      </c>
      <c r="AX68" s="5">
        <v>88.5</v>
      </c>
      <c r="AY68" s="5">
        <v>89.4</v>
      </c>
      <c r="AZ68" s="10">
        <f>IF(OR(AX68="",AY68="",AX68="-",AY68="-"),"-",AX68-AY68)</f>
        <v>-0.90000000000000568</v>
      </c>
    </row>
    <row r="69" spans="1:52" x14ac:dyDescent="0.25">
      <c r="A69" s="241" t="s">
        <v>145</v>
      </c>
      <c r="B69" s="223"/>
      <c r="C69" s="223"/>
      <c r="D69" s="217" t="str">
        <f>IF(OR(B69="",C69="",B69="-",C69="-"),"-",B69-C69)</f>
        <v>-</v>
      </c>
      <c r="E69" s="223">
        <v>7.6999999999999999E-2</v>
      </c>
      <c r="F69" s="223">
        <v>-3.9E-2</v>
      </c>
      <c r="G69" s="217">
        <f>IF(OR(E69="",F69="",E69="-",F69="-"),"-",E69-F69)</f>
        <v>0.11599999999999999</v>
      </c>
      <c r="H69" s="225">
        <v>7.6999999999999999E-2</v>
      </c>
      <c r="I69" s="225">
        <v>-3.9E-2</v>
      </c>
      <c r="J69" s="217">
        <f>IF(OR(H69="",I69="",H69="-",I69="-"),"-",H69-I69)</f>
        <v>0.11599999999999999</v>
      </c>
      <c r="K69" s="225">
        <v>-3.9E-2</v>
      </c>
      <c r="L69" s="223"/>
      <c r="M69" s="217" t="str">
        <f>IF(OR(K69="",L69="",K69="-",L69="-"),"-",K69-L69)</f>
        <v>-</v>
      </c>
      <c r="N69" s="223">
        <v>10.8</v>
      </c>
      <c r="O69" s="223">
        <v>-8.6999999999999993</v>
      </c>
      <c r="P69" s="217">
        <f>IF(OR(N69="",O69="",N69="-",O69="-"),"-",N69-O69)</f>
        <v>19.5</v>
      </c>
      <c r="Q69" s="223">
        <v>-8.6999999999999993</v>
      </c>
      <c r="R69" s="223">
        <v>5.5</v>
      </c>
      <c r="S69" s="217">
        <f>IF(OR(Q69="",R69="",Q69="-",R69="-"),"-",Q69-R69)</f>
        <v>-14.2</v>
      </c>
      <c r="T69" s="217">
        <v>5.5</v>
      </c>
      <c r="U69" s="223">
        <v>-16</v>
      </c>
      <c r="V69" s="217">
        <f>IF(OR(T69="",U69="",T69="-",U69="-"),"-",T69-U69)</f>
        <v>21.5</v>
      </c>
      <c r="W69" s="223">
        <v>-16</v>
      </c>
      <c r="X69" s="223">
        <v>-8.1</v>
      </c>
      <c r="Y69" s="217">
        <f>IF(OR(W69="",X69="",W69="-",X69="-"),"-",W69-X69)</f>
        <v>-7.9</v>
      </c>
      <c r="Z69" s="5">
        <v>-8.1</v>
      </c>
      <c r="AA69" s="5">
        <v>-20</v>
      </c>
      <c r="AB69" s="10">
        <f>IF(OR(Z69="",AA69="",Z69="-",AA69="-"),"-",Z69-AA69)</f>
        <v>11.9</v>
      </c>
      <c r="AC69" s="5">
        <v>-20</v>
      </c>
      <c r="AD69" s="5">
        <v>-12.6</v>
      </c>
      <c r="AE69" s="10">
        <f>IF(OR(AC69="",AD69="",AC69="-",AD69="-"),"-",AC69-AD69)</f>
        <v>-7.4</v>
      </c>
      <c r="AF69" s="5">
        <v>-12.6</v>
      </c>
      <c r="AG69" s="5">
        <v>0.2</v>
      </c>
      <c r="AH69" s="10">
        <f>IF(OR(AF69="",AG69="",AF69="-",AG69="-"),"-",AF69-AG69)</f>
        <v>-12.799999999999999</v>
      </c>
      <c r="AI69" s="5">
        <v>0.2</v>
      </c>
      <c r="AJ69" s="5">
        <v>-11.9</v>
      </c>
      <c r="AK69" s="10">
        <f>IF(OR(AI69="",AJ69="",AI69="-",AJ69="-"),"-",AI69-AJ69)</f>
        <v>12.1</v>
      </c>
      <c r="AL69" s="5">
        <v>-11.9</v>
      </c>
      <c r="AM69" s="5">
        <v>11.5</v>
      </c>
      <c r="AN69" s="10">
        <f>IF(OR(AL69="",AM69="",AL69="-",AM69="-"),"-",AL69-AM69)</f>
        <v>-23.4</v>
      </c>
      <c r="AO69" s="5">
        <v>11.5</v>
      </c>
      <c r="AP69" s="5">
        <v>-4.7</v>
      </c>
      <c r="AQ69" s="10">
        <f>IF(OR(AO69="",AP69="",AO69="-",AP69="-"),"-",AO69-AP69)</f>
        <v>16.2</v>
      </c>
      <c r="AR69" s="5">
        <v>-6.6</v>
      </c>
      <c r="AS69" s="5">
        <v>-6</v>
      </c>
      <c r="AT69" s="10">
        <f>IF(OR(AR69="",AS69="",AR69="-",AS69="-"),"-",AR69-AS69)</f>
        <v>-0.59999999999999964</v>
      </c>
      <c r="AU69" s="5">
        <v>-15.6</v>
      </c>
      <c r="AV69" s="5">
        <v>-14.3</v>
      </c>
      <c r="AW69" s="10">
        <f>IF(OR(AU69="",AV69="",AU69="-",AV69="-"),"-",AU69-AV69)</f>
        <v>-1.2999999999999989</v>
      </c>
      <c r="AX69" s="5">
        <v>-14.3</v>
      </c>
      <c r="AY69" s="5">
        <v>-20.9</v>
      </c>
      <c r="AZ69" s="10">
        <f>IF(OR(AX69="",AY69="",AX69="-",AY69="-"),"-",AX69-AY69)</f>
        <v>6.5999999999999979</v>
      </c>
    </row>
    <row r="70" spans="1:52" x14ac:dyDescent="0.25">
      <c r="A70" s="241"/>
      <c r="B70" s="223"/>
      <c r="C70" s="223"/>
      <c r="D70" s="218" t="str">
        <f>IF(OR(B70="",C70="",B70="-",C70="-"),"-",B70-C70)</f>
        <v>-</v>
      </c>
      <c r="E70" s="223"/>
      <c r="F70" s="223"/>
      <c r="G70" s="218" t="str">
        <f>IF(OR(E70="",F70="",E70="-",F70="-"),"-",E70-F70)</f>
        <v>-</v>
      </c>
      <c r="H70" s="223"/>
      <c r="I70" s="223"/>
      <c r="J70" s="218" t="str">
        <f>IF(OR(H70="",I70="",H70="-",I70="-"),"-",H70-I70)</f>
        <v>-</v>
      </c>
      <c r="K70" s="223"/>
      <c r="L70" s="223"/>
      <c r="M70" s="218" t="str">
        <f>IF(OR(K70="",L70="",K70="-",L70="-"),"-",K70-L70)</f>
        <v>-</v>
      </c>
      <c r="N70" s="223"/>
      <c r="O70" s="223"/>
      <c r="P70" s="218" t="str">
        <f>IF(OR(N70="",O70="",N70="-",O70="-"),"-",N70-O70)</f>
        <v>-</v>
      </c>
      <c r="Q70" s="223"/>
      <c r="R70" s="223"/>
      <c r="S70" s="218" t="str">
        <f>IF(OR(Q70="",R70="",Q70="-",R70="-"),"-",Q70-R70)</f>
        <v>-</v>
      </c>
      <c r="T70" s="223"/>
      <c r="U70" s="223"/>
      <c r="V70" s="218" t="str">
        <f>IF(OR(T70="",U70="",T70="-",U70="-"),"-",T70-U70)</f>
        <v>-</v>
      </c>
      <c r="W70" s="223"/>
      <c r="X70" s="223"/>
      <c r="Y70" s="218" t="str">
        <f>IF(OR(W70="",X70="",W70="-",X70="-"),"-",W70-X70)</f>
        <v>-</v>
      </c>
      <c r="AB70" s="20" t="str">
        <f>IF(OR(Z70="",AA70="",Z70="-",AA70="-"),"-",Z70-AA70)</f>
        <v>-</v>
      </c>
      <c r="AE70" s="20" t="str">
        <f>IF(OR(AC70="",AD70="",AC70="-",AD70="-"),"-",AC70-AD70)</f>
        <v>-</v>
      </c>
      <c r="AH70" s="20" t="str">
        <f>IF(OR(AF70="",AG70="",AF70="-",AG70="-"),"-",AF70-AG70)</f>
        <v>-</v>
      </c>
      <c r="AK70" s="20" t="str">
        <f>IF(OR(AI70="",AJ70="",AI70="-",AJ70="-"),"-",AI70-AJ70)</f>
        <v>-</v>
      </c>
      <c r="AN70" s="20" t="str">
        <f>IF(OR(AL70="",AM70="",AL70="-",AM70="-"),"-",AL70-AM70)</f>
        <v>-</v>
      </c>
      <c r="AQ70" s="20" t="str">
        <f>IF(OR(AO70="",AP70="",AO70="-",AP70="-"),"-",AO70-AP70)</f>
        <v>-</v>
      </c>
      <c r="AT70" s="20" t="str">
        <f>IF(OR(AR70="",AS70="",AR70="-",AS70="-"),"-",AR70-AS70)</f>
        <v>-</v>
      </c>
      <c r="AW70" s="20" t="str">
        <f>IF(OR(AU70="",AV70="",AU70="-",AV70="-"),"-",AU70-AV70)</f>
        <v>-</v>
      </c>
      <c r="AZ70" s="20" t="str">
        <f>IF(OR(AX70="",AY70="",AX70="-",AY70="-"),"-",AX70-AY70)</f>
        <v>-</v>
      </c>
    </row>
    <row r="71" spans="1:52" x14ac:dyDescent="0.25">
      <c r="A71" s="236" t="s">
        <v>146</v>
      </c>
      <c r="B71" s="332" t="str">
        <f>IF(AND(D72="-",D73="-",D74="-",D75="-",D76="-",D77="-",D78="-",D79="-",D80="-",D81="-"), "",
 IF(SUM(IF(D72="-", 0, IF(D72&lt;0, -2, IF(D72&gt;M720, 2, 0))),
          IF(D73="-", 0, IF(D73&lt;0, -2, IF(D73&gt;0, 2, 0))),
          IF(D74="-", 0, IF(D74&lt;0, -2, IF(D74&gt;0, 2, 0))),
          IF(D75="-", 0, IF(D75&lt;0, -2, IF(D75&gt;0, 2, 0))),
          IF(D76="-", 0, IF(D76&lt;0, -2, IF(D76&gt;0, 2, 0))),
          IF(D77="-", 0, IF(D77&lt;0, -1, IF(D77&gt;0, 1, 0))),
          IF(D78="-", 0, IF(D78&lt;0, -1, IF(D78&gt;0, 1, 0))),
          IF(D79="-", 0, IF(D79&lt;0, -1, IF(D79&gt;0, 1, 0))),
          IF(D80="-", 0, IF(D80&lt;0, -1, IF(D80&gt;0, 1, 0))),
          IF(D81="-", 0, IF(D81&lt;0, -1, IF(D81&gt;0, 1, 0)))
          ) / 15 &gt; 0.1, "BULLISH",
 IF(SUM(IF(D72="-", 0, IF(D72&lt;0, -2, IF(D72&gt;0, 2, 0))),
          IF(D73="-", 0, IF(D73&lt;0, -2, IF(D73&gt;0, 2, 0))),
          IF(D74="-", 0, IF(D74&lt;0, -2, IF(D74&gt;0, 2, 0))),
          IF(D75="-", 0, IF(D75&lt;0, -2, IF(D75&gt;0, 2, 0))),
          IF(D76="-", 0, IF(D76&lt;0, -2, IF(D76&gt;0, 2, 0))),
          IF(D77="-", 0, IF(D77&lt;0, -1, IF(D77&gt;0, 1, 0))),
          IF(D78="-", 0, IF(D78&lt;0, -1, IF(D78&gt;0, 1, 0))),
          IF(D79="-", 0, IF(D79&lt;0, -1, IF(D79&gt;0, 1, 0))),
          IF(D80="-", 0, IF(D80&lt;0, -1, IF(D80&gt;0, 1, 0))),
          IF(D81="-", 0, IF(D81&lt;0, -1, IF(D81&gt;0, 1, 0)))
          ) / 15 &lt; -0.1, "BEARISH",
 IF(SUM(IF(D72="-", 0, IF(D72&lt;0, -2, IF(D72&gt;0, 2, 0))),
          IF(D73="-", 0, IF(D73&lt;0, -2, IF(D73&gt;0, 2, 0))),
          IF(D74="-", 0, IF(D74&lt;0, -2, IF(D74&gt;0, 2, 0))),
          IF(D75="-", 0, IF(D75&lt;0, -2, IF(D75&gt;0, 2, 0))),
          IF(D76="-", 0, IF(D76&lt;0, -2, IF(D76&gt;0, 2, 0))),
          IF(D77="-", 0, IF(D77&lt;0, -1, IF(D77&gt;0, 1, 0))),
          IF(D78="-", 0, IF(D78&lt;0, -1, IF(D78&gt;0, 1, 0))),
          IF(D79="-", 0, IF(D79&lt;0, -1, IF(D79&gt;0, 1, 0))),
          IF(D80="-", 0, IF(D80&lt;0, -1, IF(D80&gt;0, 1, 0))),
          IF(D81="-", 0, IF(D81&lt;0, -1, IF(D81&gt;0, 1, 0)))
          ) / 15 &gt; -0.1, "NEUTRO", "NEUTRO"))))</f>
        <v/>
      </c>
      <c r="C71" s="332"/>
      <c r="D71" s="332"/>
      <c r="E71" s="332" t="str">
        <f>IF(AND(G72="-",G73="-",G74="-",G75="-",G76="-",G77="-",G78="-",G79="-",G80="-",G81="-"), "",
 IF(SUM(IF(G72="-", 0, IF(G72&lt;0, -2, IF(G72&gt;P720, 2, 0))),
          IF(G73="-", 0, IF(G73&lt;0, -2, IF(G73&gt;0, 2, 0))),
          IF(G74="-", 0, IF(G74&lt;0, -2, IF(G74&gt;0, 2, 0))),
          IF(G75="-", 0, IF(G75&lt;0, -2, IF(G75&gt;0, 2, 0))),
          IF(G76="-", 0, IF(G76&lt;0, -2, IF(G76&gt;0, 2, 0))),
          IF(G77="-", 0, IF(G77&lt;0, -1, IF(G77&gt;0, 1, 0))),
          IF(G78="-", 0, IF(G78&lt;0, -1, IF(G78&gt;0, 1, 0))),
          IF(G79="-", 0, IF(G79&lt;0, -1, IF(G79&gt;0, 1, 0))),
          IF(G80="-", 0, IF(G80&lt;0, -1, IF(G80&gt;0, 1, 0))),
          IF(G81="-", 0, IF(G81&lt;0, -1, IF(G81&gt;0, 1, 0)))
          ) / 15 &gt; 0.1, "BULLISH",
 IF(SUM(IF(G72="-", 0, IF(G72&lt;0, -2, IF(G72&gt;0, 2, 0))),
          IF(G73="-", 0, IF(G73&lt;0, -2, IF(G73&gt;0, 2, 0))),
          IF(G74="-", 0, IF(G74&lt;0, -2, IF(G74&gt;0, 2, 0))),
          IF(G75="-", 0, IF(G75&lt;0, -2, IF(G75&gt;0, 2, 0))),
          IF(G76="-", 0, IF(G76&lt;0, -2, IF(G76&gt;0, 2, 0))),
          IF(G77="-", 0, IF(G77&lt;0, -1, IF(G77&gt;0, 1, 0))),
          IF(G78="-", 0, IF(G78&lt;0, -1, IF(G78&gt;0, 1, 0))),
          IF(G79="-", 0, IF(G79&lt;0, -1, IF(G79&gt;0, 1, 0))),
          IF(G80="-", 0, IF(G80&lt;0, -1, IF(G80&gt;0, 1, 0))),
          IF(G81="-", 0, IF(G81&lt;0, -1, IF(G81&gt;0, 1, 0)))
          ) / 15 &lt; -0.1, "BEARISH",
 IF(SUM(IF(G72="-", 0, IF(G72&lt;0, -2, IF(G72&gt;0, 2, 0))),
          IF(G73="-", 0, IF(G73&lt;0, -2, IF(G73&gt;0, 2, 0))),
          IF(G74="-", 0, IF(G74&lt;0, -2, IF(G74&gt;0, 2, 0))),
          IF(G75="-", 0, IF(G75&lt;0, -2, IF(G75&gt;0, 2, 0))),
          IF(G76="-", 0, IF(G76&lt;0, -2, IF(G76&gt;0, 2, 0))),
          IF(G77="-", 0, IF(G77&lt;0, -1, IF(G77&gt;0, 1, 0))),
          IF(G78="-", 0, IF(G78&lt;0, -1, IF(G78&gt;0, 1, 0))),
          IF(G79="-", 0, IF(G79&lt;0, -1, IF(G79&gt;0, 1, 0))),
          IF(G80="-", 0, IF(G80&lt;0, -1, IF(G80&gt;0, 1, 0))),
          IF(G81="-", 0, IF(G81&lt;0, -1, IF(G81&gt;0, 1, 0)))
          ) / 15 &gt; -0.1, "NEUTRO", "NEUTRO"))))</f>
        <v>NEUTRO</v>
      </c>
      <c r="F71" s="332"/>
      <c r="G71" s="332"/>
      <c r="H71" s="332" t="str">
        <f>IF(AND(J72="-",J73="-",J74="-",J75="-",J76="-",J77="-",J78="-",J79="-",J80="-",J81="-"), "",
 IF(SUM(IF(J72="-", 0, IF(J72&lt;0, -2, IF(J72&gt;S720, 2, 0))),
          IF(J73="-", 0, IF(J73&lt;0, -2, IF(J73&gt;0, 2, 0))),
          IF(J74="-", 0, IF(J74&lt;0, -2, IF(J74&gt;0, 2, 0))),
          IF(J75="-", 0, IF(J75&lt;0, -2, IF(J75&gt;0, 2, 0))),
          IF(J76="-", 0, IF(J76&lt;0, -2, IF(J76&gt;0, 2, 0))),
          IF(J77="-", 0, IF(J77&lt;0, -1, IF(J77&gt;0, 1, 0))),
          IF(J78="-", 0, IF(J78&lt;0, -1, IF(J78&gt;0, 1, 0))),
          IF(J79="-", 0, IF(J79&lt;0, -1, IF(J79&gt;0, 1, 0))),
          IF(J80="-", 0, IF(J80&lt;0, -1, IF(J80&gt;0, 1, 0))),
          IF(J81="-", 0, IF(J81&lt;0, -1, IF(J81&gt;0, 1, 0)))
          ) / 15 &gt; 0.1, "BULLISH",
 IF(SUM(IF(J72="-", 0, IF(J72&lt;0, -2, IF(J72&gt;0, 2, 0))),
          IF(J73="-", 0, IF(J73&lt;0, -2, IF(J73&gt;0, 2, 0))),
          IF(J74="-", 0, IF(J74&lt;0, -2, IF(J74&gt;0, 2, 0))),
          IF(J75="-", 0, IF(J75&lt;0, -2, IF(J75&gt;0, 2, 0))),
          IF(J76="-", 0, IF(J76&lt;0, -2, IF(J76&gt;0, 2, 0))),
          IF(J77="-", 0, IF(J77&lt;0, -1, IF(J77&gt;0, 1, 0))),
          IF(J78="-", 0, IF(J78&lt;0, -1, IF(J78&gt;0, 1, 0))),
          IF(J79="-", 0, IF(J79&lt;0, -1, IF(J79&gt;0, 1, 0))),
          IF(J80="-", 0, IF(J80&lt;0, -1, IF(J80&gt;0, 1, 0))),
          IF(J81="-", 0, IF(J81&lt;0, -1, IF(J81&gt;0, 1, 0)))
          ) / 15 &lt; -0.1, "BEARISH",
 IF(SUM(IF(J72="-", 0, IF(J72&lt;0, -2, IF(J72&gt;0, 2, 0))),
          IF(J73="-", 0, IF(J73&lt;0, -2, IF(J73&gt;0, 2, 0))),
          IF(J74="-", 0, IF(J74&lt;0, -2, IF(J74&gt;0, 2, 0))),
          IF(J75="-", 0, IF(J75&lt;0, -2, IF(J75&gt;0, 2, 0))),
          IF(J76="-", 0, IF(J76&lt;0, -2, IF(J76&gt;0, 2, 0))),
          IF(J77="-", 0, IF(J77&lt;0, -1, IF(J77&gt;0, 1, 0))),
          IF(J78="-", 0, IF(J78&lt;0, -1, IF(J78&gt;0, 1, 0))),
          IF(J79="-", 0, IF(J79&lt;0, -1, IF(J79&gt;0, 1, 0))),
          IF(J80="-", 0, IF(J80&lt;0, -1, IF(J80&gt;0, 1, 0))),
          IF(J81="-", 0, IF(J81&lt;0, -1, IF(J81&gt;0, 1, 0)))
          ) / 15 &gt; -0.1, "NEUTRO", "NEUTRO"))))</f>
        <v>NEUTRO</v>
      </c>
      <c r="I71" s="332"/>
      <c r="J71" s="332"/>
      <c r="K71" s="332" t="str">
        <f>IF(AND(M72="-",M73="-",M74="-",M75="-",M76="-",M77="-",M78="-",M79="-",M80="-",M81="-"), "",
 IF(SUM(IF(M72="-", 0, IF(M72&lt;0, -2, IF(M72&gt;V720, 2, 0))),
          IF(M73="-", 0, IF(M73&lt;0, -2, IF(M73&gt;0, 2, 0))),
          IF(M74="-", 0, IF(M74&lt;0, -2, IF(M74&gt;0, 2, 0))),
          IF(M75="-", 0, IF(M75&lt;0, -2, IF(M75&gt;0, 2, 0))),
          IF(M76="-", 0, IF(M76&lt;0, -2, IF(M76&gt;0, 2, 0))),
          IF(M77="-", 0, IF(M77&lt;0, -1, IF(M77&gt;0, 1, 0))),
          IF(M78="-", 0, IF(M78&lt;0, -1, IF(M78&gt;0, 1, 0))),
          IF(M79="-", 0, IF(M79&lt;0, -1, IF(M79&gt;0, 1, 0))),
          IF(M80="-", 0, IF(M80&lt;0, -1, IF(M80&gt;0, 1, 0))),
          IF(M81="-", 0, IF(M81&lt;0, -1, IF(M81&gt;0, 1, 0)))
          ) / 15 &gt; 0.1, "BULLISH",
 IF(SUM(IF(M72="-", 0, IF(M72&lt;0, -2, IF(M72&gt;0, 2, 0))),
          IF(M73="-", 0, IF(M73&lt;0, -2, IF(M73&gt;0, 2, 0))),
          IF(M74="-", 0, IF(M74&lt;0, -2, IF(M74&gt;0, 2, 0))),
          IF(M75="-", 0, IF(M75&lt;0, -2, IF(M75&gt;0, 2, 0))),
          IF(M76="-", 0, IF(M76&lt;0, -2, IF(M76&gt;0, 2, 0))),
          IF(M77="-", 0, IF(M77&lt;0, -1, IF(M77&gt;0, 1, 0))),
          IF(M78="-", 0, IF(M78&lt;0, -1, IF(M78&gt;0, 1, 0))),
          IF(M79="-", 0, IF(M79&lt;0, -1, IF(M79&gt;0, 1, 0))),
          IF(M80="-", 0, IF(M80&lt;0, -1, IF(M80&gt;0, 1, 0))),
          IF(M81="-", 0, IF(M81&lt;0, -1, IF(M81&gt;0, 1, 0)))
          ) / 15 &lt; -0.1, "BEARISH",
 IF(SUM(IF(M72="-", 0, IF(M72&lt;0, -2, IF(M72&gt;0, 2, 0))),
          IF(M73="-", 0, IF(M73&lt;0, -2, IF(M73&gt;0, 2, 0))),
          IF(M74="-", 0, IF(M74&lt;0, -2, IF(M74&gt;0, 2, 0))),
          IF(M75="-", 0, IF(M75&lt;0, -2, IF(M75&gt;0, 2, 0))),
          IF(M76="-", 0, IF(M76&lt;0, -2, IF(M76&gt;0, 2, 0))),
          IF(M77="-", 0, IF(M77&lt;0, -1, IF(M77&gt;0, 1, 0))),
          IF(M78="-", 0, IF(M78&lt;0, -1, IF(M78&gt;0, 1, 0))),
          IF(M79="-", 0, IF(M79&lt;0, -1, IF(M79&gt;0, 1, 0))),
          IF(M80="-", 0, IF(M80&lt;0, -1, IF(M80&gt;0, 1, 0))),
          IF(M81="-", 0, IF(M81&lt;0, -1, IF(M81&gt;0, 1, 0)))
          ) / 15 &gt; -0.1, "NEUTRO", "NEUTRO"))))</f>
        <v/>
      </c>
      <c r="L71" s="332"/>
      <c r="M71" s="332"/>
      <c r="N71" s="332" t="str">
        <f>IF(AND(P72="-",P73="-",P74="-",P75="-",P76="-",P77="-",P78="-",P79="-",P80="-",P81="-"), "",
 IF(SUM(IF(P72="-", 0, IF(P72&lt;0, -2, IF(P72&gt;Y720, 2, 0))),
          IF(P73="-", 0, IF(P73&lt;0, -2, IF(P73&gt;0, 2, 0))),
          IF(P74="-", 0, IF(P74&lt;0, -2, IF(P74&gt;0, 2, 0))),
          IF(P75="-", 0, IF(P75&lt;0, -2, IF(P75&gt;0, 2, 0))),
          IF(P76="-", 0, IF(P76&lt;0, -2, IF(P76&gt;0, 2, 0))),
          IF(P77="-", 0, IF(P77&lt;0, -1, IF(P77&gt;0, 1, 0))),
          IF(P78="-", 0, IF(P78&lt;0, -1, IF(P78&gt;0, 1, 0))),
          IF(P79="-", 0, IF(P79&lt;0, -1, IF(P79&gt;0, 1, 0))),
          IF(P80="-", 0, IF(P80&lt;0, -1, IF(P80&gt;0, 1, 0))),
          IF(P81="-", 0, IF(P81&lt;0, -1, IF(P81&gt;0, 1, 0)))
          ) / 15 &gt; 0.1, "BULLISH",
 IF(SUM(IF(P72="-", 0, IF(P72&lt;0, -2, IF(P72&gt;0, 2, 0))),
          IF(P73="-", 0, IF(P73&lt;0, -2, IF(P73&gt;0, 2, 0))),
          IF(P74="-", 0, IF(P74&lt;0, -2, IF(P74&gt;0, 2, 0))),
          IF(P75="-", 0, IF(P75&lt;0, -2, IF(P75&gt;0, 2, 0))),
          IF(P76="-", 0, IF(P76&lt;0, -2, IF(P76&gt;0, 2, 0))),
          IF(P77="-", 0, IF(P77&lt;0, -1, IF(P77&gt;0, 1, 0))),
          IF(P78="-", 0, IF(P78&lt;0, -1, IF(P78&gt;0, 1, 0))),
          IF(P79="-", 0, IF(P79&lt;0, -1, IF(P79&gt;0, 1, 0))),
          IF(P80="-", 0, IF(P80&lt;0, -1, IF(P80&gt;0, 1, 0))),
          IF(P81="-", 0, IF(P81&lt;0, -1, IF(P81&gt;0, 1, 0)))
          ) / 15 &lt; -0.1, "BEARISH",
 IF(SUM(IF(P72="-", 0, IF(P72&lt;0, -2, IF(P72&gt;0, 2, 0))),
          IF(P73="-", 0, IF(P73&lt;0, -2, IF(P73&gt;0, 2, 0))),
          IF(P74="-", 0, IF(P74&lt;0, -2, IF(P74&gt;0, 2, 0))),
          IF(P75="-", 0, IF(P75&lt;0, -2, IF(P75&gt;0, 2, 0))),
          IF(P76="-", 0, IF(P76&lt;0, -2, IF(P76&gt;0, 2, 0))),
          IF(P77="-", 0, IF(P77&lt;0, -1, IF(P77&gt;0, 1, 0))),
          IF(P78="-", 0, IF(P78&lt;0, -1, IF(P78&gt;0, 1, 0))),
          IF(P79="-", 0, IF(P79&lt;0, -1, IF(P79&gt;0, 1, 0))),
          IF(P80="-", 0, IF(P80&lt;0, -1, IF(P80&gt;0, 1, 0))),
          IF(P81="-", 0, IF(P81&lt;0, -1, IF(P81&gt;0, 1, 0)))
          ) / 15 &gt; -0.1, "NEUTRO", "NEUTRO"))))</f>
        <v>BULLISH</v>
      </c>
      <c r="O71" s="332"/>
      <c r="P71" s="332"/>
      <c r="Q71" s="332" t="str">
        <f>IF(AND(S72="-",S73="-",S74="-",S75="-",S76="-",S77="-",S78="-",S79="-",S80="-",S81="-"), "",
 IF(SUM(IF(S72="-", 0, IF(S72&lt;0, -2, IF(S72&gt;AB720, 2, 0))),
          IF(S73="-", 0, IF(S73&lt;0, -2, IF(S73&gt;0, 2, 0))),
          IF(S74="-", 0, IF(S74&lt;0, -2, IF(S74&gt;0, 2, 0))),
          IF(S75="-", 0, IF(S75&lt;0, -2, IF(S75&gt;0, 2, 0))),
          IF(S76="-", 0, IF(S76&lt;0, -2, IF(S76&gt;0, 2, 0))),
          IF(S77="-", 0, IF(S77&lt;0, -1, IF(S77&gt;0, 1, 0))),
          IF(S78="-", 0, IF(S78&lt;0, -1, IF(S78&gt;0, 1, 0))),
          IF(S79="-", 0, IF(S79&lt;0, -1, IF(S79&gt;0, 1, 0))),
          IF(S80="-", 0, IF(S80&lt;0, -1, IF(S80&gt;0, 1, 0))),
          IF(S81="-", 0, IF(S81&lt;0, -1, IF(S81&gt;0, 1, 0)))
          ) / 15 &gt; 0.1, "BULLISH",
 IF(SUM(IF(S72="-", 0, IF(S72&lt;0, -2, IF(S72&gt;0, 2, 0))),
          IF(S73="-", 0, IF(S73&lt;0, -2, IF(S73&gt;0, 2, 0))),
          IF(S74="-", 0, IF(S74&lt;0, -2, IF(S74&gt;0, 2, 0))),
          IF(S75="-", 0, IF(S75&lt;0, -2, IF(S75&gt;0, 2, 0))),
          IF(S76="-", 0, IF(S76&lt;0, -2, IF(S76&gt;0, 2, 0))),
          IF(S77="-", 0, IF(S77&lt;0, -1, IF(S77&gt;0, 1, 0))),
          IF(S78="-", 0, IF(S78&lt;0, -1, IF(S78&gt;0, 1, 0))),
          IF(S79="-", 0, IF(S79&lt;0, -1, IF(S79&gt;0, 1, 0))),
          IF(S80="-", 0, IF(S80&lt;0, -1, IF(S80&gt;0, 1, 0))),
          IF(S81="-", 0, IF(S81&lt;0, -1, IF(S81&gt;0, 1, 0)))
          ) / 15 &lt; -0.1, "BEARISH",
 IF(SUM(IF(S72="-", 0, IF(S72&lt;0, -2, IF(S72&gt;0, 2, 0))),
          IF(S73="-", 0, IF(S73&lt;0, -2, IF(S73&gt;0, 2, 0))),
          IF(S74="-", 0, IF(S74&lt;0, -2, IF(S74&gt;0, 2, 0))),
          IF(S75="-", 0, IF(S75&lt;0, -2, IF(S75&gt;0, 2, 0))),
          IF(S76="-", 0, IF(S76&lt;0, -2, IF(S76&gt;0, 2, 0))),
          IF(S77="-", 0, IF(S77&lt;0, -1, IF(S77&gt;0, 1, 0))),
          IF(S78="-", 0, IF(S78&lt;0, -1, IF(S78&gt;0, 1, 0))),
          IF(S79="-", 0, IF(S79&lt;0, -1, IF(S79&gt;0, 1, 0))),
          IF(S80="-", 0, IF(S80&lt;0, -1, IF(S80&gt;0, 1, 0))),
          IF(S81="-", 0, IF(S81&lt;0, -1, IF(S81&gt;0, 1, 0)))
          ) / 15 &gt; -0.1, "NEUTRO", "NEUTRO"))))</f>
        <v>BEARISH</v>
      </c>
      <c r="R71" s="332"/>
      <c r="S71" s="332"/>
      <c r="T71" s="332" t="str">
        <f>IF(AND(V72="-",V73="-",V74="-",V75="-",V76="-",V77="-",V78="-",V79="-",V80="-",V81="-"), "",
 IF(SUM(IF(V72="-", 0, IF(V72&lt;0, -2, IF(V72&gt;AE720, 2, 0))),
          IF(V73="-", 0, IF(V73&lt;0, -2, IF(V73&gt;0, 2, 0))),
          IF(V74="-", 0, IF(V74&lt;0, -2, IF(V74&gt;0, 2, 0))),
          IF(V75="-", 0, IF(V75&lt;0, -2, IF(V75&gt;0, 2, 0))),
          IF(V76="-", 0, IF(V76&lt;0, -2, IF(V76&gt;0, 2, 0))),
          IF(V77="-", 0, IF(V77&lt;0, -1, IF(V77&gt;0, 1, 0))),
          IF(V78="-", 0, IF(V78&lt;0, -1, IF(V78&gt;0, 1, 0))),
          IF(V79="-", 0, IF(V79&lt;0, -1, IF(V79&gt;0, 1, 0))),
          IF(V80="-", 0, IF(V80&lt;0, -1, IF(V80&gt;0, 1, 0))),
          IF(V81="-", 0, IF(V81&lt;0, -1, IF(V81&gt;0, 1, 0)))
          ) / 15 &gt; 0.1, "BULLISH",
 IF(SUM(IF(V72="-", 0, IF(V72&lt;0, -2, IF(V72&gt;0, 2, 0))),
          IF(V73="-", 0, IF(V73&lt;0, -2, IF(V73&gt;0, 2, 0))),
          IF(V74="-", 0, IF(V74&lt;0, -2, IF(V74&gt;0, 2, 0))),
          IF(V75="-", 0, IF(V75&lt;0, -2, IF(V75&gt;0, 2, 0))),
          IF(V76="-", 0, IF(V76&lt;0, -2, IF(V76&gt;0, 2, 0))),
          IF(V77="-", 0, IF(V77&lt;0, -1, IF(V77&gt;0, 1, 0))),
          IF(V78="-", 0, IF(V78&lt;0, -1, IF(V78&gt;0, 1, 0))),
          IF(V79="-", 0, IF(V79&lt;0, -1, IF(V79&gt;0, 1, 0))),
          IF(V80="-", 0, IF(V80&lt;0, -1, IF(V80&gt;0, 1, 0))),
          IF(V81="-", 0, IF(V81&lt;0, -1, IF(V81&gt;0, 1, 0)))
          ) / 15 &lt; -0.1, "BEARISH",
 IF(SUM(IF(V72="-", 0, IF(V72&lt;0, -2, IF(V72&gt;0, 2, 0))),
          IF(V73="-", 0, IF(V73&lt;0, -2, IF(V73&gt;0, 2, 0))),
          IF(V74="-", 0, IF(V74&lt;0, -2, IF(V74&gt;0, 2, 0))),
          IF(V75="-", 0, IF(V75&lt;0, -2, IF(V75&gt;0, 2, 0))),
          IF(V76="-", 0, IF(V76&lt;0, -2, IF(V76&gt;0, 2, 0))),
          IF(V77="-", 0, IF(V77&lt;0, -1, IF(V77&gt;0, 1, 0))),
          IF(V78="-", 0, IF(V78&lt;0, -1, IF(V78&gt;0, 1, 0))),
          IF(V79="-", 0, IF(V79&lt;0, -1, IF(V79&gt;0, 1, 0))),
          IF(V80="-", 0, IF(V80&lt;0, -1, IF(V80&gt;0, 1, 0))),
          IF(V81="-", 0, IF(V81&lt;0, -1, IF(V81&gt;0, 1, 0)))
          ) / 15 &gt; -0.1, "NEUTRO", "NEUTRO"))))</f>
        <v>NEUTRO</v>
      </c>
      <c r="U71" s="332"/>
      <c r="V71" s="332"/>
      <c r="W71" s="332" t="str">
        <f>IF(AND(Y72="-",Y73="-",Y74="-",Y75="-",Y76="-",Y77="-",Y78="-",Y79="-",Y80="-",Y81="-"), "",
 IF(SUM(IF(Y72="-", 0, IF(Y72&lt;0, -2, IF(Y72&gt;AH720, 2, 0))),
          IF(Y73="-", 0, IF(Y73&lt;0, -2, IF(Y73&gt;0, 2, 0))),
          IF(Y74="-", 0, IF(Y74&lt;0, -2, IF(Y74&gt;0, 2, 0))),
          IF(Y75="-", 0, IF(Y75&lt;0, -2, IF(Y75&gt;0, 2, 0))),
          IF(Y76="-", 0, IF(Y76&lt;0, -2, IF(Y76&gt;0, 2, 0))),
          IF(Y77="-", 0, IF(Y77&lt;0, -1, IF(Y77&gt;0, 1, 0))),
          IF(Y78="-", 0, IF(Y78&lt;0, -1, IF(Y78&gt;0, 1, 0))),
          IF(Y79="-", 0, IF(Y79&lt;0, -1, IF(Y79&gt;0, 1, 0))),
          IF(Y80="-", 0, IF(Y80&lt;0, -1, IF(Y80&gt;0, 1, 0))),
          IF(Y81="-", 0, IF(Y81&lt;0, -1, IF(Y81&gt;0, 1, 0)))
          ) / 15 &gt; 0.1, "BULLISH",
 IF(SUM(IF(Y72="-", 0, IF(Y72&lt;0, -2, IF(Y72&gt;0, 2, 0))),
          IF(Y73="-", 0, IF(Y73&lt;0, -2, IF(Y73&gt;0, 2, 0))),
          IF(Y74="-", 0, IF(Y74&lt;0, -2, IF(Y74&gt;0, 2, 0))),
          IF(Y75="-", 0, IF(Y75&lt;0, -2, IF(Y75&gt;0, 2, 0))),
          IF(Y76="-", 0, IF(Y76&lt;0, -2, IF(Y76&gt;0, 2, 0))),
          IF(Y77="-", 0, IF(Y77&lt;0, -1, IF(Y77&gt;0, 1, 0))),
          IF(Y78="-", 0, IF(Y78&lt;0, -1, IF(Y78&gt;0, 1, 0))),
          IF(Y79="-", 0, IF(Y79&lt;0, -1, IF(Y79&gt;0, 1, 0))),
          IF(Y80="-", 0, IF(Y80&lt;0, -1, IF(Y80&gt;0, 1, 0))),
          IF(Y81="-", 0, IF(Y81&lt;0, -1, IF(Y81&gt;0, 1, 0)))
          ) / 15 &lt; -0.1, "BEARISH",
 IF(SUM(IF(Y72="-", 0, IF(Y72&lt;0, -2, IF(Y72&gt;0, 2, 0))),
          IF(Y73="-", 0, IF(Y73&lt;0, -2, IF(Y73&gt;0, 2, 0))),
          IF(Y74="-", 0, IF(Y74&lt;0, -2, IF(Y74&gt;0, 2, 0))),
          IF(Y75="-", 0, IF(Y75&lt;0, -2, IF(Y75&gt;0, 2, 0))),
          IF(Y76="-", 0, IF(Y76&lt;0, -2, IF(Y76&gt;0, 2, 0))),
          IF(Y77="-", 0, IF(Y77&lt;0, -1, IF(Y77&gt;0, 1, 0))),
          IF(Y78="-", 0, IF(Y78&lt;0, -1, IF(Y78&gt;0, 1, 0))),
          IF(Y79="-", 0, IF(Y79&lt;0, -1, IF(Y79&gt;0, 1, 0))),
          IF(Y80="-", 0, IF(Y80&lt;0, -1, IF(Y80&gt;0, 1, 0))),
          IF(Y81="-", 0, IF(Y81&lt;0, -1, IF(Y81&gt;0, 1, 0)))
          ) / 15 &gt; -0.1, "NEUTRO", "NEUTRO"))))</f>
        <v>BEARISH</v>
      </c>
      <c r="X71" s="332"/>
      <c r="Y71" s="332"/>
      <c r="Z71" s="316" t="str">
        <f>IF(AND(AB72="-",AB73="-",AB74="-",AB75="-",AB76="-",AB77="-",AB78="-",AB79="-",AB80="-",AB81="-"), "",
 IF(SUM(IF(AB72="-", 0, IF(AB72&lt;0, -2, IF(AB72&gt;AK720, 2, 0))),
          IF(AB73="-", 0, IF(AB73&lt;0, -2, IF(AB73&gt;0, 2, 0))),
          IF(AB74="-", 0, IF(AB74&lt;0, -2, IF(AB74&gt;0, 2, 0))),
          IF(AB75="-", 0, IF(AB75&lt;0, -2, IF(AB75&gt;0, 2, 0))),
          IF(AB76="-", 0, IF(AB76&lt;0, -2, IF(AB76&gt;0, 2, 0))),
          IF(AB77="-", 0, IF(AB77&lt;0, -1, IF(AB77&gt;0, 1, 0))),
          IF(AB78="-", 0, IF(AB78&lt;0, -1, IF(AB78&gt;0, 1, 0))),
          IF(AB79="-", 0, IF(AB79&lt;0, -1, IF(AB79&gt;0, 1, 0))),
          IF(AB80="-", 0, IF(AB80&lt;0, -1, IF(AB80&gt;0, 1, 0))),
          IF(AB81="-", 0, IF(AB81&lt;0, -1, IF(AB81&gt;0, 1, 0)))
          ) / 15 &gt; 0.1, "BULLISH",
 IF(SUM(IF(AB72="-", 0, IF(AB72&lt;0, -2, IF(AB72&gt;0, 2, 0))),
          IF(AB73="-", 0, IF(AB73&lt;0, -2, IF(AB73&gt;0, 2, 0))),
          IF(AB74="-", 0, IF(AB74&lt;0, -2, IF(AB74&gt;0, 2, 0))),
          IF(AB75="-", 0, IF(AB75&lt;0, -2, IF(AB75&gt;0, 2, 0))),
          IF(AB76="-", 0, IF(AB76&lt;0, -2, IF(AB76&gt;0, 2, 0))),
          IF(AB77="-", 0, IF(AB77&lt;0, -1, IF(AB77&gt;0, 1, 0))),
          IF(AB78="-", 0, IF(AB78&lt;0, -1, IF(AB78&gt;0, 1, 0))),
          IF(AB79="-", 0, IF(AB79&lt;0, -1, IF(AB79&gt;0, 1, 0))),
          IF(AB80="-", 0, IF(AB80&lt;0, -1, IF(AB80&gt;0, 1, 0))),
          IF(AB81="-", 0, IF(AB81&lt;0, -1, IF(AB81&gt;0, 1, 0)))
          ) / 15 &lt; -0.1, "BEARISH",
 IF(SUM(IF(AB72="-", 0, IF(AB72&lt;0, -2, IF(AB72&gt;0, 2, 0))),
          IF(AB73="-", 0, IF(AB73&lt;0, -2, IF(AB73&gt;0, 2, 0))),
          IF(AB74="-", 0, IF(AB74&lt;0, -2, IF(AB74&gt;0, 2, 0))),
          IF(AB75="-", 0, IF(AB75&lt;0, -2, IF(AB75&gt;0, 2, 0))),
          IF(AB76="-", 0, IF(AB76&lt;0, -2, IF(AB76&gt;0, 2, 0))),
          IF(AB77="-", 0, IF(AB77&lt;0, -1, IF(AB77&gt;0, 1, 0))),
          IF(AB78="-", 0, IF(AB78&lt;0, -1, IF(AB78&gt;0, 1, 0))),
          IF(AB79="-", 0, IF(AB79&lt;0, -1, IF(AB79&gt;0, 1, 0))),
          IF(AB80="-", 0, IF(AB80&lt;0, -1, IF(AB80&gt;0, 1, 0))),
          IF(AB81="-", 0, IF(AB81&lt;0, -1, IF(AB81&gt;0, 1, 0)))
          ) / 15 &gt; -0.1, "NEUTRO", "NEUTRO"))))</f>
        <v>NEUTRO</v>
      </c>
      <c r="AA71" s="317"/>
      <c r="AB71" s="318"/>
      <c r="AC71" s="316" t="str">
        <f>IF(AND(AE72="-",AE73="-",AE74="-",AE75="-",AE76="-",AE77="-",AE78="-",AE79="-",AE80="-",AE81="-"), "",
 IF(SUM(IF(AE72="-", 0, IF(AE72&lt;0, -2, IF(AE72&gt;AN720, 2, 0))),
          IF(AE73="-", 0, IF(AE73&lt;0, -2, IF(AE73&gt;0, 2, 0))),
          IF(AE74="-", 0, IF(AE74&lt;0, -2, IF(AE74&gt;0, 2, 0))),
          IF(AE75="-", 0, IF(AE75&lt;0, -2, IF(AE75&gt;0, 2, 0))),
          IF(AE76="-", 0, IF(AE76&lt;0, -2, IF(AE76&gt;0, 2, 0))),
          IF(AE77="-", 0, IF(AE77&lt;0, -1, IF(AE77&gt;0, 1, 0))),
          IF(AE78="-", 0, IF(AE78&lt;0, -1, IF(AE78&gt;0, 1, 0))),
          IF(AE79="-", 0, IF(AE79&lt;0, -1, IF(AE79&gt;0, 1, 0))),
          IF(AE80="-", 0, IF(AE80&lt;0, -1, IF(AE80&gt;0, 1, 0))),
          IF(AE81="-", 0, IF(AE81&lt;0, -1, IF(AE81&gt;0, 1, 0)))
          ) / 15 &gt; 0.1, "BULLISH",
 IF(SUM(IF(AE72="-", 0, IF(AE72&lt;0, -2, IF(AE72&gt;0, 2, 0))),
          IF(AE73="-", 0, IF(AE73&lt;0, -2, IF(AE73&gt;0, 2, 0))),
          IF(AE74="-", 0, IF(AE74&lt;0, -2, IF(AE74&gt;0, 2, 0))),
          IF(AE75="-", 0, IF(AE75&lt;0, -2, IF(AE75&gt;0, 2, 0))),
          IF(AE76="-", 0, IF(AE76&lt;0, -2, IF(AE76&gt;0, 2, 0))),
          IF(AE77="-", 0, IF(AE77&lt;0, -1, IF(AE77&gt;0, 1, 0))),
          IF(AE78="-", 0, IF(AE78&lt;0, -1, IF(AE78&gt;0, 1, 0))),
          IF(AE79="-", 0, IF(AE79&lt;0, -1, IF(AE79&gt;0, 1, 0))),
          IF(AE80="-", 0, IF(AE80&lt;0, -1, IF(AE80&gt;0, 1, 0))),
          IF(AE81="-", 0, IF(AE81&lt;0, -1, IF(AE81&gt;0, 1, 0)))
          ) / 15 &lt; -0.1, "BEARISH",
 IF(SUM(IF(AE72="-", 0, IF(AE72&lt;0, -2, IF(AE72&gt;0, 2, 0))),
          IF(AE73="-", 0, IF(AE73&lt;0, -2, IF(AE73&gt;0, 2, 0))),
          IF(AE74="-", 0, IF(AE74&lt;0, -2, IF(AE74&gt;0, 2, 0))),
          IF(AE75="-", 0, IF(AE75&lt;0, -2, IF(AE75&gt;0, 2, 0))),
          IF(AE76="-", 0, IF(AE76&lt;0, -2, IF(AE76&gt;0, 2, 0))),
          IF(AE77="-", 0, IF(AE77&lt;0, -1, IF(AE77&gt;0, 1, 0))),
          IF(AE78="-", 0, IF(AE78&lt;0, -1, IF(AE78&gt;0, 1, 0))),
          IF(AE79="-", 0, IF(AE79&lt;0, -1, IF(AE79&gt;0, 1, 0))),
          IF(AE80="-", 0, IF(AE80&lt;0, -1, IF(AE80&gt;0, 1, 0))),
          IF(AE81="-", 0, IF(AE81&lt;0, -1, IF(AE81&gt;0, 1, 0)))
          ) / 15 &gt; -0.1, "NEUTRO", "NEUTRO"))))</f>
        <v>BEARISH</v>
      </c>
      <c r="AD71" s="317"/>
      <c r="AE71" s="318"/>
      <c r="AF71" s="316" t="str">
        <f>IF(AND(AH72="-",AH73="-",AH74="-",AH75="-",AH76="-",AH77="-",AH78="-",AH79="-",AH80="-",AH81="-"), "",
 IF(SUM(IF(AH72="-", 0, IF(AH72&lt;0, -2, IF(AH72&gt;AQ720, 2, 0))),
          IF(AH73="-", 0, IF(AH73&lt;0, -2, IF(AH73&gt;0, 2, 0))),
          IF(AH74="-", 0, IF(AH74&lt;0, -2, IF(AH74&gt;0, 2, 0))),
          IF(AH75="-", 0, IF(AH75&lt;0, -2, IF(AH75&gt;0, 2, 0))),
          IF(AH76="-", 0, IF(AH76&lt;0, -2, IF(AH76&gt;0, 2, 0))),
          IF(AH77="-", 0, IF(AH77&lt;0, -1, IF(AH77&gt;0, 1, 0))),
          IF(AH78="-", 0, IF(AH78&lt;0, -1, IF(AH78&gt;0, 1, 0))),
          IF(AH79="-", 0, IF(AH79&lt;0, -1, IF(AH79&gt;0, 1, 0))),
          IF(AH80="-", 0, IF(AH80&lt;0, -1, IF(AH80&gt;0, 1, 0))),
          IF(AH81="-", 0, IF(AH81&lt;0, -1, IF(AH81&gt;0, 1, 0)))
          ) / 15 &gt; 0.1, "BULLISH",
 IF(SUM(IF(AH72="-", 0, IF(AH72&lt;0, -2, IF(AH72&gt;0, 2, 0))),
          IF(AH73="-", 0, IF(AH73&lt;0, -2, IF(AH73&gt;0, 2, 0))),
          IF(AH74="-", 0, IF(AH74&lt;0, -2, IF(AH74&gt;0, 2, 0))),
          IF(AH75="-", 0, IF(AH75&lt;0, -2, IF(AH75&gt;0, 2, 0))),
          IF(AH76="-", 0, IF(AH76&lt;0, -2, IF(AH76&gt;0, 2, 0))),
          IF(AH77="-", 0, IF(AH77&lt;0, -1, IF(AH77&gt;0, 1, 0))),
          IF(AH78="-", 0, IF(AH78&lt;0, -1, IF(AH78&gt;0, 1, 0))),
          IF(AH79="-", 0, IF(AH79&lt;0, -1, IF(AH79&gt;0, 1, 0))),
          IF(AH80="-", 0, IF(AH80&lt;0, -1, IF(AH80&gt;0, 1, 0))),
          IF(AH81="-", 0, IF(AH81&lt;0, -1, IF(AH81&gt;0, 1, 0)))
          ) / 15 &lt; -0.1, "BEARISH",
 IF(SUM(IF(AH72="-", 0, IF(AH72&lt;0, -2, IF(AH72&gt;0, 2, 0))),
          IF(AH73="-", 0, IF(AH73&lt;0, -2, IF(AH73&gt;0, 2, 0))),
          IF(AH74="-", 0, IF(AH74&lt;0, -2, IF(AH74&gt;0, 2, 0))),
          IF(AH75="-", 0, IF(AH75&lt;0, -2, IF(AH75&gt;0, 2, 0))),
          IF(AH76="-", 0, IF(AH76&lt;0, -2, IF(AH76&gt;0, 2, 0))),
          IF(AH77="-", 0, IF(AH77&lt;0, -1, IF(AH77&gt;0, 1, 0))),
          IF(AH78="-", 0, IF(AH78&lt;0, -1, IF(AH78&gt;0, 1, 0))),
          IF(AH79="-", 0, IF(AH79&lt;0, -1, IF(AH79&gt;0, 1, 0))),
          IF(AH80="-", 0, IF(AH80&lt;0, -1, IF(AH80&gt;0, 1, 0))),
          IF(AH81="-", 0, IF(AH81&lt;0, -1, IF(AH81&gt;0, 1, 0)))
          ) / 15 &gt; -0.1, "NEUTRO", "NEUTRO"))))</f>
        <v>BULLISH</v>
      </c>
      <c r="AG71" s="317"/>
      <c r="AH71" s="318"/>
      <c r="AI71" s="316" t="str">
        <f>IF(AND(AK72="-",AK73="-",AK74="-",AK75="-",AK76="-",AK77="-",AK78="-",AK79="-",AK80="-",AK81="-"), "",
 IF(SUM(IF(AK72="-", 0, IF(AK72&lt;0, -2, IF(AK72&gt;AT720, 2, 0))),
          IF(AK73="-", 0, IF(AK73&lt;0, -2, IF(AK73&gt;0, 2, 0))),
          IF(AK74="-", 0, IF(AK74&lt;0, -2, IF(AK74&gt;0, 2, 0))),
          IF(AK75="-", 0, IF(AK75&lt;0, -2, IF(AK75&gt;0, 2, 0))),
          IF(AK76="-", 0, IF(AK76&lt;0, -2, IF(AK76&gt;0, 2, 0))),
          IF(AK77="-", 0, IF(AK77&lt;0, -1, IF(AK77&gt;0, 1, 0))),
          IF(AK78="-", 0, IF(AK78&lt;0, -1, IF(AK78&gt;0, 1, 0))),
          IF(AK79="-", 0, IF(AK79&lt;0, -1, IF(AK79&gt;0, 1, 0))),
          IF(AK80="-", 0, IF(AK80&lt;0, -1, IF(AK80&gt;0, 1, 0))),
          IF(AK81="-", 0, IF(AK81&lt;0, -1, IF(AK81&gt;0, 1, 0)))
          ) / 15 &gt; 0.1, "BULLISH",
 IF(SUM(IF(AK72="-", 0, IF(AK72&lt;0, -2, IF(AK72&gt;0, 2, 0))),
          IF(AK73="-", 0, IF(AK73&lt;0, -2, IF(AK73&gt;0, 2, 0))),
          IF(AK74="-", 0, IF(AK74&lt;0, -2, IF(AK74&gt;0, 2, 0))),
          IF(AK75="-", 0, IF(AK75&lt;0, -2, IF(AK75&gt;0, 2, 0))),
          IF(AK76="-", 0, IF(AK76&lt;0, -2, IF(AK76&gt;0, 2, 0))),
          IF(AK77="-", 0, IF(AK77&lt;0, -1, IF(AK77&gt;0, 1, 0))),
          IF(AK78="-", 0, IF(AK78&lt;0, -1, IF(AK78&gt;0, 1, 0))),
          IF(AK79="-", 0, IF(AK79&lt;0, -1, IF(AK79&gt;0, 1, 0))),
          IF(AK80="-", 0, IF(AK80&lt;0, -1, IF(AK80&gt;0, 1, 0))),
          IF(AK81="-", 0, IF(AK81&lt;0, -1, IF(AK81&gt;0, 1, 0)))
          ) / 15 &lt; -0.1, "BEARISH",
 IF(SUM(IF(AK72="-", 0, IF(AK72&lt;0, -2, IF(AK72&gt;0, 2, 0))),
          IF(AK73="-", 0, IF(AK73&lt;0, -2, IF(AK73&gt;0, 2, 0))),
          IF(AK74="-", 0, IF(AK74&lt;0, -2, IF(AK74&gt;0, 2, 0))),
          IF(AK75="-", 0, IF(AK75&lt;0, -2, IF(AK75&gt;0, 2, 0))),
          IF(AK76="-", 0, IF(AK76&lt;0, -2, IF(AK76&gt;0, 2, 0))),
          IF(AK77="-", 0, IF(AK77&lt;0, -1, IF(AK77&gt;0, 1, 0))),
          IF(AK78="-", 0, IF(AK78&lt;0, -1, IF(AK78&gt;0, 1, 0))),
          IF(AK79="-", 0, IF(AK79&lt;0, -1, IF(AK79&gt;0, 1, 0))),
          IF(AK80="-", 0, IF(AK80&lt;0, -1, IF(AK80&gt;0, 1, 0))),
          IF(AK81="-", 0, IF(AK81&lt;0, -1, IF(AK81&gt;0, 1, 0)))
          ) / 15 &gt; -0.1, "NEUTRO", "NEUTRO"))))</f>
        <v>NEUTRO</v>
      </c>
      <c r="AJ71" s="317"/>
      <c r="AK71" s="318"/>
      <c r="AL71" s="316" t="str">
        <f>IF(AND(AN72="-",AN73="-",AN74="-",AN75="-",AN76="-",AN77="-",AN78="-",AN79="-",AN80="-",AN81="-"), "",
 IF(SUM(IF(AN72="-", 0, IF(AN72&lt;0, -2, IF(AN72&gt;AW720, 2, 0))),
          IF(AN73="-", 0, IF(AN73&lt;0, -2, IF(AN73&gt;0, 2, 0))),
          IF(AN74="-", 0, IF(AN74&lt;0, -2, IF(AN74&gt;0, 2, 0))),
          IF(AN75="-", 0, IF(AN75&lt;0, -2, IF(AN75&gt;0, 2, 0))),
          IF(AN76="-", 0, IF(AN76&lt;0, -2, IF(AN76&gt;0, 2, 0))),
          IF(AN77="-", 0, IF(AN77&lt;0, -1, IF(AN77&gt;0, 1, 0))),
          IF(AN78="-", 0, IF(AN78&lt;0, -1, IF(AN78&gt;0, 1, 0))),
          IF(AN79="-", 0, IF(AN79&lt;0, -1, IF(AN79&gt;0, 1, 0))),
          IF(AN80="-", 0, IF(AN80&lt;0, -1, IF(AN80&gt;0, 1, 0))),
          IF(AN81="-", 0, IF(AN81&lt;0, -1, IF(AN81&gt;0, 1, 0)))
          ) / 15 &gt; 0.1, "BULLISH",
 IF(SUM(IF(AN72="-", 0, IF(AN72&lt;0, -2, IF(AN72&gt;0, 2, 0))),
          IF(AN73="-", 0, IF(AN73&lt;0, -2, IF(AN73&gt;0, 2, 0))),
          IF(AN74="-", 0, IF(AN74&lt;0, -2, IF(AN74&gt;0, 2, 0))),
          IF(AN75="-", 0, IF(AN75&lt;0, -2, IF(AN75&gt;0, 2, 0))),
          IF(AN76="-", 0, IF(AN76&lt;0, -2, IF(AN76&gt;0, 2, 0))),
          IF(AN77="-", 0, IF(AN77&lt;0, -1, IF(AN77&gt;0, 1, 0))),
          IF(AN78="-", 0, IF(AN78&lt;0, -1, IF(AN78&gt;0, 1, 0))),
          IF(AN79="-", 0, IF(AN79&lt;0, -1, IF(AN79&gt;0, 1, 0))),
          IF(AN80="-", 0, IF(AN80&lt;0, -1, IF(AN80&gt;0, 1, 0))),
          IF(AN81="-", 0, IF(AN81&lt;0, -1, IF(AN81&gt;0, 1, 0)))
          ) / 15 &lt; -0.1, "BEARISH",
 IF(SUM(IF(AN72="-", 0, IF(AN72&lt;0, -2, IF(AN72&gt;0, 2, 0))),
          IF(AN73="-", 0, IF(AN73&lt;0, -2, IF(AN73&gt;0, 2, 0))),
          IF(AN74="-", 0, IF(AN74&lt;0, -2, IF(AN74&gt;0, 2, 0))),
          IF(AN75="-", 0, IF(AN75&lt;0, -2, IF(AN75&gt;0, 2, 0))),
          IF(AN76="-", 0, IF(AN76&lt;0, -2, IF(AN76&gt;0, 2, 0))),
          IF(AN77="-", 0, IF(AN77&lt;0, -1, IF(AN77&gt;0, 1, 0))),
          IF(AN78="-", 0, IF(AN78&lt;0, -1, IF(AN78&gt;0, 1, 0))),
          IF(AN79="-", 0, IF(AN79&lt;0, -1, IF(AN79&gt;0, 1, 0))),
          IF(AN80="-", 0, IF(AN80&lt;0, -1, IF(AN80&gt;0, 1, 0))),
          IF(AN81="-", 0, IF(AN81&lt;0, -1, IF(AN81&gt;0, 1, 0)))
          ) / 15 &gt; -0.1, "NEUTRO", "NEUTRO"))))</f>
        <v>BEARISH</v>
      </c>
      <c r="AM71" s="317"/>
      <c r="AN71" s="318"/>
      <c r="AO71" s="316" t="str">
        <f>IF(AND(AQ72="-",AQ73="-",AQ74="-",AQ75="-",AQ76="-",AQ77="-",AQ78="-",AQ79="-",AQ80="-",AQ81="-"), "",
 IF(SUM(IF(AQ72="-", 0, IF(AQ72&lt;0, -2, IF(AQ72&gt;AZ720, 2, 0))),
          IF(AQ73="-", 0, IF(AQ73&lt;0, -2, IF(AQ73&gt;0, 2, 0))),
          IF(AQ74="-", 0, IF(AQ74&lt;0, -2, IF(AQ74&gt;0, 2, 0))),
          IF(AQ75="-", 0, IF(AQ75&lt;0, -2, IF(AQ75&gt;0, 2, 0))),
          IF(AQ76="-", 0, IF(AQ76&lt;0, -2, IF(AQ76&gt;0, 2, 0))),
          IF(AQ77="-", 0, IF(AQ77&lt;0, -1, IF(AQ77&gt;0, 1, 0))),
          IF(AQ78="-", 0, IF(AQ78&lt;0, -1, IF(AQ78&gt;0, 1, 0))),
          IF(AQ79="-", 0, IF(AQ79&lt;0, -1, IF(AQ79&gt;0, 1, 0))),
          IF(AQ80="-", 0, IF(AQ80&lt;0, -1, IF(AQ80&gt;0, 1, 0))),
          IF(AQ81="-", 0, IF(AQ81&lt;0, -1, IF(AQ81&gt;0, 1, 0)))
          ) / 15 &gt; 0.1, "BULLISH",
 IF(SUM(IF(AQ72="-", 0, IF(AQ72&lt;0, -2, IF(AQ72&gt;0, 2, 0))),
          IF(AQ73="-", 0, IF(AQ73&lt;0, -2, IF(AQ73&gt;0, 2, 0))),
          IF(AQ74="-", 0, IF(AQ74&lt;0, -2, IF(AQ74&gt;0, 2, 0))),
          IF(AQ75="-", 0, IF(AQ75&lt;0, -2, IF(AQ75&gt;0, 2, 0))),
          IF(AQ76="-", 0, IF(AQ76&lt;0, -2, IF(AQ76&gt;0, 2, 0))),
          IF(AQ77="-", 0, IF(AQ77&lt;0, -1, IF(AQ77&gt;0, 1, 0))),
          IF(AQ78="-", 0, IF(AQ78&lt;0, -1, IF(AQ78&gt;0, 1, 0))),
          IF(AQ79="-", 0, IF(AQ79&lt;0, -1, IF(AQ79&gt;0, 1, 0))),
          IF(AQ80="-", 0, IF(AQ80&lt;0, -1, IF(AQ80&gt;0, 1, 0))),
          IF(AQ81="-", 0, IF(AQ81&lt;0, -1, IF(AQ81&gt;0, 1, 0)))
          ) / 15 &lt; -0.1, "BEARISH",
 IF(SUM(IF(AQ72="-", 0, IF(AQ72&lt;0, -2, IF(AQ72&gt;0, 2, 0))),
          IF(AQ73="-", 0, IF(AQ73&lt;0, -2, IF(AQ73&gt;0, 2, 0))),
          IF(AQ74="-", 0, IF(AQ74&lt;0, -2, IF(AQ74&gt;0, 2, 0))),
          IF(AQ75="-", 0, IF(AQ75&lt;0, -2, IF(AQ75&gt;0, 2, 0))),
          IF(AQ76="-", 0, IF(AQ76&lt;0, -2, IF(AQ76&gt;0, 2, 0))),
          IF(AQ77="-", 0, IF(AQ77&lt;0, -1, IF(AQ77&gt;0, 1, 0))),
          IF(AQ78="-", 0, IF(AQ78&lt;0, -1, IF(AQ78&gt;0, 1, 0))),
          IF(AQ79="-", 0, IF(AQ79&lt;0, -1, IF(AQ79&gt;0, 1, 0))),
          IF(AQ80="-", 0, IF(AQ80&lt;0, -1, IF(AQ80&gt;0, 1, 0))),
          IF(AQ81="-", 0, IF(AQ81&lt;0, -1, IF(AQ81&gt;0, 1, 0)))
          ) / 15 &gt; -0.1, "NEUTRO", "NEUTRO"))))</f>
        <v>BULLISH</v>
      </c>
      <c r="AP71" s="317"/>
      <c r="AQ71" s="318"/>
      <c r="AR71" s="316" t="str">
        <f>IF(AND(AT72="-",AT73="-",AT74="-",AT75="-",AT76="-",AT77="-",AT78="-",AT79="-",AT80="-",AT81="-"), "",
 IF(SUM(IF(AT72="-", 0, IF(AT72&lt;0, -2, IF(AT72&gt;BC720, 2, 0))),
          IF(AT73="-", 0, IF(AT73&lt;0, -2, IF(AT73&gt;0, 2, 0))),
          IF(AT74="-", 0, IF(AT74&lt;0, -2, IF(AT74&gt;0, 2, 0))),
          IF(AT75="-", 0, IF(AT75&lt;0, -2, IF(AT75&gt;0, 2, 0))),
          IF(AT76="-", 0, IF(AT76&lt;0, -2, IF(AT76&gt;0, 2, 0))),
          IF(AT77="-", 0, IF(AT77&lt;0, -1, IF(AT77&gt;0, 1, 0))),
          IF(AT78="-", 0, IF(AT78&lt;0, -1, IF(AT78&gt;0, 1, 0))),
          IF(AT79="-", 0, IF(AT79&lt;0, -1, IF(AT79&gt;0, 1, 0))),
          IF(AT80="-", 0, IF(AT80&lt;0, -1, IF(AT80&gt;0, 1, 0))),
          IF(AT81="-", 0, IF(AT81&lt;0, -1, IF(AT81&gt;0, 1, 0)))
          ) / 15 &gt; 0.1, "BULLISH",
 IF(SUM(IF(AT72="-", 0, IF(AT72&lt;0, -2, IF(AT72&gt;0, 2, 0))),
          IF(AT73="-", 0, IF(AT73&lt;0, -2, IF(AT73&gt;0, 2, 0))),
          IF(AT74="-", 0, IF(AT74&lt;0, -2, IF(AT74&gt;0, 2, 0))),
          IF(AT75="-", 0, IF(AT75&lt;0, -2, IF(AT75&gt;0, 2, 0))),
          IF(AT76="-", 0, IF(AT76&lt;0, -2, IF(AT76&gt;0, 2, 0))),
          IF(AT77="-", 0, IF(AT77&lt;0, -1, IF(AT77&gt;0, 1, 0))),
          IF(AT78="-", 0, IF(AT78&lt;0, -1, IF(AT78&gt;0, 1, 0))),
          IF(AT79="-", 0, IF(AT79&lt;0, -1, IF(AT79&gt;0, 1, 0))),
          IF(AT80="-", 0, IF(AT80&lt;0, -1, IF(AT80&gt;0, 1, 0))),
          IF(AT81="-", 0, IF(AT81&lt;0, -1, IF(AT81&gt;0, 1, 0)))
          ) / 15 &lt; -0.1, "BEARISH",
 IF(SUM(IF(AT72="-", 0, IF(AT72&lt;0, -2, IF(AT72&gt;0, 2, 0))),
          IF(AT73="-", 0, IF(AT73&lt;0, -2, IF(AT73&gt;0, 2, 0))),
          IF(AT74="-", 0, IF(AT74&lt;0, -2, IF(AT74&gt;0, 2, 0))),
          IF(AT75="-", 0, IF(AT75&lt;0, -2, IF(AT75&gt;0, 2, 0))),
          IF(AT76="-", 0, IF(AT76&lt;0, -2, IF(AT76&gt;0, 2, 0))),
          IF(AT77="-", 0, IF(AT77&lt;0, -1, IF(AT77&gt;0, 1, 0))),
          IF(AT78="-", 0, IF(AT78&lt;0, -1, IF(AT78&gt;0, 1, 0))),
          IF(AT79="-", 0, IF(AT79&lt;0, -1, IF(AT79&gt;0, 1, 0))),
          IF(AT80="-", 0, IF(AT80&lt;0, -1, IF(AT80&gt;0, 1, 0))),
          IF(AT81="-", 0, IF(AT81&lt;0, -1, IF(AT81&gt;0, 1, 0)))
          ) / 15 &gt; -0.1, "NEUTRO", "NEUTRO"))))</f>
        <v>NEUTRO</v>
      </c>
      <c r="AS71" s="317"/>
      <c r="AT71" s="318"/>
      <c r="AU71" s="316" t="str">
        <f>IF(AND(AW72="-",AW73="-",AW74="-",AW75="-",AW76="-",AW77="-",AW78="-",AW79="-",AW80="-",AW81="-"), "",
 IF(SUM(IF(AW72="-", 0, IF(AW72&lt;0, -2, IF(AW72&gt;0, 2, 0))),
          IF(AW73="-", 0, IF(AW73&lt;0, -2, IF(AW73&gt;0, 2, 0))),
          IF(AW74="-", 0, IF(AW74&lt;0, -2, IF(AW74&gt;0, 2, 0))),
          IF(AW75="-", 0, IF(AW75&lt;0, -2, IF(AW75&gt;0, 2, 0))),
          IF(AW76="-", 0, IF(AW76&lt;0, -2, IF(AW76&gt;0, 2, 0))),
          IF(AW77="-", 0, IF(AW77&lt;0, -1, IF(AW77&gt;0, 1, 0))),
          IF(AW78="-", 0, IF(AW78&lt;0, -1, IF(AW78&gt;0, 1, 0))),
          IF(AW79="-", 0, IF(AW79&lt;0, -1, IF(AW79&gt;0, 1, 0))),
          IF(AW80="-", 0, IF(AW80&lt;0, -1, IF(AW80&gt;0, 1, 0))),
          IF(AW81="-", 0, IF(AW81&lt;0, -1, IF(AW81&gt;0, 1, 0)))
          ) / 15 &gt; 0.1, "BULLISH",
 IF(SUM(IF(AW72="-", 0, IF(AW72&lt;0, -2, IF(AW72&gt;0, 2, 0))),
          IF(AW73="-", 0, IF(AW73&lt;0, -2, IF(AW73&gt;0, 2, 0))),
          IF(AW74="-", 0, IF(AW74&lt;0, -2, IF(AW74&gt;0, 2, 0))),
          IF(AW75="-", 0, IF(AW75&lt;0, -2, IF(AW75&gt;0, 2, 0))),
          IF(AW76="-", 0, IF(AW76&lt;0, -2, IF(AW76&gt;0, 2, 0))),
          IF(AW77="-", 0, IF(AW77&lt;0, -1, IF(AW77&gt;0, 1, 0))),
          IF(AW78="-", 0, IF(AW78&lt;0, -1, IF(AW78&gt;0, 1, 0))),
          IF(AW79="-", 0, IF(AW79&lt;0, -1, IF(AW79&gt;0, 1, 0))),
          IF(AW80="-", 0, IF(AW80&lt;0, -1, IF(AW80&gt;0, 1, 0))),
          IF(AW81="-", 0, IF(AW81&lt;0, -1, IF(AW81&gt;0, 1, 0)))
          ) / 15 &lt; -0.1, "BEARISH",
 IF(SUM(IF(AW72="-", 0, IF(AW72&lt;0, -2, IF(AW72&gt;0, 2, 0))),
          IF(AW73="-", 0, IF(AW73&lt;0, -2, IF(AW73&gt;0, 2, 0))),
          IF(AW74="-", 0, IF(AW74&lt;0, -2, IF(AW74&gt;0, 2, 0))),
          IF(AW75="-", 0, IF(AW75&lt;0, -2, IF(AW75&gt;0, 2, 0))),
          IF(AW76="-", 0, IF(AW76&lt;0, -2, IF(AW76&gt;0, 2, 0))),
          IF(AW77="-", 0, IF(AW77&lt;0, -1, IF(AW77&gt;0, 1, 0))),
          IF(AW78="-", 0, IF(AW78&lt;0, -1, IF(AW78&gt;0, 1, 0))),
          IF(AW79="-", 0, IF(AW79&lt;0, -1, IF(AW79&gt;0, 1, 0))),
          IF(AW80="-", 0, IF(AW80&lt;0, -1, IF(AW80&gt;0, 1, 0))),
          IF(AW81="-", 0, IF(AW81&lt;0, -1, IF(AW81&gt;0, 1, 0)))
          ) / 15 &gt; -0.1, "NEUTRO", "NEUTRO"))))</f>
        <v>NEUTRO</v>
      </c>
      <c r="AV71" s="317"/>
      <c r="AW71" s="318"/>
      <c r="AX71" s="316" t="str">
        <f>IF(AND(AZ72="-",AZ73="-",AZ74="-",AZ75="-",AZ76="-",AZ77="-",AZ78="-",AZ79="-",AZ80="-",AZ81="-"), "",
 IF(SUM(IF(AZ72="-", 0, IF(AZ72&lt;0, -2, IF(AZ72&gt;0, 2, 0))),
          IF(AZ73="-", 0, IF(AZ73&lt;0, -2, IF(AZ73&gt;0, 2, 0))),
          IF(AZ74="-", 0, IF(AZ74&lt;0, -2, IF(AZ74&gt;0, 2, 0))),
          IF(AZ75="-", 0, IF(AZ75&lt;0, -2, IF(AZ75&gt;0, 2, 0))),
          IF(AZ76="-", 0, IF(AZ76&lt;0, -2, IF(AZ76&gt;0, 2, 0))),
          IF(AZ77="-", 0, IF(AZ77&lt;0, -1, IF(AZ77&gt;0, 1, 0))),
          IF(AZ78="-", 0, IF(AZ78&lt;0, -1, IF(AZ78&gt;0, 1, 0))),
          IF(AZ79="-", 0, IF(AZ79&lt;0, -1, IF(AZ79&gt;0, 1, 0))),
          IF(AZ80="-", 0, IF(AZ80&lt;0, -1, IF(AZ80&gt;0, 1, 0))),
          IF(AZ81="-", 0, IF(AZ81&lt;0, -1, IF(AZ81&gt;0, 1, 0)))
          ) / 15 &gt; 0.1, "BULLISH",
 IF(SUM(IF(AZ72="-", 0, IF(AZ72&lt;0, -2, IF(AZ72&gt;0, 2, 0))),
          IF(AZ73="-", 0, IF(AZ73&lt;0, -2, IF(AZ73&gt;0, 2, 0))),
          IF(AZ74="-", 0, IF(AZ74&lt;0, -2, IF(AZ74&gt;0, 2, 0))),
          IF(AZ75="-", 0, IF(AZ75&lt;0, -2, IF(AZ75&gt;0, 2, 0))),
          IF(AZ76="-", 0, IF(AZ76&lt;0, -2, IF(AZ76&gt;0, 2, 0))),
          IF(AZ77="-", 0, IF(AZ77&lt;0, -1, IF(AZ77&gt;0, 1, 0))),
          IF(AZ78="-", 0, IF(AZ78&lt;0, -1, IF(AZ78&gt;0, 1, 0))),
          IF(AZ79="-", 0, IF(AZ79&lt;0, -1, IF(AZ79&gt;0, 1, 0))),
          IF(AZ80="-", 0, IF(AZ80&lt;0, -1, IF(AZ80&gt;0, 1, 0))),
          IF(AZ81="-", 0, IF(AZ81&lt;0, -1, IF(AZ81&gt;0, 1, 0)))
          ) / 15 &lt; -0.1, "BEARISH",
 IF(SUM(IF(AZ72="-", 0, IF(AZ72&lt;0, -2, IF(AZ72&gt;0, 2, 0))),
          IF(AZ73="-", 0, IF(AZ73&lt;0, -2, IF(AZ73&gt;0, 2, 0))),
          IF(AZ74="-", 0, IF(AZ74&lt;0, -2, IF(AZ74&gt;0, 2, 0))),
          IF(AZ75="-", 0, IF(AZ75&lt;0, -2, IF(AZ75&gt;0, 2, 0))),
          IF(AZ76="-", 0, IF(AZ76&lt;0, -2, IF(AZ76&gt;0, 2, 0))),
          IF(AZ77="-", 0, IF(AZ77&lt;0, -1, IF(AZ77&gt;0, 1, 0))),
          IF(AZ78="-", 0, IF(AZ78&lt;0, -1, IF(AZ78&gt;0, 1, 0))),
          IF(AZ79="-", 0, IF(AZ79&lt;0, -1, IF(AZ79&gt;0, 1, 0))),
          IF(AZ80="-", 0, IF(AZ80&lt;0, -1, IF(AZ80&gt;0, 1, 0))),
          IF(AZ81="-", 0, IF(AZ81&lt;0, -1, IF(AZ81&gt;0, 1, 0)))
          ) / 15 &gt; -0.1, "NEUTRO", "NEUTRO"))))</f>
        <v>BULLISH</v>
      </c>
      <c r="AY71" s="317"/>
      <c r="AZ71" s="318"/>
    </row>
    <row r="72" spans="1:52" x14ac:dyDescent="0.25">
      <c r="A72" s="237" t="s">
        <v>147</v>
      </c>
      <c r="B72" s="229"/>
      <c r="C72" s="229"/>
      <c r="D72" s="221" t="str">
        <f>IF(OR(B72="",C72="",B72="-",C72="-"),"-",B72-C72)</f>
        <v>-</v>
      </c>
      <c r="E72" s="229">
        <v>4.3499999999999996</v>
      </c>
      <c r="F72" s="229">
        <v>4.1399999999999997</v>
      </c>
      <c r="G72" s="221">
        <f>IF(OR(E72="",F72="",E72="-",F72="-"),"-",E72-F72)</f>
        <v>0.20999999999999996</v>
      </c>
      <c r="H72" s="229">
        <v>4.3499999999999996</v>
      </c>
      <c r="I72" s="229">
        <v>4.1399999999999997</v>
      </c>
      <c r="J72" s="221">
        <f>IF(OR(H72="",I72="",H72="-",I72="-"),"-",H72-I72)</f>
        <v>0.20999999999999996</v>
      </c>
      <c r="K72" s="229">
        <v>4.1399999999999997</v>
      </c>
      <c r="L72" s="229"/>
      <c r="M72" s="221" t="str">
        <f>IF(OR(K72="",L72="",K72="-",L72="-"),"-",K72-L72)</f>
        <v>-</v>
      </c>
      <c r="N72" s="229">
        <v>4.0599999999999996</v>
      </c>
      <c r="O72" s="229">
        <v>4.01</v>
      </c>
      <c r="P72" s="221">
        <f>IF(OR(N72="",O72="",N72="-",O72="-"),"-",N72-O72)</f>
        <v>4.9999999999999822E-2</v>
      </c>
      <c r="Q72" s="229">
        <v>4.01</v>
      </c>
      <c r="R72" s="229">
        <v>3.93</v>
      </c>
      <c r="S72" s="221">
        <f>IF(OR(Q72="",R72="",Q72="-",R72="-"),"-",Q72-R72)</f>
        <v>7.9999999999999627E-2</v>
      </c>
      <c r="T72" s="229">
        <v>3.93</v>
      </c>
      <c r="U72" s="229">
        <v>4</v>
      </c>
      <c r="V72" s="221">
        <f>IF(OR(T72="",U72="",T72="-",U72="-"),"-",T72-U72)</f>
        <v>-6.999999999999984E-2</v>
      </c>
      <c r="W72" s="229">
        <v>4</v>
      </c>
      <c r="X72" s="229">
        <v>4.0199999999999996</v>
      </c>
      <c r="Y72" s="221">
        <f>IF(OR(W72="",X72="",W72="-",X72="-"),"-",W72-X72)</f>
        <v>-1.9999999999999574E-2</v>
      </c>
      <c r="Z72" s="17">
        <v>4.0199999999999996</v>
      </c>
      <c r="AA72" s="17">
        <v>4.09</v>
      </c>
      <c r="AB72" s="9">
        <f>IF(OR(Z72="",AA72="",Z72="-",AA72="-"),"-",Z72-AA72)</f>
        <v>-7.0000000000000284E-2</v>
      </c>
      <c r="AC72" s="17">
        <v>4.08</v>
      </c>
      <c r="AD72" s="17">
        <v>4.29</v>
      </c>
      <c r="AE72" s="9">
        <f>IF(OR(AC72="",AD72="",AC72="-",AD72="-"),"-",AC72-AD72)</f>
        <v>-0.20999999999999996</v>
      </c>
      <c r="AF72" s="17">
        <v>4.24</v>
      </c>
      <c r="AG72" s="17">
        <v>3.96</v>
      </c>
      <c r="AH72" s="9">
        <f>IF(OR(AF72="",AG72="",AF72="-",AG72="-"),"-",AF72-AG72)</f>
        <v>0.28000000000000025</v>
      </c>
      <c r="AI72" s="17">
        <v>3.96</v>
      </c>
      <c r="AJ72" s="17">
        <v>2.83</v>
      </c>
      <c r="AK72" s="9">
        <f>IF(OR(AI72="",AJ72="",AI72="-",AJ72="-"),"-",AI72-AJ72)</f>
        <v>1.1299999999999999</v>
      </c>
      <c r="AL72" s="17">
        <v>3.84</v>
      </c>
      <c r="AM72" s="17">
        <v>3.88</v>
      </c>
      <c r="AN72" s="9">
        <f>IF(OR(AL72="",AM72="",AL72="-",AM72="-"),"-",AL72-AM72)</f>
        <v>-4.0000000000000036E-2</v>
      </c>
      <c r="AO72" s="17">
        <v>3.95</v>
      </c>
      <c r="AP72" s="17">
        <v>3.9</v>
      </c>
      <c r="AQ72" s="9">
        <f>IF(OR(AO72="",AP72="",AO72="-",AP72="-"),"-",AO72-AP72)</f>
        <v>5.0000000000000266E-2</v>
      </c>
      <c r="AR72" s="17">
        <v>2.98</v>
      </c>
      <c r="AS72" s="17">
        <v>4.1100000000000003</v>
      </c>
      <c r="AT72" s="9">
        <f>IF(OR(AR72="",AS72="",AR72="-",AS72="-"),"-",AR72-AS72)</f>
        <v>-1.1300000000000003</v>
      </c>
      <c r="AU72" s="16">
        <v>-1.9E-2</v>
      </c>
      <c r="AV72" s="16">
        <v>-3.6999999999999998E-2</v>
      </c>
      <c r="AW72" s="9">
        <f>IF(OR(AU72="",AV72="",AU72="-",AV72="-"),"-",AU72-AV72)</f>
        <v>1.7999999999999999E-2</v>
      </c>
      <c r="AX72" s="17">
        <v>4.1900000000000004</v>
      </c>
      <c r="AY72" s="17">
        <v>4</v>
      </c>
      <c r="AZ72" s="9">
        <f>IF(OR(AX72="",AY72="",AX72="-",AY72="-"),"-",AX72-AY72)</f>
        <v>0.19000000000000039</v>
      </c>
    </row>
    <row r="73" spans="1:52" x14ac:dyDescent="0.25">
      <c r="A73" s="237" t="s">
        <v>148</v>
      </c>
      <c r="B73" s="229"/>
      <c r="C73" s="229"/>
      <c r="D73" s="212" t="str">
        <f>IF(OR(B73="",C73="",B73="-",C73="-"),"-",B73-C73)</f>
        <v>-</v>
      </c>
      <c r="E73" s="229">
        <v>3.3000000000000002E-2</v>
      </c>
      <c r="F73" s="229">
        <v>2.4E-2</v>
      </c>
      <c r="G73" s="212">
        <f>IF(OR(E73="",F73="",E73="-",F73="-"),"-",E73-F73)</f>
        <v>9.0000000000000011E-3</v>
      </c>
      <c r="H73" s="211">
        <v>3.3000000000000002E-2</v>
      </c>
      <c r="I73" s="211">
        <v>2.4E-2</v>
      </c>
      <c r="J73" s="212">
        <f>IF(OR(H73="",I73="",H73="-",I73="-"),"-",H73-I73)</f>
        <v>9.0000000000000011E-3</v>
      </c>
      <c r="K73" s="211">
        <v>2.4E-2</v>
      </c>
      <c r="L73" s="229"/>
      <c r="M73" s="212" t="str">
        <f>IF(OR(K73="",L73="",K73="-",L73="-"),"-",K73-L73)</f>
        <v>-</v>
      </c>
      <c r="N73" s="231">
        <v>0.04</v>
      </c>
      <c r="O73" s="211">
        <v>-3.0000000000000001E-3</v>
      </c>
      <c r="P73" s="212">
        <f>IF(OR(N73="",O73="",N73="-",O73="-"),"-",N73-O73)</f>
        <v>4.3000000000000003E-2</v>
      </c>
      <c r="Q73" s="211">
        <v>-4.0000000000000001E-3</v>
      </c>
      <c r="R73" s="211">
        <v>1.7999999999999999E-2</v>
      </c>
      <c r="S73" s="212">
        <f>IF(OR(Q73="",R73="",Q73="-",R73="-"),"-",Q73-R73)</f>
        <v>-2.1999999999999999E-2</v>
      </c>
      <c r="T73" s="211">
        <v>1.7999999999999999E-2</v>
      </c>
      <c r="U73" s="211">
        <v>-6.3E-2</v>
      </c>
      <c r="V73" s="212">
        <f>IF(OR(T73="",U73="",T73="-",U73="-"),"-",T73-U73)</f>
        <v>8.1000000000000003E-2</v>
      </c>
      <c r="W73" s="211">
        <v>-6.3E-2</v>
      </c>
      <c r="X73" s="211">
        <v>5.5E-2</v>
      </c>
      <c r="Y73" s="212">
        <f>IF(OR(W73="",X73="",W73="-",X73="-"),"-",W73-X73)</f>
        <v>-0.11799999999999999</v>
      </c>
      <c r="Z73" s="82">
        <v>6.0999999999999999E-2</v>
      </c>
      <c r="AA73" s="16">
        <v>-4.5999999999999999E-2</v>
      </c>
      <c r="AB73" s="3">
        <f>IF(OR(Z73="",AA73="",Z73="-",AA73="-"),"-",Z73-AA73)</f>
        <v>0.107</v>
      </c>
      <c r="AC73" s="16">
        <v>-4.5999999999999999E-2</v>
      </c>
      <c r="AD73" s="16">
        <v>1.6E-2</v>
      </c>
      <c r="AE73" s="3">
        <f>IF(OR(AC73="",AD73="",AC73="-",AD73="-"),"-",AC73-AD73)</f>
        <v>-6.2E-2</v>
      </c>
      <c r="AF73" s="17"/>
      <c r="AG73" s="17"/>
      <c r="AH73" s="3" t="str">
        <f>IF(OR(AF73="",AG73="",AF73="-",AG73="-"),"-",AF73-AG73)</f>
        <v>-</v>
      </c>
      <c r="AI73" s="82">
        <v>0.02</v>
      </c>
      <c r="AJ73" s="16">
        <v>7.4999999999999997E-2</v>
      </c>
      <c r="AK73" s="3">
        <f>IF(OR(AI73="",AJ73="",AI73="-",AJ73="-"),"-",AI73-AJ73)</f>
        <v>-5.4999999999999993E-2</v>
      </c>
      <c r="AL73" s="16">
        <v>7.3999999999999996E-2</v>
      </c>
      <c r="AM73" s="16">
        <v>6.0000000000000001E-3</v>
      </c>
      <c r="AN73" s="3">
        <f>IF(OR(AL73="",AM73="",AL73="-",AM73="-"),"-",AL73-AM73)</f>
        <v>6.7999999999999991E-2</v>
      </c>
      <c r="AO73" s="16">
        <v>-5.5E-2</v>
      </c>
      <c r="AP73" s="16">
        <v>4.8000000000000001E-2</v>
      </c>
      <c r="AQ73" s="3">
        <f>IF(OR(AO73="",AP73="",AO73="-",AP73="-"),"-",AO73-AP73)</f>
        <v>-0.10300000000000001</v>
      </c>
      <c r="AR73" s="16">
        <v>4.8000000000000001E-2</v>
      </c>
      <c r="AS73" s="16">
        <v>-1.9E-2</v>
      </c>
      <c r="AT73" s="3">
        <f>IF(OR(AR73="",AS73="",AR73="-",AS73="-"),"-",AR73-AS73)</f>
        <v>6.7000000000000004E-2</v>
      </c>
      <c r="AU73" s="16">
        <v>-7.6999999999999999E-2</v>
      </c>
      <c r="AV73" s="16">
        <v>3.5999999999999997E-2</v>
      </c>
      <c r="AW73" s="3">
        <f>IF(OR(AU73="",AV73="",AU73="-",AV73="-"),"-",AU73-AV73)</f>
        <v>-0.11299999999999999</v>
      </c>
      <c r="AX73" s="98">
        <v>3.4000000000000002E-2</v>
      </c>
      <c r="AY73" s="16">
        <v>-4.7E-2</v>
      </c>
      <c r="AZ73" s="3">
        <f>IF(OR(AX73="",AY73="",AX73="-",AY73="-"),"-",AX73-AY73)</f>
        <v>8.1000000000000003E-2</v>
      </c>
    </row>
    <row r="74" spans="1:52" x14ac:dyDescent="0.25">
      <c r="A74" s="237" t="s">
        <v>149</v>
      </c>
      <c r="B74" s="229"/>
      <c r="C74" s="229"/>
      <c r="D74" s="221" t="str">
        <f>IF(OR(B74="",C74="",B74="-",C74="-"),"-",B74-C74)</f>
        <v>-</v>
      </c>
      <c r="E74" s="229">
        <v>737</v>
      </c>
      <c r="F74" s="229">
        <v>738</v>
      </c>
      <c r="G74" s="221">
        <f>IF(OR(E74="",F74="",E74="-",F74="-"),"-",E74-F74)</f>
        <v>-1</v>
      </c>
      <c r="H74" s="229">
        <v>737</v>
      </c>
      <c r="I74" s="229">
        <v>738</v>
      </c>
      <c r="J74" s="221">
        <f>IF(OR(H74="",I74="",H74="-",I74="-"),"-",H74-I74)</f>
        <v>-1</v>
      </c>
      <c r="K74" s="229">
        <v>738</v>
      </c>
      <c r="L74" s="229"/>
      <c r="M74" s="221" t="str">
        <f>IF(OR(K74="",L74="",K74="-",L74="-"),"-",K74-L74)</f>
        <v>-</v>
      </c>
      <c r="N74" s="229">
        <v>800</v>
      </c>
      <c r="O74" s="229">
        <v>664</v>
      </c>
      <c r="P74" s="221">
        <f>IF(OR(N74="",O74="",N74="-",O74="-"),"-",N74-O74)</f>
        <v>136</v>
      </c>
      <c r="Q74" s="229">
        <v>652</v>
      </c>
      <c r="R74" s="229">
        <v>635</v>
      </c>
      <c r="S74" s="221">
        <f>IF(OR(Q74="",R74="",Q74="-",R74="-"),"-",Q74-R74)</f>
        <v>17</v>
      </c>
      <c r="T74" s="229">
        <v>627</v>
      </c>
      <c r="U74" s="229">
        <v>711</v>
      </c>
      <c r="V74" s="221">
        <f>IF(OR(T74="",U74="",T74="-",U74="-"),"-",T74-U74)</f>
        <v>-84</v>
      </c>
      <c r="W74" s="229">
        <v>743</v>
      </c>
      <c r="X74" s="229">
        <v>670</v>
      </c>
      <c r="Y74" s="221">
        <f>IF(OR(W74="",X74="",W74="-",X74="-"),"-",W74-X74)</f>
        <v>73</v>
      </c>
      <c r="Z74" s="17">
        <v>724</v>
      </c>
      <c r="AA74" s="17">
        <v>664</v>
      </c>
      <c r="AB74" s="9">
        <f>IF(OR(Z74="",AA74="",Z74="-",AA74="-"),"-",Z74-AA74)</f>
        <v>60</v>
      </c>
      <c r="AC74" s="17">
        <v>657</v>
      </c>
      <c r="AD74" s="17">
        <v>734</v>
      </c>
      <c r="AE74" s="9">
        <f>IF(OR(AC74="",AD74="",AC74="-",AD74="-"),"-",AC74-AD74)</f>
        <v>-77</v>
      </c>
      <c r="AF74" s="17">
        <v>698</v>
      </c>
      <c r="AG74" s="17">
        <v>627</v>
      </c>
      <c r="AH74" s="9">
        <f>IF(OR(AF74="",AG74="",AF74="-",AG74="-"),"-",AF74-AG74)</f>
        <v>71</v>
      </c>
      <c r="AI74" s="17">
        <v>610</v>
      </c>
      <c r="AJ74" s="17">
        <v>738</v>
      </c>
      <c r="AK74" s="9">
        <f>IF(OR(AI74="",AJ74="",AI74="-",AJ74="-"),"-",AI74-AJ74)</f>
        <v>-128</v>
      </c>
      <c r="AL74" s="17">
        <v>738</v>
      </c>
      <c r="AM74" s="17">
        <v>709</v>
      </c>
      <c r="AN74" s="9">
        <f>IF(OR(AL74="",AM74="",AL74="-",AM74="-"),"-",AL74-AM74)</f>
        <v>29</v>
      </c>
      <c r="AO74" s="17">
        <v>739</v>
      </c>
      <c r="AP74" s="17">
        <v>668</v>
      </c>
      <c r="AQ74" s="9">
        <f>IF(OR(AO74="",AP74="",AO74="-",AP74="-"),"-",AO74-AP74)</f>
        <v>71</v>
      </c>
      <c r="AR74" s="17">
        <v>617</v>
      </c>
      <c r="AS74" s="17">
        <v>621</v>
      </c>
      <c r="AT74" s="9">
        <f>IF(OR(AR74="",AS74="",AR74="-",AS74="-"),"-",AR74-AS74)</f>
        <v>-4</v>
      </c>
      <c r="AU74" s="17">
        <v>634</v>
      </c>
      <c r="AV74" s="17">
        <v>665</v>
      </c>
      <c r="AW74" s="9">
        <f>IF(OR(AU74="",AV74="",AU74="-",AV74="-"),"-",AU74-AV74)</f>
        <v>-31</v>
      </c>
      <c r="AX74" s="17">
        <v>693</v>
      </c>
      <c r="AY74" s="17">
        <v>664</v>
      </c>
      <c r="AZ74" s="9">
        <f>IF(OR(AX74="",AY74="",AX74="-",AY74="-"),"-",AX74-AY74)</f>
        <v>29</v>
      </c>
    </row>
    <row r="75" spans="1:52" x14ac:dyDescent="0.25">
      <c r="A75" s="237" t="s">
        <v>150</v>
      </c>
      <c r="B75" s="229"/>
      <c r="C75" s="229"/>
      <c r="D75" s="221" t="str">
        <f>IF(OR(B75="",C75="",B75="-",C75="-"),"-",B75-C75)</f>
        <v>-</v>
      </c>
      <c r="E75" s="229">
        <v>1.25</v>
      </c>
      <c r="F75" s="229">
        <v>1.31</v>
      </c>
      <c r="G75" s="221">
        <f>IF(OR(E75="",F75="",E75="-",F75="-"),"-",E75-F75)</f>
        <v>-6.0000000000000053E-2</v>
      </c>
      <c r="H75" s="229">
        <v>1.25</v>
      </c>
      <c r="I75" s="229">
        <v>1.31</v>
      </c>
      <c r="J75" s="221">
        <f>IF(OR(H75="",I75="",H75="-",I75="-"),"-",H75-I75)</f>
        <v>-6.0000000000000053E-2</v>
      </c>
      <c r="K75" s="229">
        <v>1.31</v>
      </c>
      <c r="L75" s="229"/>
      <c r="M75" s="221" t="str">
        <f>IF(OR(K75="",L75="",K75="-",L75="-"),"-",K75-L75)</f>
        <v>-</v>
      </c>
      <c r="N75" s="229"/>
      <c r="O75" s="229"/>
      <c r="P75" s="221" t="str">
        <f>IF(OR(N75="",O75="",N75="-",O75="-"),"-",N75-O75)</f>
        <v>-</v>
      </c>
      <c r="Q75" s="229">
        <v>1.31</v>
      </c>
      <c r="R75" s="229">
        <v>1.36</v>
      </c>
      <c r="S75" s="221">
        <f>IF(OR(Q75="",R75="",Q75="-",R75="-"),"-",Q75-R75)</f>
        <v>-5.0000000000000044E-2</v>
      </c>
      <c r="T75" s="229">
        <v>1.32</v>
      </c>
      <c r="U75" s="229">
        <v>1.26</v>
      </c>
      <c r="V75" s="221">
        <f>IF(OR(T75="",U75="",T75="-",U75="-"),"-",T75-U75)</f>
        <v>6.0000000000000053E-2</v>
      </c>
      <c r="W75" s="229">
        <v>1.26</v>
      </c>
      <c r="X75" s="229">
        <v>1.34</v>
      </c>
      <c r="Y75" s="221">
        <f>IF(OR(W75="",X75="",W75="-",X75="-"),"-",W75-X75)</f>
        <v>-8.0000000000000071E-2</v>
      </c>
      <c r="Z75" s="17">
        <v>1.32</v>
      </c>
      <c r="AA75" s="17">
        <v>1.49</v>
      </c>
      <c r="AB75" s="9">
        <f>IF(OR(Z75="",AA75="",Z75="-",AA75="-"),"-",Z75-AA75)</f>
        <v>-0.16999999999999993</v>
      </c>
      <c r="AC75" s="17">
        <v>1.5</v>
      </c>
      <c r="AD75" s="17">
        <v>1.52</v>
      </c>
      <c r="AE75" s="9">
        <f>IF(OR(AC75="",AD75="",AC75="-",AD75="-"),"-",AC75-AD75)</f>
        <v>-2.0000000000000018E-2</v>
      </c>
      <c r="AF75" s="17">
        <v>1.5</v>
      </c>
      <c r="AG75" s="17">
        <v>1.29</v>
      </c>
      <c r="AH75" s="9">
        <f>IF(OR(AF75="",AG75="",AF75="-",AG75="-"),"-",AF75-AG75)</f>
        <v>0.20999999999999996</v>
      </c>
      <c r="AI75" s="17">
        <v>1.29</v>
      </c>
      <c r="AJ75" s="17">
        <v>1.35</v>
      </c>
      <c r="AK75" s="9">
        <f>IF(OR(AI75="",AJ75="",AI75="-",AJ75="-"),"-",AI75-AJ75)</f>
        <v>-6.0000000000000053E-2</v>
      </c>
      <c r="AL75" s="17">
        <v>1.35</v>
      </c>
      <c r="AM75" s="17">
        <v>1.36</v>
      </c>
      <c r="AN75" s="9">
        <f>IF(OR(AL75="",AM75="",AL75="-",AM75="-"),"-",AL75-AM75)</f>
        <v>-1.0000000000000009E-2</v>
      </c>
      <c r="AO75" s="17">
        <v>1.36</v>
      </c>
      <c r="AP75" s="17">
        <v>1.24</v>
      </c>
      <c r="AQ75" s="9">
        <f>IF(OR(AO75="",AP75="",AO75="-",AP75="-"),"-",AO75-AP75)</f>
        <v>0.12000000000000011</v>
      </c>
      <c r="AR75" s="17">
        <v>1.35</v>
      </c>
      <c r="AS75" s="17">
        <v>1.31</v>
      </c>
      <c r="AT75" s="9">
        <f>IF(OR(AR75="",AS75="",AR75="-",AS75="-"),"-",AR75-AS75)</f>
        <v>4.0000000000000036E-2</v>
      </c>
      <c r="AU75" s="16">
        <v>5.7000000000000002E-2</v>
      </c>
      <c r="AV75" s="16">
        <v>-0.16800000000000001</v>
      </c>
      <c r="AW75" s="9">
        <f>IF(OR(AU75="",AV75="",AU75="-",AV75="-"),"-",AU75-AV75)</f>
        <v>0.22500000000000001</v>
      </c>
      <c r="AX75" s="17">
        <v>1.32</v>
      </c>
      <c r="AY75" s="17">
        <v>1.55</v>
      </c>
      <c r="AZ75" s="9">
        <f>IF(OR(AX75="",AY75="",AX75="-",AY75="-"),"-",AX75-AY75)</f>
        <v>-0.22999999999999998</v>
      </c>
    </row>
    <row r="76" spans="1:52" x14ac:dyDescent="0.25">
      <c r="A76" s="237" t="s">
        <v>151</v>
      </c>
      <c r="B76" s="229"/>
      <c r="C76" s="229"/>
      <c r="D76" s="221" t="str">
        <f>IF(OR(B76="",C76="",B76="-",C76="-"),"-",B76-C76)</f>
        <v>-</v>
      </c>
      <c r="E76" s="229">
        <v>1.41</v>
      </c>
      <c r="F76" s="229">
        <v>1.42</v>
      </c>
      <c r="G76" s="221">
        <f>IF(OR(E76="",F76="",E76="-",F76="-"),"-",E76-F76)</f>
        <v>-1.0000000000000009E-2</v>
      </c>
      <c r="H76" s="229">
        <v>1.41</v>
      </c>
      <c r="I76" s="229">
        <v>1.42</v>
      </c>
      <c r="J76" s="221">
        <f>IF(OR(H76="",I76="",H76="-",I76="-"),"-",H76-I76)</f>
        <v>-1.0000000000000009E-2</v>
      </c>
      <c r="K76" s="229">
        <v>1.42</v>
      </c>
      <c r="L76" s="229"/>
      <c r="M76" s="221" t="str">
        <f>IF(OR(K76="",L76="",K76="-",L76="-"),"-",K76-L76)</f>
        <v>-</v>
      </c>
      <c r="N76" s="229"/>
      <c r="O76" s="229"/>
      <c r="P76" s="221" t="str">
        <f>IF(OR(N76="",O76="",N76="-",O76="-"),"-",N76-O76)</f>
        <v>-</v>
      </c>
      <c r="Q76" s="229">
        <v>1.31</v>
      </c>
      <c r="R76" s="229">
        <v>1.4</v>
      </c>
      <c r="S76" s="221">
        <f>IF(OR(Q76="",R76="",Q76="-",R76="-"),"-",Q76-R76)</f>
        <v>-8.9999999999999858E-2</v>
      </c>
      <c r="T76" s="229">
        <v>1.4</v>
      </c>
      <c r="U76" s="229">
        <v>1.39</v>
      </c>
      <c r="V76" s="221">
        <f>IF(OR(T76="",U76="",T76="-",U76="-"),"-",T76-U76)</f>
        <v>1.0000000000000009E-2</v>
      </c>
      <c r="W76" s="229">
        <v>1.39</v>
      </c>
      <c r="X76" s="229">
        <v>1.48</v>
      </c>
      <c r="Y76" s="221">
        <f>IF(OR(W76="",X76="",W76="-",X76="-"),"-",W76-X76)</f>
        <v>-9.000000000000008E-2</v>
      </c>
      <c r="Z76" s="17">
        <v>1.48</v>
      </c>
      <c r="AA76" s="17">
        <v>1.46</v>
      </c>
      <c r="AB76" s="9">
        <f>IF(OR(Z76="",AA76="",Z76="-",AA76="-"),"-",Z76-AA76)</f>
        <v>2.0000000000000018E-2</v>
      </c>
      <c r="AC76" s="17">
        <v>1.46</v>
      </c>
      <c r="AD76" s="17">
        <v>1.48</v>
      </c>
      <c r="AE76" s="9">
        <f>IF(OR(AC76="",AD76="",AC76="-",AD76="-"),"-",AC76-AD76)</f>
        <v>-2.0000000000000018E-2</v>
      </c>
      <c r="AF76" s="17">
        <v>1.48</v>
      </c>
      <c r="AG76" s="17">
        <v>1.49</v>
      </c>
      <c r="AH76" s="9">
        <f>IF(OR(AF76="",AG76="",AF76="-",AG76="-"),"-",AF76-AG76)</f>
        <v>-1.0000000000000009E-2</v>
      </c>
      <c r="AI76" s="17">
        <v>1.51</v>
      </c>
      <c r="AJ76" s="17">
        <v>1.43</v>
      </c>
      <c r="AK76" s="9">
        <f>IF(OR(AI76="",AJ76="",AI76="-",AJ76="-"),"-",AI76-AJ76)</f>
        <v>8.0000000000000071E-2</v>
      </c>
      <c r="AL76" s="17">
        <v>1.43</v>
      </c>
      <c r="AM76" s="17">
        <v>1.47</v>
      </c>
      <c r="AN76" s="9">
        <f>IF(OR(AL76="",AM76="",AL76="-",AM76="-"),"-",AL76-AM76)</f>
        <v>-4.0000000000000036E-2</v>
      </c>
      <c r="AO76" s="17">
        <v>1.48</v>
      </c>
      <c r="AP76" s="17">
        <v>1.41</v>
      </c>
      <c r="AQ76" s="9">
        <f>IF(OR(AO76="",AP76="",AO76="-",AP76="-"),"-",AO76-AP76)</f>
        <v>7.0000000000000062E-2</v>
      </c>
      <c r="AR76" s="17">
        <v>1.45</v>
      </c>
      <c r="AS76" s="17">
        <v>1.4</v>
      </c>
      <c r="AT76" s="9">
        <f>IF(OR(AR76="",AS76="",AR76="-",AS76="-"),"-",AR76-AS76)</f>
        <v>5.0000000000000044E-2</v>
      </c>
      <c r="AU76" s="17">
        <v>1.44</v>
      </c>
      <c r="AV76" s="17">
        <v>1.4670000000000001</v>
      </c>
      <c r="AW76" s="9">
        <f>IF(OR(AU76="",AV76="",AU76="-",AV76="-"),"-",AU76-AV76)</f>
        <v>-2.7000000000000135E-2</v>
      </c>
      <c r="AX76" s="17">
        <v>1.46</v>
      </c>
      <c r="AY76" s="17">
        <v>1.52</v>
      </c>
      <c r="AZ76" s="9">
        <f>IF(OR(AX76="",AY76="",AX76="-",AY76="-"),"-",AX76-AY76)</f>
        <v>-6.0000000000000053E-2</v>
      </c>
    </row>
    <row r="77" spans="1:52" x14ac:dyDescent="0.25">
      <c r="A77" s="241" t="s">
        <v>152</v>
      </c>
      <c r="B77" s="223"/>
      <c r="C77" s="223"/>
      <c r="D77" s="217" t="str">
        <f>IF(OR(B77="",C77="",B77="-",C77="-"),"-",B77-C77)</f>
        <v>-</v>
      </c>
      <c r="E77" s="223">
        <v>39</v>
      </c>
      <c r="F77" s="223">
        <v>38</v>
      </c>
      <c r="G77" s="217">
        <f>IF(OR(E77="",F77="",E77="-",F77="-"),"-",E77-F77)</f>
        <v>1</v>
      </c>
      <c r="H77" s="223">
        <v>39</v>
      </c>
      <c r="I77" s="223">
        <v>38</v>
      </c>
      <c r="J77" s="217">
        <f>IF(OR(H77="",I77="",H77="-",I77="-"),"-",H77-I77)</f>
        <v>1</v>
      </c>
      <c r="K77" s="223">
        <v>38</v>
      </c>
      <c r="L77" s="223"/>
      <c r="M77" s="217" t="str">
        <f>IF(OR(K77="",L77="",K77="-",L77="-"),"-",K77-L77)</f>
        <v>-</v>
      </c>
      <c r="N77" s="223">
        <v>37</v>
      </c>
      <c r="O77" s="223">
        <v>32</v>
      </c>
      <c r="P77" s="217">
        <f>IF(OR(N77="",O77="",N77="-",O77="-"),"-",N77-O77)</f>
        <v>5</v>
      </c>
      <c r="Q77" s="223">
        <v>32</v>
      </c>
      <c r="R77" s="223">
        <v>33</v>
      </c>
      <c r="S77" s="217">
        <f>IF(OR(Q77="",R77="",Q77="-",R77="-"),"-",Q77-R77)</f>
        <v>-1</v>
      </c>
      <c r="T77" s="223">
        <v>33</v>
      </c>
      <c r="U77" s="223">
        <v>32</v>
      </c>
      <c r="V77" s="217">
        <f>IF(OR(T77="",U77="",T77="-",U77="-"),"-",T77-U77)</f>
        <v>1</v>
      </c>
      <c r="W77" s="223">
        <v>32</v>
      </c>
      <c r="X77" s="223">
        <v>40</v>
      </c>
      <c r="Y77" s="217">
        <f>IF(OR(W77="",X77="",W77="-",X77="-"),"-",W77-X77)</f>
        <v>-8</v>
      </c>
      <c r="Z77" s="5">
        <v>40</v>
      </c>
      <c r="AA77" s="5">
        <v>39</v>
      </c>
      <c r="AB77" s="10">
        <f>IF(OR(Z77="",AA77="",Z77="-",AA77="-"),"-",Z77-AA77)</f>
        <v>1</v>
      </c>
      <c r="AC77" s="5">
        <v>39</v>
      </c>
      <c r="AD77" s="5">
        <v>27</v>
      </c>
      <c r="AE77" s="10">
        <f>IF(OR(AC77="",AD77="",AC77="-",AD77="-"),"-",AC77-AD77)</f>
        <v>12</v>
      </c>
      <c r="AF77" s="5">
        <v>47</v>
      </c>
      <c r="AG77" s="5">
        <v>46</v>
      </c>
      <c r="AH77" s="10">
        <f>IF(OR(AF77="",AG77="",AF77="-",AG77="-"),"-",AF77-AG77)</f>
        <v>1</v>
      </c>
      <c r="AI77" s="5">
        <v>46</v>
      </c>
      <c r="AJ77" s="5">
        <v>43</v>
      </c>
      <c r="AK77" s="10">
        <f>IF(OR(AI77="",AJ77="",AI77="-",AJ77="-"),"-",AI77-AJ77)</f>
        <v>3</v>
      </c>
      <c r="AL77" s="5">
        <v>43</v>
      </c>
      <c r="AM77" s="5">
        <v>41</v>
      </c>
      <c r="AN77" s="10">
        <f>IF(OR(AL77="",AM77="",AL77="-",AM77="-"),"-",AL77-AM77)</f>
        <v>2</v>
      </c>
      <c r="AO77" s="5">
        <v>41</v>
      </c>
      <c r="AP77" s="5">
        <v>39</v>
      </c>
      <c r="AQ77" s="10">
        <f>IF(OR(AO77="",AP77="",AO77="-",AP77="-"),"-",AO77-AP77)</f>
        <v>2</v>
      </c>
      <c r="AR77" s="5">
        <v>42</v>
      </c>
      <c r="AS77" s="5">
        <v>43</v>
      </c>
      <c r="AT77" s="10">
        <f>IF(OR(AR77="",AS77="",AR77="-",AS77="-"),"-",AR77-AS77)</f>
        <v>-1</v>
      </c>
      <c r="AW77" s="10" t="str">
        <f>IF(OR(AU77="",AV77="",AU77="-",AV77="-"),"-",AU77-AV77)</f>
        <v>-</v>
      </c>
      <c r="AX77" s="5">
        <v>51</v>
      </c>
      <c r="AY77" s="5">
        <v>51</v>
      </c>
      <c r="AZ77" s="10">
        <f>IF(OR(AX77="",AY77="",AX77="-",AY77="-"),"-",AX77-AY77)</f>
        <v>0</v>
      </c>
    </row>
    <row r="78" spans="1:52" x14ac:dyDescent="0.25">
      <c r="A78" s="241" t="s">
        <v>153</v>
      </c>
      <c r="B78" s="223"/>
      <c r="C78" s="223"/>
      <c r="D78" s="215" t="str">
        <f>IF(OR(B78="",C78="",B78="-",C78="-"),"-",B78-C78)</f>
        <v>-</v>
      </c>
      <c r="E78" s="223">
        <v>6.0000000000000001E-3</v>
      </c>
      <c r="F78" s="223">
        <v>-1E-3</v>
      </c>
      <c r="G78" s="215">
        <f>IF(OR(E78="",F78="",E78="-",F78="-"),"-",E78-F78)</f>
        <v>7.0000000000000001E-3</v>
      </c>
      <c r="H78" s="225">
        <v>6.0000000000000001E-3</v>
      </c>
      <c r="I78" s="225">
        <v>-1E-3</v>
      </c>
      <c r="J78" s="215">
        <f>IF(OR(H78="",I78="",H78="-",I78="-"),"-",H78-I78)</f>
        <v>7.0000000000000001E-3</v>
      </c>
      <c r="K78" s="225">
        <v>-1E-3</v>
      </c>
      <c r="L78" s="223"/>
      <c r="M78" s="215" t="str">
        <f>IF(OR(K78="",L78="",K78="-",L78="-"),"-",K78-L78)</f>
        <v>-</v>
      </c>
      <c r="N78" s="225">
        <v>-1E-3</v>
      </c>
      <c r="O78" s="225">
        <v>-2E-3</v>
      </c>
      <c r="P78" s="215">
        <f>IF(OR(N78="",O78="",N78="-",O78="-"),"-",N78-O78)</f>
        <v>1E-3</v>
      </c>
      <c r="Q78" s="225">
        <v>-2E-3</v>
      </c>
      <c r="R78" s="225">
        <v>-1E-3</v>
      </c>
      <c r="S78" s="215">
        <f>IF(OR(Q78="",R78="",Q78="-",R78="-"),"-",Q78-R78)</f>
        <v>-1E-3</v>
      </c>
      <c r="T78" s="228">
        <v>-2E-3</v>
      </c>
      <c r="U78" s="223">
        <v>0</v>
      </c>
      <c r="V78" s="215">
        <f>IF(OR(T78="",U78="",T78="-",U78="-"),"-",T78-U78)</f>
        <v>-2E-3</v>
      </c>
      <c r="W78" s="225">
        <v>-1E-3</v>
      </c>
      <c r="X78" s="223">
        <v>0</v>
      </c>
      <c r="Y78" s="215">
        <f>IF(OR(W78="",X78="",W78="-",X78="-"),"-",W78-X78)</f>
        <v>-1E-3</v>
      </c>
      <c r="Z78" s="24">
        <v>1E-3</v>
      </c>
      <c r="AA78" s="24">
        <v>3.0000000000000001E-3</v>
      </c>
      <c r="AB78" s="4">
        <f>IF(OR(Z78="",AA78="",Z78="-",AA78="-"),"-",Z78-AA78)</f>
        <v>-2E-3</v>
      </c>
      <c r="AC78" s="24">
        <v>4.0000000000000001E-3</v>
      </c>
      <c r="AD78" s="24">
        <v>4.0000000000000001E-3</v>
      </c>
      <c r="AE78" s="4">
        <f>IF(OR(AC78="",AD78="",AC78="-",AD78="-"),"-",AC78-AD78)</f>
        <v>0</v>
      </c>
      <c r="AF78" s="24">
        <v>3.0000000000000001E-3</v>
      </c>
      <c r="AG78" s="24">
        <v>5.0000000000000001E-3</v>
      </c>
      <c r="AH78" s="4">
        <f>IF(OR(AF78="",AG78="",AF78="-",AG78="-"),"-",AF78-AG78)</f>
        <v>-2E-3</v>
      </c>
      <c r="AI78" s="24">
        <v>7.0000000000000001E-3</v>
      </c>
      <c r="AJ78" s="24">
        <v>4.0000000000000001E-3</v>
      </c>
      <c r="AK78" s="4">
        <f>IF(OR(AI78="",AJ78="",AI78="-",AJ78="-"),"-",AI78-AJ78)</f>
        <v>3.0000000000000001E-3</v>
      </c>
      <c r="AL78" s="24">
        <v>3.0000000000000001E-3</v>
      </c>
      <c r="AM78" s="24">
        <v>2E-3</v>
      </c>
      <c r="AN78" s="4">
        <f>IF(OR(AL78="",AM78="",AL78="-",AM78="-"),"-",AL78-AM78)</f>
        <v>1E-3</v>
      </c>
      <c r="AO78" s="24">
        <v>-1E-3</v>
      </c>
      <c r="AP78" s="24">
        <v>0</v>
      </c>
      <c r="AQ78" s="4">
        <f>IF(OR(AO78="",AP78="",AO78="-",AP78="-"),"-",AO78-AP78)</f>
        <v>-1E-3</v>
      </c>
      <c r="AR78" s="24">
        <v>0</v>
      </c>
      <c r="AS78" s="94">
        <v>2E-3</v>
      </c>
      <c r="AT78" s="4">
        <f>IF(OR(AR78="",AS78="",AR78="-",AS78="-"),"-",AR78-AS78)</f>
        <v>-2E-3</v>
      </c>
      <c r="AU78" s="24">
        <v>1E-3</v>
      </c>
      <c r="AV78" s="24">
        <v>1.2E-2</v>
      </c>
      <c r="AW78" s="4">
        <f>IF(OR(AU78="",AV78="",AU78="-",AV78="-"),"-",AU78-AV78)</f>
        <v>-1.0999999999999999E-2</v>
      </c>
      <c r="AX78" s="24">
        <v>1.2E-2</v>
      </c>
      <c r="AY78" s="24">
        <v>-1E-3</v>
      </c>
      <c r="AZ78" s="4">
        <f>IF(OR(AX78="",AY78="",AX78="-",AY78="-"),"-",AX78-AY78)</f>
        <v>1.3000000000000001E-2</v>
      </c>
    </row>
    <row r="79" spans="1:52" x14ac:dyDescent="0.25">
      <c r="A79" s="241" t="s">
        <v>154</v>
      </c>
      <c r="B79" s="223"/>
      <c r="C79" s="223"/>
      <c r="D79" s="215" t="str">
        <f>IF(OR(B79="",C79="",B79="-",C79="-"),"-",B79-C79)</f>
        <v>-</v>
      </c>
      <c r="E79" s="223">
        <v>1.4E-2</v>
      </c>
      <c r="F79" s="223">
        <v>1.4E-2</v>
      </c>
      <c r="G79" s="215">
        <f>IF(OR(E79="",F79="",E79="-",F79="-"),"-",E79-F79)</f>
        <v>0</v>
      </c>
      <c r="H79" s="225">
        <v>1.4E-2</v>
      </c>
      <c r="I79" s="225">
        <v>1.4E-2</v>
      </c>
      <c r="J79" s="215">
        <f>IF(OR(H79="",I79="",H79="-",I79="-"),"-",H79-I79)</f>
        <v>0</v>
      </c>
      <c r="K79" s="225">
        <v>1.4E-2</v>
      </c>
      <c r="L79" s="223"/>
      <c r="M79" s="215" t="str">
        <f>IF(OR(K79="",L79="",K79="-",L79="-"),"-",K79-L79)</f>
        <v>-</v>
      </c>
      <c r="N79" s="225">
        <v>1.7999999999999999E-2</v>
      </c>
      <c r="O79" s="225">
        <v>2.1999999999999999E-2</v>
      </c>
      <c r="P79" s="215">
        <f>IF(OR(N79="",O79="",N79="-",O79="-"),"-",N79-O79)</f>
        <v>-4.0000000000000001E-3</v>
      </c>
      <c r="Q79" s="225">
        <v>2.1000000000000001E-2</v>
      </c>
      <c r="R79" s="225">
        <v>3.4000000000000002E-2</v>
      </c>
      <c r="S79" s="215">
        <f>IF(OR(Q79="",R79="",Q79="-",R79="-"),"-",Q79-R79)</f>
        <v>-1.3000000000000001E-2</v>
      </c>
      <c r="T79" s="225">
        <v>2.8000000000000001E-2</v>
      </c>
      <c r="U79" s="225">
        <v>4.1000000000000002E-2</v>
      </c>
      <c r="V79" s="215">
        <f>IF(OR(T79="",U79="",T79="-",U79="-"),"-",T79-U79)</f>
        <v>-1.3000000000000001E-2</v>
      </c>
      <c r="W79" s="225">
        <v>4.1000000000000002E-2</v>
      </c>
      <c r="X79" s="225">
        <v>4.4999999999999998E-2</v>
      </c>
      <c r="Y79" s="215">
        <f>IF(OR(W79="",X79="",W79="-",X79="-"),"-",W79-X79)</f>
        <v>-3.9999999999999966E-3</v>
      </c>
      <c r="Z79" s="24">
        <v>4.4999999999999998E-2</v>
      </c>
      <c r="AA79" s="24">
        <v>4.4999999999999998E-2</v>
      </c>
      <c r="AB79" s="4">
        <f>IF(OR(Z79="",AA79="",Z79="-",AA79="-"),"-",Z79-AA79)</f>
        <v>0</v>
      </c>
      <c r="AC79" s="24">
        <v>4.4999999999999998E-2</v>
      </c>
      <c r="AD79" s="24">
        <v>4.2999999999999997E-2</v>
      </c>
      <c r="AE79" s="4">
        <f>IF(OR(AC79="",AD79="",AC79="-",AD79="-"),"-",AC79-AD79)</f>
        <v>2.0000000000000018E-3</v>
      </c>
      <c r="AH79" s="4" t="str">
        <f>IF(OR(AF79="",AG79="",AF79="-",AG79="-"),"-",AF79-AG79)</f>
        <v>-</v>
      </c>
      <c r="AK79" s="4" t="str">
        <f>IF(OR(AI79="",AJ79="",AI79="-",AJ79="-"),"-",AI79-AJ79)</f>
        <v>-</v>
      </c>
      <c r="AL79" s="24">
        <v>5.8999999999999997E-2</v>
      </c>
      <c r="AM79" s="24">
        <v>6.5000000000000002E-2</v>
      </c>
      <c r="AN79" s="4">
        <f>IF(OR(AL79="",AM79="",AL79="-",AM79="-"),"-",AL79-AM79)</f>
        <v>-6.0000000000000053E-3</v>
      </c>
      <c r="AQ79" s="4" t="str">
        <f>IF(OR(AO79="",AP79="",AO79="-",AP79="-"),"-",AO79-AP79)</f>
        <v>-</v>
      </c>
      <c r="AT79" s="4" t="str">
        <f>IF(OR(AR79="",AS79="",AR79="-",AS79="-"),"-",AR79-AS79)</f>
        <v>-</v>
      </c>
      <c r="AU79" s="24">
        <v>7.3999999999999996E-2</v>
      </c>
      <c r="AV79" s="24">
        <v>7.2999999999999995E-2</v>
      </c>
      <c r="AW79" s="4">
        <f>IF(OR(AU79="",AV79="",AU79="-",AV79="-"),"-",AU79-AV79)</f>
        <v>1.0000000000000009E-3</v>
      </c>
      <c r="AX79" s="97">
        <v>7.2999999999999995E-2</v>
      </c>
      <c r="AY79" s="24">
        <v>6.2E-2</v>
      </c>
      <c r="AZ79" s="4">
        <f>IF(OR(AX79="",AY79="",AX79="-",AY79="-"),"-",AX79-AY79)</f>
        <v>1.0999999999999996E-2</v>
      </c>
    </row>
    <row r="80" spans="1:52" x14ac:dyDescent="0.25">
      <c r="A80" s="241" t="s">
        <v>155</v>
      </c>
      <c r="B80" s="223"/>
      <c r="C80" s="223"/>
      <c r="D80" s="215" t="str">
        <f>IF(OR(B80="",C80="",B80="-",C80="-"),"-",B80-C80)</f>
        <v>-</v>
      </c>
      <c r="E80" s="223">
        <v>5.0000000000000001E-3</v>
      </c>
      <c r="F80" s="223">
        <v>-6.0000000000000001E-3</v>
      </c>
      <c r="G80" s="215">
        <f>IF(OR(E80="",F80="",E80="-",F80="-"),"-",E80-F80)</f>
        <v>1.0999999999999999E-2</v>
      </c>
      <c r="H80" s="225">
        <v>5.0000000000000001E-3</v>
      </c>
      <c r="I80" s="225">
        <v>-6.0000000000000001E-3</v>
      </c>
      <c r="J80" s="215">
        <f>IF(OR(H80="",I80="",H80="-",I80="-"),"-",H80-I80)</f>
        <v>1.0999999999999999E-2</v>
      </c>
      <c r="K80" s="225">
        <v>-6.0000000000000001E-3</v>
      </c>
      <c r="L80" s="223"/>
      <c r="M80" s="215" t="str">
        <f>IF(OR(K80="",L80="",K80="-",L80="-"),"-",K80-L80)</f>
        <v>-</v>
      </c>
      <c r="N80" s="223"/>
      <c r="O80" s="223"/>
      <c r="P80" s="215" t="str">
        <f>IF(OR(N80="",O80="",N80="-",O80="-"),"-",N80-O80)</f>
        <v>-</v>
      </c>
      <c r="Q80" s="225">
        <v>-1E-3</v>
      </c>
      <c r="R80" s="225">
        <v>-4.0000000000000001E-3</v>
      </c>
      <c r="S80" s="215">
        <f>IF(OR(Q80="",R80="",Q80="-",R80="-"),"-",Q80-R80)</f>
        <v>3.0000000000000001E-3</v>
      </c>
      <c r="T80" s="225">
        <v>-3.0000000000000001E-3</v>
      </c>
      <c r="U80" s="225">
        <v>-2E-3</v>
      </c>
      <c r="V80" s="215">
        <f>IF(OR(T80="",U80="",T80="-",U80="-"),"-",T80-U80)</f>
        <v>-1E-3</v>
      </c>
      <c r="W80" s="225">
        <v>-4.0000000000000001E-3</v>
      </c>
      <c r="X80" s="225">
        <v>-8.0000000000000002E-3</v>
      </c>
      <c r="Y80" s="215">
        <f>IF(OR(W80="",X80="",W80="-",X80="-"),"-",W80-X80)</f>
        <v>4.0000000000000001E-3</v>
      </c>
      <c r="Z80" s="24">
        <v>-5.0000000000000001E-3</v>
      </c>
      <c r="AA80" s="24">
        <v>5.0000000000000001E-3</v>
      </c>
      <c r="AB80" s="4">
        <f>IF(OR(Z80="",AA80="",Z80="-",AA80="-"),"-",Z80-AA80)</f>
        <v>-0.01</v>
      </c>
      <c r="AC80" s="24">
        <v>-2E-3</v>
      </c>
      <c r="AD80" s="24">
        <v>2E-3</v>
      </c>
      <c r="AE80" s="4">
        <f>IF(OR(AC80="",AD80="",AC80="-",AD80="-"),"-",AC80-AD80)</f>
        <v>-4.0000000000000001E-3</v>
      </c>
      <c r="AF80" s="5">
        <v>0</v>
      </c>
      <c r="AG80" s="24">
        <v>5.0000000000000001E-3</v>
      </c>
      <c r="AH80" s="4">
        <f>IF(OR(AF80="",AG80="",AF80="-",AG80="-"),"-",AF80-AG80)</f>
        <v>-5.0000000000000001E-3</v>
      </c>
      <c r="AI80" s="24">
        <v>4.0000000000000001E-3</v>
      </c>
      <c r="AJ80" s="24">
        <v>1E-3</v>
      </c>
      <c r="AK80" s="4">
        <f>IF(OR(AI80="",AJ80="",AI80="-",AJ80="-"),"-",AI80-AJ80)</f>
        <v>3.0000000000000001E-3</v>
      </c>
      <c r="AL80" s="24">
        <v>1E-3</v>
      </c>
      <c r="AM80" s="24">
        <v>1E-3</v>
      </c>
      <c r="AN80" s="4">
        <f>IF(OR(AL80="",AM80="",AL80="-",AM80="-"),"-",AL80-AM80)</f>
        <v>0</v>
      </c>
      <c r="AO80" s="24">
        <v>-3.0000000000000001E-3</v>
      </c>
      <c r="AP80" s="24">
        <v>0</v>
      </c>
      <c r="AQ80" s="4">
        <f>IF(OR(AO80="",AP80="",AO80="-",AP80="-"),"-",AO80-AP80)</f>
        <v>-3.0000000000000001E-3</v>
      </c>
      <c r="AR80" s="24">
        <v>1E-3</v>
      </c>
      <c r="AS80" s="24">
        <v>3.0000000000000001E-3</v>
      </c>
      <c r="AT80" s="4">
        <f>IF(OR(AR80="",AS80="",AR80="-",AS80="-"),"-",AR80-AS80)</f>
        <v>-2E-3</v>
      </c>
      <c r="AU80" s="24">
        <v>-1E-3</v>
      </c>
      <c r="AV80" s="24">
        <v>-2E-3</v>
      </c>
      <c r="AW80" s="4">
        <f>IF(OR(AU80="",AV80="",AU80="-",AV80="-"),"-",AU80-AV80)</f>
        <v>1E-3</v>
      </c>
      <c r="AX80" s="97">
        <v>-2E-3</v>
      </c>
      <c r="AY80" s="24">
        <v>-2E-3</v>
      </c>
      <c r="AZ80" s="4">
        <f>IF(OR(AX80="",AY80="",AX80="-",AY80="-"),"-",AX80-AY80)</f>
        <v>0</v>
      </c>
    </row>
    <row r="81" spans="1:52" x14ac:dyDescent="0.25">
      <c r="A81" s="241" t="s">
        <v>156</v>
      </c>
      <c r="B81" s="223"/>
      <c r="C81" s="223"/>
      <c r="D81" s="215" t="str">
        <f>IF(OR(B81="",C81="",B81="-",C81="-"),"-",B81-C81)</f>
        <v>-</v>
      </c>
      <c r="E81" s="223">
        <v>3.9E-2</v>
      </c>
      <c r="F81" s="223">
        <v>3.9E-2</v>
      </c>
      <c r="G81" s="215">
        <f>IF(OR(E81="",F81="",E81="-",F81="-"),"-",E81-F81)</f>
        <v>0</v>
      </c>
      <c r="H81" s="223"/>
      <c r="I81" s="223"/>
      <c r="J81" s="215" t="str">
        <f>IF(OR(H81="",I81="",H81="-",I81="-"),"-",H81-I81)</f>
        <v>-</v>
      </c>
      <c r="K81" s="223"/>
      <c r="L81" s="223"/>
      <c r="M81" s="215" t="str">
        <f>IF(OR(K81="",L81="",K81="-",L81="-"),"-",K81-L81)</f>
        <v>-</v>
      </c>
      <c r="N81" s="223"/>
      <c r="O81" s="223"/>
      <c r="P81" s="215" t="str">
        <f>IF(OR(N81="",O81="",N81="-",O81="-"),"-",N81-O81)</f>
        <v>-</v>
      </c>
      <c r="Q81" s="225">
        <v>3.9E-2</v>
      </c>
      <c r="R81" s="225">
        <v>4.0399999999999998E-2</v>
      </c>
      <c r="S81" s="215">
        <f>IF(OR(Q81="",R81="",Q81="-",R81="-"),"-",Q81-R81)</f>
        <v>-1.3999999999999985E-3</v>
      </c>
      <c r="T81" s="223"/>
      <c r="U81" s="223"/>
      <c r="V81" s="215" t="str">
        <f>IF(OR(T81="",U81="",T81="-",U81="-"),"-",T81-U81)</f>
        <v>-</v>
      </c>
      <c r="W81" s="225">
        <v>4.0399999999999998E-2</v>
      </c>
      <c r="X81" s="225">
        <v>3.9800000000000002E-2</v>
      </c>
      <c r="Y81" s="215">
        <f>IF(OR(W81="",X81="",W81="-",X81="-"),"-",W81-X81)</f>
        <v>5.9999999999999637E-4</v>
      </c>
      <c r="AB81" s="4" t="str">
        <f>IF(OR(Z81="",AA81="",Z81="-",AA81="-"),"-",Z81-AA81)</f>
        <v>-</v>
      </c>
      <c r="AC81" s="24">
        <v>3.9800000000000002E-2</v>
      </c>
      <c r="AD81" s="24">
        <v>3.9199999999999999E-2</v>
      </c>
      <c r="AE81" s="4">
        <f>IF(OR(AC81="",AD81="",AC81="-",AD81="-"),"-",AC81-AD81)</f>
        <v>6.0000000000000331E-4</v>
      </c>
      <c r="AH81" s="4" t="str">
        <f>IF(OR(AF81="",AG81="",AF81="-",AG81="-"),"-",AF81-AG81)</f>
        <v>-</v>
      </c>
      <c r="AK81" s="4" t="str">
        <f>IF(OR(AI81="",AJ81="",AI81="-",AJ81="-"),"-",AI81-AJ81)</f>
        <v>-</v>
      </c>
      <c r="AL81" s="24">
        <v>3.9199999999999999E-2</v>
      </c>
      <c r="AM81" s="24">
        <v>3.9699999999999999E-2</v>
      </c>
      <c r="AN81" s="4">
        <f>IF(OR(AL81="",AM81="",AL81="-",AM81="-"),"-",AL81-AM81)</f>
        <v>-5.0000000000000044E-4</v>
      </c>
      <c r="AO81" s="24">
        <v>3.9699999999999999E-2</v>
      </c>
      <c r="AP81" s="24">
        <v>3.9399999999999998E-2</v>
      </c>
      <c r="AQ81" s="4">
        <f>IF(OR(AO81="",AP81="",AO81="-",AP81="-"),"-",AO81-AP81)</f>
        <v>3.0000000000000165E-4</v>
      </c>
      <c r="AT81" s="4" t="str">
        <f>IF(OR(AR81="",AS81="",AR81="-",AS81="-"),"-",AR81-AS81)</f>
        <v>-</v>
      </c>
      <c r="AV81" s="24">
        <v>3.8800000000000001E-2</v>
      </c>
      <c r="AW81" s="4" t="str">
        <f>IF(OR(AU81="",AV81="",AU81="-",AV81="-"),"-",AU81-AV81)</f>
        <v>-</v>
      </c>
      <c r="AZ81" s="4" t="str">
        <f>IF(OR(AX81="",AY81="",AX81="-",AY81="-"),"-",AX81-AY81)</f>
        <v>-</v>
      </c>
    </row>
    <row r="82" spans="1:52" x14ac:dyDescent="0.25">
      <c r="A82" s="241"/>
      <c r="B82" s="223"/>
      <c r="C82" s="223"/>
      <c r="D82" s="218" t="str">
        <f>IF(OR(B82="",C82="",B82="-",C82="-"),"-",B82-C82)</f>
        <v>-</v>
      </c>
      <c r="E82" s="223"/>
      <c r="F82" s="223"/>
      <c r="G82" s="218" t="str">
        <f>IF(OR(E82="",F82="",E82="-",F82="-"),"-",E82-F82)</f>
        <v>-</v>
      </c>
      <c r="H82" s="223"/>
      <c r="I82" s="223"/>
      <c r="J82" s="218" t="str">
        <f>IF(OR(H82="",I82="",H82="-",I82="-"),"-",H82-I82)</f>
        <v>-</v>
      </c>
      <c r="K82" s="223"/>
      <c r="L82" s="223"/>
      <c r="M82" s="218" t="str">
        <f>IF(OR(K82="",L82="",K82="-",L82="-"),"-",K82-L82)</f>
        <v>-</v>
      </c>
      <c r="N82" s="223"/>
      <c r="O82" s="223"/>
      <c r="P82" s="218" t="str">
        <f>IF(OR(N82="",O82="",N82="-",O82="-"),"-",N82-O82)</f>
        <v>-</v>
      </c>
      <c r="Q82" s="223"/>
      <c r="R82" s="223"/>
      <c r="S82" s="218" t="str">
        <f>IF(OR(Q82="",R82="",Q82="-",R82="-"),"-",Q82-R82)</f>
        <v>-</v>
      </c>
      <c r="T82" s="223"/>
      <c r="U82" s="223"/>
      <c r="V82" s="218" t="str">
        <f>IF(OR(T82="",U82="",T82="-",U82="-"),"-",T82-U82)</f>
        <v>-</v>
      </c>
      <c r="W82" s="223"/>
      <c r="X82" s="223"/>
      <c r="Y82" s="218" t="str">
        <f>IF(OR(W82="",X82="",W82="-",X82="-"),"-",W82-X82)</f>
        <v>-</v>
      </c>
      <c r="AB82" s="20" t="str">
        <f>IF(OR(Z82="",AA82="",Z82="-",AA82="-"),"-",Z82-AA82)</f>
        <v>-</v>
      </c>
      <c r="AE82" s="20" t="str">
        <f>IF(OR(AC82="",AD82="",AC82="-",AD82="-"),"-",AC82-AD82)</f>
        <v>-</v>
      </c>
      <c r="AH82" s="20" t="str">
        <f>IF(OR(AF82="",AG82="",AF82="-",AG82="-"),"-",AF82-AG82)</f>
        <v>-</v>
      </c>
      <c r="AK82" s="20" t="str">
        <f>IF(OR(AI82="",AJ82="",AI82="-",AJ82="-"),"-",AI82-AJ82)</f>
        <v>-</v>
      </c>
      <c r="AN82" s="20" t="str">
        <f>IF(OR(AL82="",AM82="",AL82="-",AM82="-"),"-",AL82-AM82)</f>
        <v>-</v>
      </c>
      <c r="AQ82" s="20" t="str">
        <f>IF(OR(AO82="",AP82="",AO82="-",AP82="-"),"-",AO82-AP82)</f>
        <v>-</v>
      </c>
      <c r="AT82" s="20" t="str">
        <f>IF(OR(AR82="",AS82="",AR82="-",AS82="-"),"-",AR82-AS82)</f>
        <v>-</v>
      </c>
      <c r="AW82" s="20" t="str">
        <f>IF(OR(AU82="",AV82="",AU82="-",AV82="-"),"-",AU82-AV82)</f>
        <v>-</v>
      </c>
      <c r="AZ82" s="20" t="str">
        <f>IF(OR(AX82="",AY82="",AX82="-",AY82="-"),"-",AX82-AY82)</f>
        <v>-</v>
      </c>
    </row>
    <row r="83" spans="1:52" x14ac:dyDescent="0.25">
      <c r="A83" s="236" t="s">
        <v>83</v>
      </c>
      <c r="B83" s="332" t="str">
        <f>IF(AND(D84="-",D85="-"), "",
    IF(SUM(IF(D84="-", 0, IF(D84&lt;0, -2, IF(D84&gt;0, 2, 0))),
             IF(D85="-", 0, IF(D85&lt;0, -2, IF(D85&gt;0, 2, 0)))
             ) / 4 &gt; 0.1, "BULLISH",
    IF(SUM(IF(D84="-", 0, IF(D84&lt;0, -2, IF(D84&gt;0, 2, 0))),
             IF(D85="-", 0, IF(D85&lt;0, -2, IF(D85&gt;0, 2, 0)))
             ) / 4 &lt; -0.1, "BEARISH",
    IF(SUM(IF(D84="-", 0, IF(D84&lt;0, -2, IF(D84&gt;0, 2, 0))),
             IF(D85="-", 0, IF(D85&lt;0, -2, IF(D85&gt;0, 2, 0)))
             ) / 4 &gt; -0.1, "NEUTRO", "NEUTRO"))))</f>
        <v/>
      </c>
      <c r="C83" s="332"/>
      <c r="D83" s="332"/>
      <c r="E83" s="332" t="str">
        <f>IF(AND(G84="-",G85="-"), "",
    IF(SUM(IF(G84="-", 0, IF(G84&lt;0, -2, IF(G84&gt;0, 2, 0))),
             IF(G85="-", 0, IF(G85&lt;0, -2, IF(G85&gt;0, 2, 0)))
             ) / 4 &gt; 0.1, "BULLISH",
    IF(SUM(IF(G84="-", 0, IF(G84&lt;0, -2, IF(G84&gt;0, 2, 0))),
             IF(G85="-", 0, IF(G85&lt;0, -2, IF(G85&gt;0, 2, 0)))
             ) / 4 &lt; -0.1, "BEARISH",
    IF(SUM(IF(G84="-", 0, IF(G84&lt;0, -2, IF(G84&gt;0, 2, 0))),
             IF(G85="-", 0, IF(G85&lt;0, -2, IF(G85&gt;0, 2, 0)))
             ) / 4 &gt; -0.1, "NEUTRO", "NEUTRO"))))</f>
        <v/>
      </c>
      <c r="F83" s="332"/>
      <c r="G83" s="332"/>
      <c r="H83" s="332" t="str">
        <f>IF(AND(J84="-",J85="-"), "",
    IF(SUM(IF(J84="-", 0, IF(J84&lt;0, -2, IF(J84&gt;0, 2, 0))),
             IF(J85="-", 0, IF(J85&lt;0, -2, IF(J85&gt;0, 2, 0)))
             ) / 4 &gt; 0.1, "BULLISH",
    IF(SUM(IF(J84="-", 0, IF(J84&lt;0, -2, IF(J84&gt;0, 2, 0))),
             IF(J85="-", 0, IF(J85&lt;0, -2, IF(J85&gt;0, 2, 0)))
             ) / 4 &lt; -0.1, "BEARISH",
    IF(SUM(IF(J84="-", 0, IF(J84&lt;0, -2, IF(J84&gt;0, 2, 0))),
             IF(J85="-", 0, IF(J85&lt;0, -2, IF(J85&gt;0, 2, 0)))
             ) / 4 &gt; -0.1, "NEUTRO", "NEUTRO"))))</f>
        <v/>
      </c>
      <c r="I83" s="332"/>
      <c r="J83" s="332"/>
      <c r="K83" s="332" t="str">
        <f>IF(AND(M84="-",M85="-"), "",
    IF(SUM(IF(M84="-", 0, IF(M84&lt;0, -2, IF(M84&gt;0, 2, 0))),
             IF(M85="-", 0, IF(M85&lt;0, -2, IF(M85&gt;0, 2, 0)))
             ) / 4 &gt; 0.1, "BULLISH",
    IF(SUM(IF(M84="-", 0, IF(M84&lt;0, -2, IF(M84&gt;0, 2, 0))),
             IF(M85="-", 0, IF(M85&lt;0, -2, IF(M85&gt;0, 2, 0)))
             ) / 4 &lt; -0.1, "BEARISH",
    IF(SUM(IF(M84="-", 0, IF(M84&lt;0, -2, IF(M84&gt;0, 2, 0))),
             IF(M85="-", 0, IF(M85&lt;0, -2, IF(M85&gt;0, 2, 0)))
             ) / 4 &gt; -0.1, "NEUTRO", "NEUTRO"))))</f>
        <v/>
      </c>
      <c r="L83" s="332"/>
      <c r="M83" s="332"/>
      <c r="N83" s="332" t="str">
        <f>IF(AND(P84="-",P85="-"), "",
    IF(SUM(IF(P84="-", 0, IF(P84&lt;0, -2, IF(P84&gt;0, 2, 0))),
             IF(P85="-", 0, IF(P85&lt;0, -2, IF(P85&gt;0, 2, 0)))
             ) / 4 &gt; 0.1, "BULLISH",
    IF(SUM(IF(P84="-", 0, IF(P84&lt;0, -2, IF(P84&gt;0, 2, 0))),
             IF(P85="-", 0, IF(P85&lt;0, -2, IF(P85&gt;0, 2, 0)))
             ) / 4 &lt; -0.1, "BEARISH",
    IF(SUM(IF(P84="-", 0, IF(P84&lt;0, -2, IF(P84&gt;0, 2, 0))),
             IF(P85="-", 0, IF(P85&lt;0, -2, IF(P85&gt;0, 2, 0)))
             ) / 4 &gt; -0.1, "NEUTRO", "NEUTRO"))))</f>
        <v/>
      </c>
      <c r="O83" s="332"/>
      <c r="P83" s="332"/>
      <c r="Q83" s="332" t="str">
        <f>IF(AND(S84="-",S85="-"), "",
    IF(SUM(IF(S84="-", 0, IF(S84&lt;0, -2, IF(S84&gt;0, 2, 0))),
             IF(S85="-", 0, IF(S85&lt;0, -2, IF(S85&gt;0, 2, 0)))
             ) / 4 &gt; 0.1, "BULLISH",
    IF(SUM(IF(S84="-", 0, IF(S84&lt;0, -2, IF(S84&gt;0, 2, 0))),
             IF(S85="-", 0, IF(S85&lt;0, -2, IF(S85&gt;0, 2, 0)))
             ) / 4 &lt; -0.1, "BEARISH",
    IF(SUM(IF(S84="-", 0, IF(S84&lt;0, -2, IF(S84&gt;0, 2, 0))),
             IF(S85="-", 0, IF(S85&lt;0, -2, IF(S85&gt;0, 2, 0)))
             ) / 4 &gt; -0.1, "NEUTRO", "NEUTRO"))))</f>
        <v/>
      </c>
      <c r="R83" s="332"/>
      <c r="S83" s="332"/>
      <c r="T83" s="332" t="str">
        <f>IF(AND(V84="-",V85="-"), "",
    IF(SUM(IF(V84="-", 0, IF(V84&lt;0, -2, IF(V84&gt;0, 2, 0))),
             IF(V85="-", 0, IF(V85&lt;0, -2, IF(V85&gt;0, 2, 0)))
             ) / 4 &gt; 0.1, "BULLISH",
    IF(SUM(IF(V84="-", 0, IF(V84&lt;0, -2, IF(V84&gt;0, 2, 0))),
             IF(V85="-", 0, IF(V85&lt;0, -2, IF(V85&gt;0, 2, 0)))
             ) / 4 &lt; -0.1, "BEARISH",
    IF(SUM(IF(V84="-", 0, IF(V84&lt;0, -2, IF(V84&gt;0, 2, 0))),
             IF(V85="-", 0, IF(V85&lt;0, -2, IF(V85&gt;0, 2, 0)))
             ) / 4 &gt; -0.1, "NEUTRO", "NEUTRO"))))</f>
        <v>BULLISH</v>
      </c>
      <c r="U83" s="332"/>
      <c r="V83" s="332"/>
      <c r="W83" s="332" t="str">
        <f>IF(AND(Y84="-",Y85="-"), "",
    IF(SUM(IF(Y84="-", 0, IF(Y84&lt;0, -2, IF(Y84&gt;0, 2, 0))),
             IF(Y85="-", 0, IF(Y85&lt;0, -2, IF(Y85&gt;0, 2, 0)))
             ) / 4 &gt; 0.1, "BULLISH",
    IF(SUM(IF(Y84="-", 0, IF(Y84&lt;0, -2, IF(Y84&gt;0, 2, 0))),
             IF(Y85="-", 0, IF(Y85&lt;0, -2, IF(Y85&gt;0, 2, 0)))
             ) / 4 &lt; -0.1, "BEARISH",
    IF(SUM(IF(Y84="-", 0, IF(Y84&lt;0, -2, IF(Y84&gt;0, 2, 0))),
             IF(Y85="-", 0, IF(Y85&lt;0, -2, IF(Y85&gt;0, 2, 0)))
             ) / 4 &gt; -0.1, "NEUTRO", "NEUTRO"))))</f>
        <v/>
      </c>
      <c r="X83" s="332"/>
      <c r="Y83" s="332"/>
      <c r="Z83" s="320" t="str">
        <f>IF(AND(AB84="-",AB85="-"), "",
    IF(SUM(IF(AB84="-", 0, IF(AB84&lt;0, -2, IF(AB84&gt;0, 2, 0))),
             IF(AB85="-", 0, IF(AB85&lt;0, -2, IF(AB85&gt;0, 2, 0)))
             ) / 4 &gt; 0.1, "BULLISH",
    IF(SUM(IF(AB84="-", 0, IF(AB84&lt;0, -2, IF(AB84&gt;0, 2, 0))),
             IF(AB85="-", 0, IF(AB85&lt;0, -2, IF(AB85&gt;0, 2, 0)))
             ) / 4 &lt; -0.1, "BEARISH",
    IF(SUM(IF(AB84="-", 0, IF(AB84&lt;0, -2, IF(AB84&gt;0, 2, 0))),
             IF(AB85="-", 0, IF(AB85&lt;0, -2, IF(AB85&gt;0, 2, 0)))
             ) / 4 &gt; -0.1, "NEUTRO", "NEUTRO"))))</f>
        <v>BULLISH</v>
      </c>
      <c r="AA83" s="321"/>
      <c r="AB83" s="319"/>
      <c r="AC83" s="320" t="str">
        <f>IF(AND(AE84="-",AE85="-"), "",
    IF(SUM(IF(AE84="-", 0, IF(AE84&lt;0, -2, IF(AE84&gt;0, 2, 0))),
             IF(AE85="-", 0, IF(AE85&lt;0, -2, IF(AE85&gt;0, 2, 0)))
             ) / 4 &gt; 0.1, "BULLISH",
    IF(SUM(IF(AE84="-", 0, IF(AE84&lt;0, -2, IF(AE84&gt;0, 2, 0))),
             IF(AE85="-", 0, IF(AE85&lt;0, -2, IF(AE85&gt;0, 2, 0)))
             ) / 4 &lt; -0.1, "BEARISH",
    IF(SUM(IF(AE84="-", 0, IF(AE84&lt;0, -2, IF(AE84&gt;0, 2, 0))),
             IF(AE85="-", 0, IF(AE85&lt;0, -2, IF(AE85&gt;0, 2, 0)))
             ) / 4 &gt; -0.1, "NEUTRO", "NEUTRO"))))</f>
        <v/>
      </c>
      <c r="AD83" s="321"/>
      <c r="AE83" s="319"/>
      <c r="AF83" s="320" t="str">
        <f>IF(AND(AH84="-",AH85="-"), "",
    IF(SUM(IF(AH84="-", 0, IF(AH84&lt;0, -2, IF(AH84&gt;0, 2, 0))),
             IF(AH85="-", 0, IF(AH85&lt;0, -2, IF(AH85&gt;0, 2, 0)))
             ) / 4 &gt; 0.1, "BULLISH",
    IF(SUM(IF(AH84="-", 0, IF(AH84&lt;0, -2, IF(AH84&gt;0, 2, 0))),
             IF(AH85="-", 0, IF(AH85&lt;0, -2, IF(AH85&gt;0, 2, 0)))
             ) / 4 &lt; -0.1, "BEARISH",
    IF(SUM(IF(AH84="-", 0, IF(AH84&lt;0, -2, IF(AH84&gt;0, 2, 0))),
             IF(AH85="-", 0, IF(AH85&lt;0, -2, IF(AH85&gt;0, 2, 0)))
             ) / 4 &gt; -0.1, "NEUTRO", "NEUTRO"))))</f>
        <v/>
      </c>
      <c r="AG83" s="321"/>
      <c r="AH83" s="319"/>
      <c r="AI83" s="320" t="str">
        <f>IF(AND(AK84="-",AK85="-"), "",
    IF(SUM(IF(AK84="-", 0, IF(AK84&lt;0, -2, IF(AK84&gt;0, 2, 0))),
             IF(AK85="-", 0, IF(AK85&lt;0, -2, IF(AK85&gt;0, 2, 0)))
             ) / 4 &gt; 0.1, "BULLISH",
    IF(SUM(IF(AK84="-", 0, IF(AK84&lt;0, -2, IF(AK84&gt;0, 2, 0))),
             IF(AK85="-", 0, IF(AK85&lt;0, -2, IF(AK85&gt;0, 2, 0)))
             ) / 4 &lt; -0.1, "BEARISH",
    IF(SUM(IF(AK84="-", 0, IF(AK84&lt;0, -2, IF(AK84&gt;0, 2, 0))),
             IF(AK85="-", 0, IF(AK85&lt;0, -2, IF(AK85&gt;0, 2, 0)))
             ) / 4 &gt; -0.1, "NEUTRO", "NEUTRO"))))</f>
        <v/>
      </c>
      <c r="AJ83" s="321"/>
      <c r="AK83" s="319"/>
      <c r="AL83" s="320" t="str">
        <f>IF(AND(AN84="-",AN85="-"), "",
    IF(SUM(IF(AN84="-", 0, IF(AN84&lt;0, -2, IF(AN84&gt;0, 2, 0))),
             IF(AN85="-", 0, IF(AN85&lt;0, -2, IF(AN85&gt;0, 2, 0)))
             ) / 4 &gt; 0.1, "BULLISH",
    IF(SUM(IF(AN84="-", 0, IF(AN84&lt;0, -2, IF(AN84&gt;0, 2, 0))),
             IF(AN85="-", 0, IF(AN85&lt;0, -2, IF(AN85&gt;0, 2, 0)))
             ) / 4 &lt; -0.1, "BEARISH",
    IF(SUM(IF(AN84="-", 0, IF(AN84&lt;0, -2, IF(AN84&gt;0, 2, 0))),
             IF(AN85="-", 0, IF(AN85&lt;0, -2, IF(AN85&gt;0, 2, 0)))
             ) / 4 &gt; -0.1, "NEUTRO", "NEUTRO"))))</f>
        <v>BULLISH</v>
      </c>
      <c r="AM83" s="321"/>
      <c r="AN83" s="319"/>
      <c r="AO83" s="320" t="str">
        <f>IF(AND(AQ84="-",AQ85="-"), "",
    IF(SUM(IF(AQ84="-", 0, IF(AQ84&lt;0, -2, IF(AQ84&gt;0, 2, 0))),
             IF(AQ85="-", 0, IF(AQ85&lt;0, -2, IF(AQ85&gt;0, 2, 0)))
             ) / 4 &gt; 0.1, "BULLISH",
    IF(SUM(IF(AQ84="-", 0, IF(AQ84&lt;0, -2, IF(AQ84&gt;0, 2, 0))),
             IF(AQ85="-", 0, IF(AQ85&lt;0, -2, IF(AQ85&gt;0, 2, 0)))
             ) / 4 &lt; -0.1, "BEARISH",
    IF(SUM(IF(AQ84="-", 0, IF(AQ84&lt;0, -2, IF(AQ84&gt;0, 2, 0))),
             IF(AQ85="-", 0, IF(AQ85&lt;0, -2, IF(AQ85&gt;0, 2, 0)))
             ) / 4 &gt; -0.1, "NEUTRO", "NEUTRO"))))</f>
        <v/>
      </c>
      <c r="AP83" s="321"/>
      <c r="AQ83" s="319"/>
      <c r="AR83" s="320" t="str">
        <f>IF(AND(AT84="-",AT85="-"), "",
    IF(SUM(IF(AT84="-", 0, IF(AT84&lt;0, -2, IF(AT84&gt;0, 2, 0))),
             IF(AT85="-", 0, IF(AT85&lt;0, -2, IF(AT85&gt;0, 2, 0)))
             ) / 4 &gt; 0.1, "BULLISH",
    IF(SUM(IF(AT84="-", 0, IF(AT84&lt;0, -2, IF(AT84&gt;0, 2, 0))),
             IF(AT85="-", 0, IF(AT85&lt;0, -2, IF(AT85&gt;0, 2, 0)))
             ) / 4 &lt; -0.1, "BEARISH",
    IF(SUM(IF(AT84="-", 0, IF(AT84&lt;0, -2, IF(AT84&gt;0, 2, 0))),
             IF(AT85="-", 0, IF(AT85&lt;0, -2, IF(AT85&gt;0, 2, 0)))
             ) / 4 &gt; -0.1, "NEUTRO", "NEUTRO"))))</f>
        <v>BEARISH</v>
      </c>
      <c r="AS83" s="321"/>
      <c r="AT83" s="319"/>
      <c r="AU83" s="320" t="str">
        <f>IF(AND(AW84="-",AW85="-"), "",
    IF(SUM(IF(AW84="-", 0, IF(AW84&lt;0, -2, IF(AW84&gt;0, 2, 0))),
             IF(AW85="-", 0, IF(AW85&lt;0, -2, IF(AW85&gt;0, 2, 0)))
             ) / 4 &gt; 0.1, "BULLISH",
    IF(SUM(IF(AW84="-", 0, IF(AW84&lt;0, -2, IF(AW84&gt;0, 2, 0))),
             IF(AW85="-", 0, IF(AW85&lt;0, -2, IF(AW85&gt;0, 2, 0)))
             ) / 4 &lt; -0.1, "BEARISH",
    IF(SUM(IF(AW84="-", 0, IF(AW84&lt;0, -2, IF(AW84&gt;0, 2, 0))),
             IF(AW85="-", 0, IF(AW85&lt;0, -2, IF(AW85&gt;0, 2, 0)))
             ) / 4 &gt; -0.1, "NEUTRO", "NEUTRO"))))</f>
        <v/>
      </c>
      <c r="AV83" s="321"/>
      <c r="AW83" s="319"/>
      <c r="AX83" s="320" t="str">
        <f>IF(AND(AZ84="-",AZ85="-"), "",
    IF(SUM(IF(AZ84="-", 0, IF(AZ84&lt;0, -2, IF(AZ84&gt;0, 2, 0))),
             IF(AZ85="-", 0, IF(AZ85&lt;0, -2, IF(AZ85&gt;0, 2, 0)))
             ) / 4 &gt; 0.1, "BULLISH",
    IF(SUM(IF(AZ84="-", 0, IF(AZ84&lt;0, -2, IF(AZ84&gt;0, 2, 0))),
             IF(AZ85="-", 0, IF(AZ85&lt;0, -2, IF(AZ85&gt;0, 2, 0)))
             ) / 4 &lt; -0.1, "BEARISH",
    IF(SUM(IF(AZ84="-", 0, IF(AZ84&lt;0, -2, IF(AZ84&gt;0, 2, 0))),
             IF(AZ85="-", 0, IF(AZ85&lt;0, -2, IF(AZ85&gt;0, 2, 0)))
             ) / 4 &gt; -0.1, "NEUTRO", "NEUTRO"))))</f>
        <v/>
      </c>
      <c r="AY83" s="321"/>
      <c r="AZ83" s="319"/>
    </row>
    <row r="84" spans="1:52" x14ac:dyDescent="0.25">
      <c r="A84" s="237" t="s">
        <v>157</v>
      </c>
      <c r="B84" s="229"/>
      <c r="C84" s="229"/>
      <c r="D84" s="221" t="str">
        <f>IF(OR(B84="",C84="",B84="-",C84="-"),"-",B84-C84)</f>
        <v>-</v>
      </c>
      <c r="E84" s="229"/>
      <c r="F84" s="229"/>
      <c r="G84" s="221" t="str">
        <f>IF(OR(E84="",F84="",E84="-",F84="-"),"-",E84-F84)</f>
        <v>-</v>
      </c>
      <c r="H84" s="229"/>
      <c r="I84" s="229"/>
      <c r="J84" s="221" t="str">
        <f>IF(OR(H84="",I84="",H84="-",I84="-"),"-",H84-I84)</f>
        <v>-</v>
      </c>
      <c r="K84" s="229"/>
      <c r="L84" s="229"/>
      <c r="M84" s="221" t="str">
        <f>IF(OR(K84="",L84="",K84="-",L84="-"),"-",K84-L84)</f>
        <v>-</v>
      </c>
      <c r="N84" s="229"/>
      <c r="O84" s="229"/>
      <c r="P84" s="221" t="str">
        <f>IF(OR(N84="",O84="",N84="-",O84="-"),"-",N84-O84)</f>
        <v>-</v>
      </c>
      <c r="Q84" s="229"/>
      <c r="R84" s="229"/>
      <c r="S84" s="221" t="str">
        <f>IF(OR(Q84="",R84="",Q84="-",R84="-"),"-",Q84-R84)</f>
        <v>-</v>
      </c>
      <c r="T84" s="229">
        <v>6250</v>
      </c>
      <c r="U84" s="229">
        <v>5977</v>
      </c>
      <c r="V84" s="221">
        <f>IF(OR(T84="",U84="",T84="-",U84="-"),"-",T84-U84)</f>
        <v>273</v>
      </c>
      <c r="W84" s="229"/>
      <c r="X84" s="229"/>
      <c r="Y84" s="221" t="str">
        <f>IF(OR(W84="",X84="",W84="-",X84="-"),"-",W84-X84)</f>
        <v>-</v>
      </c>
      <c r="Z84" s="27"/>
      <c r="AA84" s="27"/>
      <c r="AB84" s="9" t="str">
        <f>IF(OR(Z84="",AA84="",Z84="-",AA84="-"),"-",Z84-AA84)</f>
        <v>-</v>
      </c>
      <c r="AC84" s="27"/>
      <c r="AD84" s="27"/>
      <c r="AE84" s="9" t="str">
        <f>IF(OR(AC84="",AD84="",AC84="-",AD84="-"),"-",AC84-AD84)</f>
        <v>-</v>
      </c>
      <c r="AF84" s="27"/>
      <c r="AG84" s="27"/>
      <c r="AH84" s="9" t="str">
        <f>IF(OR(AF84="",AG84="",AF84="-",AG84="-"),"-",AF84-AG84)</f>
        <v>-</v>
      </c>
      <c r="AI84" s="27"/>
      <c r="AJ84" s="27"/>
      <c r="AK84" s="9" t="str">
        <f>IF(OR(AI84="",AJ84="",AI84="-",AJ84="-"),"-",AI84-AJ84)</f>
        <v>-</v>
      </c>
      <c r="AL84" s="27"/>
      <c r="AM84" s="99"/>
      <c r="AN84" s="9" t="str">
        <f>IF(OR(AL84="",AM84="",AL84="-",AM84="-"),"-",AL84-AM84)</f>
        <v>-</v>
      </c>
      <c r="AO84" s="99"/>
      <c r="AP84" s="99"/>
      <c r="AQ84" s="9" t="str">
        <f>IF(OR(AO84="",AP84="",AO84="-",AP84="-"),"-",AO84-AP84)</f>
        <v>-</v>
      </c>
      <c r="AR84" s="27"/>
      <c r="AS84" s="27"/>
      <c r="AT84" s="9" t="str">
        <f>IF(OR(AR84="",AS84="",AR84="-",AS84="-"),"-",AR84-AS84)</f>
        <v>-</v>
      </c>
      <c r="AU84" s="27"/>
      <c r="AV84" s="27"/>
      <c r="AW84" s="9" t="str">
        <f>IF(OR(AU84="",AV84="",AU84="-",AV84="-"),"-",AU84-AV84)</f>
        <v>-</v>
      </c>
      <c r="AX84" s="27"/>
      <c r="AY84" s="27"/>
      <c r="AZ84" s="9" t="str">
        <f>IF(OR(AX84="",AY84="",AX84="-",AY84="-"),"-",AX84-AY84)</f>
        <v>-</v>
      </c>
    </row>
    <row r="85" spans="1:52" x14ac:dyDescent="0.25">
      <c r="A85" s="237" t="s">
        <v>158</v>
      </c>
      <c r="B85" s="229"/>
      <c r="C85" s="229"/>
      <c r="D85" s="221" t="str">
        <f>IF(OR(B85="",C85="",B85="-",C85="-"),"-",B85-C85)</f>
        <v>-</v>
      </c>
      <c r="E85" s="229"/>
      <c r="F85" s="229"/>
      <c r="G85" s="221" t="str">
        <f>IF(OR(E85="",F85="",E85="-",F85="-"),"-",E85-F85)</f>
        <v>-</v>
      </c>
      <c r="H85" s="229"/>
      <c r="I85" s="229"/>
      <c r="J85" s="221" t="str">
        <f>IF(OR(H85="",I85="",H85="-",I85="-"),"-",H85-I85)</f>
        <v>-</v>
      </c>
      <c r="K85" s="229"/>
      <c r="L85" s="229"/>
      <c r="M85" s="221" t="str">
        <f>IF(OR(K85="",L85="",K85="-",L85="-"),"-",K85-L85)</f>
        <v>-</v>
      </c>
      <c r="N85" s="229"/>
      <c r="O85" s="229"/>
      <c r="P85" s="221" t="str">
        <f>IF(OR(N85="",O85="",N85="-",O85="-"),"-",N85-O85)</f>
        <v>-</v>
      </c>
      <c r="Q85" s="229"/>
      <c r="R85" s="229"/>
      <c r="S85" s="221" t="str">
        <f>IF(OR(Q85="",R85="",Q85="-",R85="-"),"-",Q85-R85)</f>
        <v>-</v>
      </c>
      <c r="T85" s="229">
        <v>98.28</v>
      </c>
      <c r="U85" s="229">
        <v>98.28</v>
      </c>
      <c r="V85" s="221">
        <f>IF(OR(T85="",U85="",T85="-",U85="-"),"-",T85-U85)</f>
        <v>0</v>
      </c>
      <c r="W85" s="229"/>
      <c r="X85" s="229"/>
      <c r="Y85" s="221" t="str">
        <f>IF(OR(W85="",X85="",W85="-",X85="-"),"-",W85-X85)</f>
        <v>-</v>
      </c>
      <c r="Z85" s="29">
        <v>4.4400000000000004</v>
      </c>
      <c r="AA85" s="29">
        <v>4.3099999999999996</v>
      </c>
      <c r="AB85" s="9">
        <f>IF(OR(Z85="",AA85="",Z85="-",AA85="-"),"-",Z85-AA85)</f>
        <v>0.13000000000000078</v>
      </c>
      <c r="AC85" s="29"/>
      <c r="AD85" s="29"/>
      <c r="AE85" s="9" t="str">
        <f>IF(OR(AC85="",AD85="",AC85="-",AD85="-"),"-",AC85-AD85)</f>
        <v>-</v>
      </c>
      <c r="AF85" s="29"/>
      <c r="AG85" s="29"/>
      <c r="AH85" s="9" t="str">
        <f>IF(OR(AF85="",AG85="",AF85="-",AG85="-"),"-",AF85-AG85)</f>
        <v>-</v>
      </c>
      <c r="AI85" s="29"/>
      <c r="AJ85" s="29">
        <v>4.3499999999999996</v>
      </c>
      <c r="AK85" s="9" t="str">
        <f>IF(OR(AI85="",AJ85="",AI85="-",AJ85="-"),"-",AI85-AJ85)</f>
        <v>-</v>
      </c>
      <c r="AL85" s="29">
        <v>4.3499999999999996</v>
      </c>
      <c r="AM85" s="29">
        <v>4.07</v>
      </c>
      <c r="AN85" s="9">
        <f>IF(OR(AL85="",AM85="",AL85="-",AM85="-"),"-",AL85-AM85)</f>
        <v>0.27999999999999936</v>
      </c>
      <c r="AO85" s="29"/>
      <c r="AP85" s="29"/>
      <c r="AQ85" s="9" t="str">
        <f>IF(OR(AO85="",AP85="",AO85="-",AP85="-"),"-",AO85-AP85)</f>
        <v>-</v>
      </c>
      <c r="AR85" s="29">
        <v>4.28</v>
      </c>
      <c r="AS85" s="29">
        <v>4.4400000000000004</v>
      </c>
      <c r="AT85" s="9">
        <f>IF(OR(AR85="",AS85="",AR85="-",AS85="-"),"-",AR85-AS85)</f>
        <v>-0.16000000000000014</v>
      </c>
      <c r="AU85" s="29"/>
      <c r="AV85" s="29"/>
      <c r="AW85" s="9" t="str">
        <f>IF(OR(AU85="",AV85="",AU85="-",AV85="-"),"-",AU85-AV85)</f>
        <v>-</v>
      </c>
      <c r="AX85" s="29"/>
      <c r="AY85" s="29"/>
      <c r="AZ85" s="9" t="str">
        <f>IF(OR(AX85="",AY85="",AX85="-",AY85="-"),"-",AX85-AY85)</f>
        <v>-</v>
      </c>
    </row>
  </sheetData>
  <mergeCells count="136">
    <mergeCell ref="B2:D2"/>
    <mergeCell ref="B15:D15"/>
    <mergeCell ref="B23:D23"/>
    <mergeCell ref="B36:D36"/>
    <mergeCell ref="B48:D48"/>
    <mergeCell ref="B71:D71"/>
    <mergeCell ref="B83:D83"/>
    <mergeCell ref="B1:C1"/>
    <mergeCell ref="H2:J2"/>
    <mergeCell ref="H15:J15"/>
    <mergeCell ref="H23:J23"/>
    <mergeCell ref="H36:J36"/>
    <mergeCell ref="H48:J48"/>
    <mergeCell ref="H71:J71"/>
    <mergeCell ref="H83:J83"/>
    <mergeCell ref="E2:G2"/>
    <mergeCell ref="E15:G15"/>
    <mergeCell ref="E23:G23"/>
    <mergeCell ref="E36:G36"/>
    <mergeCell ref="E48:G48"/>
    <mergeCell ref="E71:G71"/>
    <mergeCell ref="E83:G83"/>
    <mergeCell ref="E1:F1"/>
    <mergeCell ref="K1:L1"/>
    <mergeCell ref="H1:I1"/>
    <mergeCell ref="K83:M83"/>
    <mergeCell ref="K2:M2"/>
    <mergeCell ref="K15:M15"/>
    <mergeCell ref="K23:M23"/>
    <mergeCell ref="K36:M36"/>
    <mergeCell ref="K48:M48"/>
    <mergeCell ref="K71:M71"/>
    <mergeCell ref="N1:O1"/>
    <mergeCell ref="N2:P2"/>
    <mergeCell ref="N15:P15"/>
    <mergeCell ref="N23:P23"/>
    <mergeCell ref="N36:P36"/>
    <mergeCell ref="N48:P48"/>
    <mergeCell ref="AX83:AZ83"/>
    <mergeCell ref="T2:V2"/>
    <mergeCell ref="T15:V15"/>
    <mergeCell ref="T23:V23"/>
    <mergeCell ref="T36:V36"/>
    <mergeCell ref="T48:V48"/>
    <mergeCell ref="T71:V71"/>
    <mergeCell ref="T83:V83"/>
    <mergeCell ref="AF83:AH83"/>
    <mergeCell ref="AI83:AK83"/>
    <mergeCell ref="AL83:AN83"/>
    <mergeCell ref="AO83:AQ83"/>
    <mergeCell ref="AR83:AT83"/>
    <mergeCell ref="AU83:AW83"/>
    <mergeCell ref="AI71:AK71"/>
    <mergeCell ref="AL71:AN71"/>
    <mergeCell ref="AX71:AZ71"/>
    <mergeCell ref="AX36:AZ36"/>
    <mergeCell ref="AR71:AT71"/>
    <mergeCell ref="AU71:AW71"/>
    <mergeCell ref="AC83:AE83"/>
    <mergeCell ref="Q83:S83"/>
    <mergeCell ref="W83:Y83"/>
    <mergeCell ref="Z83:AB83"/>
    <mergeCell ref="AU48:AW48"/>
    <mergeCell ref="AF48:AH48"/>
    <mergeCell ref="AI48:AK48"/>
    <mergeCell ref="Q48:S48"/>
    <mergeCell ref="Q71:S71"/>
    <mergeCell ref="N71:P71"/>
    <mergeCell ref="N83:P83"/>
    <mergeCell ref="AL48:AN48"/>
    <mergeCell ref="AO48:AQ48"/>
    <mergeCell ref="AF36:AH36"/>
    <mergeCell ref="AI36:AK36"/>
    <mergeCell ref="AL36:AN36"/>
    <mergeCell ref="AO36:AQ36"/>
    <mergeCell ref="AO71:AQ71"/>
    <mergeCell ref="W36:Y36"/>
    <mergeCell ref="W48:Y48"/>
    <mergeCell ref="W71:Y71"/>
    <mergeCell ref="AF71:AH71"/>
    <mergeCell ref="AC71:AE71"/>
    <mergeCell ref="AL23:AN23"/>
    <mergeCell ref="AU15:AW15"/>
    <mergeCell ref="AX48:AZ48"/>
    <mergeCell ref="AU36:AW36"/>
    <mergeCell ref="AR48:AT48"/>
    <mergeCell ref="AR36:AT36"/>
    <mergeCell ref="AO23:AQ23"/>
    <mergeCell ref="AR23:AT23"/>
    <mergeCell ref="AU23:AW23"/>
    <mergeCell ref="AX23:AZ23"/>
    <mergeCell ref="AX15:AZ15"/>
    <mergeCell ref="AL15:AN15"/>
    <mergeCell ref="AO15:AQ15"/>
    <mergeCell ref="AR15:AT15"/>
    <mergeCell ref="AX1:AY1"/>
    <mergeCell ref="AF2:AH2"/>
    <mergeCell ref="AI2:AK2"/>
    <mergeCell ref="AL2:AN2"/>
    <mergeCell ref="AO2:AQ2"/>
    <mergeCell ref="AR2:AT2"/>
    <mergeCell ref="AU2:AW2"/>
    <mergeCell ref="AL1:AM1"/>
    <mergeCell ref="AX2:AZ2"/>
    <mergeCell ref="AO1:AP1"/>
    <mergeCell ref="AR1:AS1"/>
    <mergeCell ref="AU1:AV1"/>
    <mergeCell ref="Q1:R1"/>
    <mergeCell ref="Z23:AB23"/>
    <mergeCell ref="Z36:AB36"/>
    <mergeCell ref="Z48:AB48"/>
    <mergeCell ref="Z71:AB71"/>
    <mergeCell ref="W1:X1"/>
    <mergeCell ref="T1:U1"/>
    <mergeCell ref="Q2:S2"/>
    <mergeCell ref="Q15:S15"/>
    <mergeCell ref="Q23:S23"/>
    <mergeCell ref="Q36:S36"/>
    <mergeCell ref="Z2:AB2"/>
    <mergeCell ref="Z15:AB15"/>
    <mergeCell ref="AI23:AK23"/>
    <mergeCell ref="AC23:AE23"/>
    <mergeCell ref="AC36:AE36"/>
    <mergeCell ref="AC48:AE48"/>
    <mergeCell ref="Z1:AA1"/>
    <mergeCell ref="W2:Y2"/>
    <mergeCell ref="W15:Y15"/>
    <mergeCell ref="W23:Y23"/>
    <mergeCell ref="AC1:AD1"/>
    <mergeCell ref="AF1:AG1"/>
    <mergeCell ref="AF23:AH23"/>
    <mergeCell ref="AF15:AH15"/>
    <mergeCell ref="AI15:AK15"/>
    <mergeCell ref="AC2:AE2"/>
    <mergeCell ref="AC15:AE15"/>
    <mergeCell ref="AI1:AJ1"/>
  </mergeCells>
  <conditionalFormatting sqref="A2">
    <cfRule type="containsBlanks" dxfId="5985" priority="2790">
      <formula>LEN(TRIM(A2))=0</formula>
    </cfRule>
    <cfRule type="containsText" dxfId="5984" priority="2791" operator="containsText" text="NEUTRO">
      <formula>NOT(ISERROR(SEARCH("NEUTRO",A2)))</formula>
    </cfRule>
    <cfRule type="containsText" dxfId="5983" priority="2792" operator="containsText" text="BULLISH">
      <formula>NOT(ISERROR(SEARCH("BULLISH",A2)))</formula>
    </cfRule>
    <cfRule type="containsText" dxfId="5982" priority="2793" operator="containsText" text="BEARISH">
      <formula>NOT(ISERROR(SEARCH("BEARISH",A2)))</formula>
    </cfRule>
  </conditionalFormatting>
  <conditionalFormatting sqref="A15">
    <cfRule type="containsBlanks" dxfId="5981" priority="2786">
      <formula>LEN(TRIM(A15))=0</formula>
    </cfRule>
    <cfRule type="containsText" dxfId="5980" priority="2787" operator="containsText" text="NEUTRO">
      <formula>NOT(ISERROR(SEARCH("NEUTRO",A15)))</formula>
    </cfRule>
    <cfRule type="containsText" dxfId="5979" priority="2788" operator="containsText" text="BULLISH">
      <formula>NOT(ISERROR(SEARCH("BULLISH",A15)))</formula>
    </cfRule>
    <cfRule type="containsText" dxfId="5978" priority="2789" operator="containsText" text="BEARISH">
      <formula>NOT(ISERROR(SEARCH("BEARISH",A15)))</formula>
    </cfRule>
  </conditionalFormatting>
  <conditionalFormatting sqref="A23">
    <cfRule type="containsBlanks" dxfId="5977" priority="2782">
      <formula>LEN(TRIM(A23))=0</formula>
    </cfRule>
    <cfRule type="containsText" dxfId="5976" priority="2783" operator="containsText" text="NEUTRO">
      <formula>NOT(ISERROR(SEARCH("NEUTRO",A23)))</formula>
    </cfRule>
    <cfRule type="containsText" dxfId="5975" priority="2784" operator="containsText" text="BULLISH">
      <formula>NOT(ISERROR(SEARCH("BULLISH",A23)))</formula>
    </cfRule>
    <cfRule type="containsText" dxfId="5974" priority="2785" operator="containsText" text="BEARISH">
      <formula>NOT(ISERROR(SEARCH("BEARISH",A23)))</formula>
    </cfRule>
  </conditionalFormatting>
  <conditionalFormatting sqref="A36">
    <cfRule type="containsBlanks" dxfId="5973" priority="2778">
      <formula>LEN(TRIM(A36))=0</formula>
    </cfRule>
    <cfRule type="containsText" dxfId="5972" priority="2779" operator="containsText" text="NEUTRO">
      <formula>NOT(ISERROR(SEARCH("NEUTRO",A36)))</formula>
    </cfRule>
    <cfRule type="containsText" dxfId="5971" priority="2780" operator="containsText" text="BULLISH">
      <formula>NOT(ISERROR(SEARCH("BULLISH",A36)))</formula>
    </cfRule>
    <cfRule type="containsText" dxfId="5970" priority="2781" operator="containsText" text="BEARISH">
      <formula>NOT(ISERROR(SEARCH("BEARISH",A36)))</formula>
    </cfRule>
  </conditionalFormatting>
  <conditionalFormatting sqref="A48">
    <cfRule type="containsBlanks" dxfId="5969" priority="2774">
      <formula>LEN(TRIM(A48))=0</formula>
    </cfRule>
    <cfRule type="containsText" dxfId="5968" priority="2775" operator="containsText" text="NEUTRO">
      <formula>NOT(ISERROR(SEARCH("NEUTRO",A48)))</formula>
    </cfRule>
    <cfRule type="containsText" dxfId="5967" priority="2776" operator="containsText" text="BULLISH">
      <formula>NOT(ISERROR(SEARCH("BULLISH",A48)))</formula>
    </cfRule>
    <cfRule type="containsText" dxfId="5966" priority="2777" operator="containsText" text="BEARISH">
      <formula>NOT(ISERROR(SEARCH("BEARISH",A48)))</formula>
    </cfRule>
  </conditionalFormatting>
  <conditionalFormatting sqref="A71">
    <cfRule type="containsBlanks" dxfId="5965" priority="2770">
      <formula>LEN(TRIM(A71))=0</formula>
    </cfRule>
    <cfRule type="containsText" dxfId="5964" priority="2771" operator="containsText" text="NEUTRO">
      <formula>NOT(ISERROR(SEARCH("NEUTRO",A71)))</formula>
    </cfRule>
    <cfRule type="containsText" dxfId="5963" priority="2772" operator="containsText" text="BULLISH">
      <formula>NOT(ISERROR(SEARCH("BULLISH",A71)))</formula>
    </cfRule>
    <cfRule type="containsText" dxfId="5962" priority="2773" operator="containsText" text="BEARISH">
      <formula>NOT(ISERROR(SEARCH("BEARISH",A71)))</formula>
    </cfRule>
  </conditionalFormatting>
  <conditionalFormatting sqref="A83">
    <cfRule type="containsBlanks" dxfId="5961" priority="2766">
      <formula>LEN(TRIM(A83))=0</formula>
    </cfRule>
    <cfRule type="containsText" dxfId="5960" priority="2767" operator="containsText" text="NEUTRO">
      <formula>NOT(ISERROR(SEARCH("NEUTRO",A83)))</formula>
    </cfRule>
    <cfRule type="containsText" dxfId="5959" priority="2768" operator="containsText" text="BULLISH">
      <formula>NOT(ISERROR(SEARCH("BULLISH",A83)))</formula>
    </cfRule>
    <cfRule type="containsText" dxfId="5958" priority="2769" operator="containsText" text="BEARISH">
      <formula>NOT(ISERROR(SEARCH("BEARISH",A83)))</formula>
    </cfRule>
  </conditionalFormatting>
  <conditionalFormatting sqref="H2">
    <cfRule type="containsText" dxfId="5957" priority="299" operator="containsText" text="NEUTRO">
      <formula>NOT(ISERROR(SEARCH("NEUTRO",H2)))</formula>
    </cfRule>
    <cfRule type="containsText" dxfId="5956" priority="300" operator="containsText" text="BULLISH">
      <formula>NOT(ISERROR(SEARCH("BULLISH",H2)))</formula>
    </cfRule>
    <cfRule type="containsText" dxfId="5955" priority="301" operator="containsText" text="BEARISH">
      <formula>NOT(ISERROR(SEARCH("BEARISH",H2)))</formula>
    </cfRule>
    <cfRule type="containsBlanks" dxfId="5954" priority="302">
      <formula>LEN(TRIM(H2))=0</formula>
    </cfRule>
  </conditionalFormatting>
  <conditionalFormatting sqref="H15">
    <cfRule type="containsText" dxfId="5953" priority="295" operator="containsText" text="NEUTRO">
      <formula>NOT(ISERROR(SEARCH("NEUTRO",H15)))</formula>
    </cfRule>
    <cfRule type="containsText" dxfId="5952" priority="296" operator="containsText" text="BULLISH">
      <formula>NOT(ISERROR(SEARCH("BULLISH",H15)))</formula>
    </cfRule>
    <cfRule type="containsText" dxfId="5951" priority="297" operator="containsText" text="BEARISH">
      <formula>NOT(ISERROR(SEARCH("BEARISH",H15)))</formula>
    </cfRule>
    <cfRule type="containsBlanks" dxfId="5950" priority="298">
      <formula>LEN(TRIM(H15))=0</formula>
    </cfRule>
  </conditionalFormatting>
  <conditionalFormatting sqref="H23">
    <cfRule type="containsText" dxfId="5949" priority="291" operator="containsText" text="NEUTRO">
      <formula>NOT(ISERROR(SEARCH("NEUTRO",H23)))</formula>
    </cfRule>
    <cfRule type="containsText" dxfId="5948" priority="292" operator="containsText" text="BULLISH">
      <formula>NOT(ISERROR(SEARCH("BULLISH",H23)))</formula>
    </cfRule>
    <cfRule type="containsText" dxfId="5947" priority="293" operator="containsText" text="BEARISH">
      <formula>NOT(ISERROR(SEARCH("BEARISH",H23)))</formula>
    </cfRule>
    <cfRule type="containsBlanks" dxfId="5946" priority="294">
      <formula>LEN(TRIM(H23))=0</formula>
    </cfRule>
  </conditionalFormatting>
  <conditionalFormatting sqref="H36">
    <cfRule type="containsText" dxfId="5945" priority="287" operator="containsText" text="NEUTRO">
      <formula>NOT(ISERROR(SEARCH("NEUTRO",H36)))</formula>
    </cfRule>
    <cfRule type="containsText" dxfId="5944" priority="288" operator="containsText" text="BULLISH">
      <formula>NOT(ISERROR(SEARCH("BULLISH",H36)))</formula>
    </cfRule>
    <cfRule type="containsText" dxfId="5943" priority="289" operator="containsText" text="BEARISH">
      <formula>NOT(ISERROR(SEARCH("BEARISH",H36)))</formula>
    </cfRule>
    <cfRule type="containsBlanks" dxfId="5942" priority="290">
      <formula>LEN(TRIM(H36))=0</formula>
    </cfRule>
  </conditionalFormatting>
  <conditionalFormatting sqref="H48">
    <cfRule type="containsText" dxfId="5941" priority="283" operator="containsText" text="NEUTRO">
      <formula>NOT(ISERROR(SEARCH("NEUTRO",H48)))</formula>
    </cfRule>
    <cfRule type="containsText" dxfId="5940" priority="284" operator="containsText" text="BULLISH">
      <formula>NOT(ISERROR(SEARCH("BULLISH",H48)))</formula>
    </cfRule>
    <cfRule type="containsText" dxfId="5939" priority="285" operator="containsText" text="BEARISH">
      <formula>NOT(ISERROR(SEARCH("BEARISH",H48)))</formula>
    </cfRule>
    <cfRule type="containsBlanks" dxfId="5938" priority="286">
      <formula>LEN(TRIM(H48))=0</formula>
    </cfRule>
  </conditionalFormatting>
  <conditionalFormatting sqref="H71">
    <cfRule type="containsText" dxfId="5937" priority="279" operator="containsText" text="NEUTRO">
      <formula>NOT(ISERROR(SEARCH("NEUTRO",H71)))</formula>
    </cfRule>
    <cfRule type="containsText" dxfId="5936" priority="280" operator="containsText" text="BULLISH">
      <formula>NOT(ISERROR(SEARCH("BULLISH",H71)))</formula>
    </cfRule>
    <cfRule type="containsText" dxfId="5935" priority="281" operator="containsText" text="BEARISH">
      <formula>NOT(ISERROR(SEARCH("BEARISH",H71)))</formula>
    </cfRule>
    <cfRule type="containsBlanks" dxfId="5934" priority="282">
      <formula>LEN(TRIM(H71))=0</formula>
    </cfRule>
  </conditionalFormatting>
  <conditionalFormatting sqref="H83">
    <cfRule type="containsText" dxfId="5933" priority="275" operator="containsText" text="NEUTRO">
      <formula>NOT(ISERROR(SEARCH("NEUTRO",H83)))</formula>
    </cfRule>
    <cfRule type="containsText" dxfId="5932" priority="276" operator="containsText" text="BULLISH">
      <formula>NOT(ISERROR(SEARCH("BULLISH",H83)))</formula>
    </cfRule>
    <cfRule type="containsText" dxfId="5931" priority="277" operator="containsText" text="BEARISH">
      <formula>NOT(ISERROR(SEARCH("BEARISH",H83)))</formula>
    </cfRule>
    <cfRule type="containsBlanks" dxfId="5930" priority="278">
      <formula>LEN(TRIM(H83))=0</formula>
    </cfRule>
  </conditionalFormatting>
  <conditionalFormatting sqref="B2:AZ2 B15:AZ15 B23:AZ23 B36:AZ36 B48:AZ48">
    <cfRule type="notContainsErrors" dxfId="5929" priority="490">
      <formula>NOT(ISERROR(B2))</formula>
    </cfRule>
  </conditionalFormatting>
  <conditionalFormatting sqref="J14">
    <cfRule type="colorScale" priority="335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J22">
    <cfRule type="colorScale" priority="309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J35">
    <cfRule type="colorScale" priority="329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J46">
    <cfRule type="cellIs" dxfId="5928" priority="325" operator="lessThan">
      <formula>0</formula>
    </cfRule>
    <cfRule type="cellIs" dxfId="5927" priority="326" operator="greaterThan">
      <formula>0</formula>
    </cfRule>
  </conditionalFormatting>
  <conditionalFormatting sqref="J46">
    <cfRule type="cellIs" dxfId="5926" priority="324" operator="equal">
      <formula>"-"</formula>
    </cfRule>
  </conditionalFormatting>
  <conditionalFormatting sqref="J47">
    <cfRule type="colorScale" priority="328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J70">
    <cfRule type="colorScale" priority="323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J82">
    <cfRule type="colorScale" priority="318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J84:J85">
    <cfRule type="cellIs" dxfId="5925" priority="303" operator="equal">
      <formula>"-"</formula>
    </cfRule>
    <cfRule type="cellIs" dxfId="5924" priority="304" operator="lessThan">
      <formula>0</formula>
    </cfRule>
    <cfRule type="cellIs" dxfId="5923" priority="305" operator="greaterThan">
      <formula>0</formula>
    </cfRule>
  </conditionalFormatting>
  <conditionalFormatting sqref="K2">
    <cfRule type="containsText" dxfId="5922" priority="360" operator="containsText" text="NEUTRO">
      <formula>NOT(ISERROR(SEARCH("NEUTRO",K2)))</formula>
    </cfRule>
    <cfRule type="containsText" dxfId="5921" priority="361" operator="containsText" text="BULLISH">
      <formula>NOT(ISERROR(SEARCH("BULLISH",K2)))</formula>
    </cfRule>
    <cfRule type="containsText" dxfId="5920" priority="362" operator="containsText" text="BEARISH">
      <formula>NOT(ISERROR(SEARCH("BEARISH",K2)))</formula>
    </cfRule>
    <cfRule type="containsBlanks" dxfId="5919" priority="363">
      <formula>LEN(TRIM(K2))=0</formula>
    </cfRule>
  </conditionalFormatting>
  <conditionalFormatting sqref="K15">
    <cfRule type="containsText" dxfId="5918" priority="356" operator="containsText" text="NEUTRO">
      <formula>NOT(ISERROR(SEARCH("NEUTRO",K15)))</formula>
    </cfRule>
    <cfRule type="containsText" dxfId="5917" priority="357" operator="containsText" text="BULLISH">
      <formula>NOT(ISERROR(SEARCH("BULLISH",K15)))</formula>
    </cfRule>
    <cfRule type="containsText" dxfId="5916" priority="358" operator="containsText" text="BEARISH">
      <formula>NOT(ISERROR(SEARCH("BEARISH",K15)))</formula>
    </cfRule>
    <cfRule type="containsBlanks" dxfId="5915" priority="359">
      <formula>LEN(TRIM(K15))=0</formula>
    </cfRule>
  </conditionalFormatting>
  <conditionalFormatting sqref="K23">
    <cfRule type="containsText" dxfId="5914" priority="352" operator="containsText" text="NEUTRO">
      <formula>NOT(ISERROR(SEARCH("NEUTRO",K23)))</formula>
    </cfRule>
    <cfRule type="containsText" dxfId="5913" priority="353" operator="containsText" text="BULLISH">
      <formula>NOT(ISERROR(SEARCH("BULLISH",K23)))</formula>
    </cfRule>
    <cfRule type="containsText" dxfId="5912" priority="354" operator="containsText" text="BEARISH">
      <formula>NOT(ISERROR(SEARCH("BEARISH",K23)))</formula>
    </cfRule>
    <cfRule type="containsBlanks" dxfId="5911" priority="355">
      <formula>LEN(TRIM(K23))=0</formula>
    </cfRule>
  </conditionalFormatting>
  <conditionalFormatting sqref="K36">
    <cfRule type="containsText" dxfId="5910" priority="348" operator="containsText" text="NEUTRO">
      <formula>NOT(ISERROR(SEARCH("NEUTRO",K36)))</formula>
    </cfRule>
    <cfRule type="containsText" dxfId="5909" priority="349" operator="containsText" text="BULLISH">
      <formula>NOT(ISERROR(SEARCH("BULLISH",K36)))</formula>
    </cfRule>
    <cfRule type="containsText" dxfId="5908" priority="350" operator="containsText" text="BEARISH">
      <formula>NOT(ISERROR(SEARCH("BEARISH",K36)))</formula>
    </cfRule>
    <cfRule type="containsBlanks" dxfId="5907" priority="351">
      <formula>LEN(TRIM(K36))=0</formula>
    </cfRule>
  </conditionalFormatting>
  <conditionalFormatting sqref="K48">
    <cfRule type="containsText" dxfId="5906" priority="344" operator="containsText" text="NEUTRO">
      <formula>NOT(ISERROR(SEARCH("NEUTRO",K48)))</formula>
    </cfRule>
    <cfRule type="containsText" dxfId="5905" priority="345" operator="containsText" text="BULLISH">
      <formula>NOT(ISERROR(SEARCH("BULLISH",K48)))</formula>
    </cfRule>
    <cfRule type="containsText" dxfId="5904" priority="346" operator="containsText" text="BEARISH">
      <formula>NOT(ISERROR(SEARCH("BEARISH",K48)))</formula>
    </cfRule>
    <cfRule type="containsBlanks" dxfId="5903" priority="347">
      <formula>LEN(TRIM(K48))=0</formula>
    </cfRule>
  </conditionalFormatting>
  <conditionalFormatting sqref="K71">
    <cfRule type="containsText" dxfId="5902" priority="340" operator="containsText" text="NEUTRO">
      <formula>NOT(ISERROR(SEARCH("NEUTRO",K71)))</formula>
    </cfRule>
    <cfRule type="containsText" dxfId="5901" priority="341" operator="containsText" text="BULLISH">
      <formula>NOT(ISERROR(SEARCH("BULLISH",K71)))</formula>
    </cfRule>
    <cfRule type="containsText" dxfId="5900" priority="342" operator="containsText" text="BEARISH">
      <formula>NOT(ISERROR(SEARCH("BEARISH",K71)))</formula>
    </cfRule>
    <cfRule type="containsBlanks" dxfId="5899" priority="343">
      <formula>LEN(TRIM(K71))=0</formula>
    </cfRule>
  </conditionalFormatting>
  <conditionalFormatting sqref="K83">
    <cfRule type="containsText" dxfId="5898" priority="336" operator="containsText" text="NEUTRO">
      <formula>NOT(ISERROR(SEARCH("NEUTRO",K83)))</formula>
    </cfRule>
    <cfRule type="containsText" dxfId="5897" priority="337" operator="containsText" text="BULLISH">
      <formula>NOT(ISERROR(SEARCH("BULLISH",K83)))</formula>
    </cfRule>
    <cfRule type="containsText" dxfId="5896" priority="338" operator="containsText" text="BEARISH">
      <formula>NOT(ISERROR(SEARCH("BEARISH",K83)))</formula>
    </cfRule>
    <cfRule type="containsBlanks" dxfId="5895" priority="339">
      <formula>LEN(TRIM(K83))=0</formula>
    </cfRule>
  </conditionalFormatting>
  <conditionalFormatting sqref="M3:M8">
    <cfRule type="cellIs" dxfId="5894" priority="395" operator="equal">
      <formula>"-"</formula>
    </cfRule>
  </conditionalFormatting>
  <conditionalFormatting sqref="M3:M13">
    <cfRule type="cellIs" dxfId="5893" priority="393" operator="lessThan">
      <formula>0</formula>
    </cfRule>
    <cfRule type="cellIs" dxfId="5892" priority="394" operator="greaterThan">
      <formula>0</formula>
    </cfRule>
  </conditionalFormatting>
  <conditionalFormatting sqref="M9:M13">
    <cfRule type="cellIs" dxfId="5891" priority="392" operator="equal">
      <formula>"-"</formula>
    </cfRule>
  </conditionalFormatting>
  <conditionalFormatting sqref="M14">
    <cfRule type="colorScale" priority="396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M16:M18">
    <cfRule type="cellIs" dxfId="5890" priority="391" operator="equal">
      <formula>"-"</formula>
    </cfRule>
  </conditionalFormatting>
  <conditionalFormatting sqref="M16:M21">
    <cfRule type="cellIs" dxfId="5889" priority="368" operator="lessThan">
      <formula>0</formula>
    </cfRule>
    <cfRule type="cellIs" dxfId="5888" priority="369" operator="greaterThan">
      <formula>0</formula>
    </cfRule>
  </conditionalFormatting>
  <conditionalFormatting sqref="M19:M21">
    <cfRule type="cellIs" dxfId="5887" priority="367" operator="equal">
      <formula>"-"</formula>
    </cfRule>
  </conditionalFormatting>
  <conditionalFormatting sqref="M22">
    <cfRule type="colorScale" priority="370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M24:M27">
    <cfRule type="cellIs" dxfId="5886" priority="374" operator="equal">
      <formula>"-"</formula>
    </cfRule>
  </conditionalFormatting>
  <conditionalFormatting sqref="M24:M34">
    <cfRule type="cellIs" dxfId="5885" priority="372" operator="lessThan">
      <formula>0</formula>
    </cfRule>
    <cfRule type="cellIs" dxfId="5884" priority="373" operator="greaterThan">
      <formula>0</formula>
    </cfRule>
  </conditionalFormatting>
  <conditionalFormatting sqref="M28:M34">
    <cfRule type="cellIs" dxfId="5883" priority="371" operator="equal">
      <formula>"-"</formula>
    </cfRule>
  </conditionalFormatting>
  <conditionalFormatting sqref="M35">
    <cfRule type="colorScale" priority="390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M37:M41">
    <cfRule type="cellIs" dxfId="5882" priority="388" operator="equal">
      <formula>"-"</formula>
    </cfRule>
  </conditionalFormatting>
  <conditionalFormatting sqref="M37:M46">
    <cfRule type="cellIs" dxfId="5881" priority="386" operator="lessThan">
      <formula>0</formula>
    </cfRule>
    <cfRule type="cellIs" dxfId="5880" priority="387" operator="greaterThan">
      <formula>0</formula>
    </cfRule>
  </conditionalFormatting>
  <conditionalFormatting sqref="M42:M46">
    <cfRule type="cellIs" dxfId="5879" priority="385" operator="equal">
      <formula>"-"</formula>
    </cfRule>
  </conditionalFormatting>
  <conditionalFormatting sqref="M47">
    <cfRule type="colorScale" priority="389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M49:M53 M55:M57">
    <cfRule type="cellIs" dxfId="5878" priority="380" operator="equal">
      <formula>"-"</formula>
    </cfRule>
  </conditionalFormatting>
  <conditionalFormatting sqref="M49:M53 M55:M69">
    <cfRule type="cellIs" dxfId="5877" priority="381" operator="lessThan">
      <formula>0</formula>
    </cfRule>
    <cfRule type="cellIs" dxfId="5876" priority="382" operator="greaterThan">
      <formula>0</formula>
    </cfRule>
  </conditionalFormatting>
  <conditionalFormatting sqref="M58:M69">
    <cfRule type="cellIs" dxfId="5875" priority="383" operator="equal">
      <formula>"-"</formula>
    </cfRule>
  </conditionalFormatting>
  <conditionalFormatting sqref="M70">
    <cfRule type="colorScale" priority="384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M72:M76">
    <cfRule type="cellIs" dxfId="5874" priority="375" operator="equal">
      <formula>"-"</formula>
    </cfRule>
  </conditionalFormatting>
  <conditionalFormatting sqref="M72:M81">
    <cfRule type="cellIs" dxfId="5873" priority="376" operator="lessThan">
      <formula>0</formula>
    </cfRule>
    <cfRule type="cellIs" dxfId="5872" priority="377" operator="greaterThan">
      <formula>0</formula>
    </cfRule>
  </conditionalFormatting>
  <conditionalFormatting sqref="M77:M81">
    <cfRule type="cellIs" dxfId="5871" priority="378" operator="equal">
      <formula>"-"</formula>
    </cfRule>
  </conditionalFormatting>
  <conditionalFormatting sqref="M82">
    <cfRule type="colorScale" priority="379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M84:M85">
    <cfRule type="cellIs" dxfId="5870" priority="364" operator="equal">
      <formula>"-"</formula>
    </cfRule>
    <cfRule type="cellIs" dxfId="5869" priority="365" operator="lessThan">
      <formula>0</formula>
    </cfRule>
    <cfRule type="cellIs" dxfId="5868" priority="366" operator="greaterThan">
      <formula>0</formula>
    </cfRule>
  </conditionalFormatting>
  <conditionalFormatting sqref="N2">
    <cfRule type="containsText" dxfId="5867" priority="421" operator="containsText" text="NEUTRO">
      <formula>NOT(ISERROR(SEARCH("NEUTRO",N2)))</formula>
    </cfRule>
    <cfRule type="containsText" dxfId="5866" priority="422" operator="containsText" text="BULLISH">
      <formula>NOT(ISERROR(SEARCH("BULLISH",N2)))</formula>
    </cfRule>
    <cfRule type="containsText" dxfId="5865" priority="423" operator="containsText" text="BEARISH">
      <formula>NOT(ISERROR(SEARCH("BEARISH",N2)))</formula>
    </cfRule>
    <cfRule type="containsBlanks" dxfId="5864" priority="424">
      <formula>LEN(TRIM(N2))=0</formula>
    </cfRule>
  </conditionalFormatting>
  <conditionalFormatting sqref="N15">
    <cfRule type="containsText" dxfId="5863" priority="417" operator="containsText" text="NEUTRO">
      <formula>NOT(ISERROR(SEARCH("NEUTRO",N15)))</formula>
    </cfRule>
    <cfRule type="containsText" dxfId="5862" priority="418" operator="containsText" text="BULLISH">
      <formula>NOT(ISERROR(SEARCH("BULLISH",N15)))</formula>
    </cfRule>
    <cfRule type="containsText" dxfId="5861" priority="419" operator="containsText" text="BEARISH">
      <formula>NOT(ISERROR(SEARCH("BEARISH",N15)))</formula>
    </cfRule>
    <cfRule type="containsBlanks" dxfId="5860" priority="420">
      <formula>LEN(TRIM(N15))=0</formula>
    </cfRule>
  </conditionalFormatting>
  <conditionalFormatting sqref="N23">
    <cfRule type="containsText" dxfId="5859" priority="413" operator="containsText" text="NEUTRO">
      <formula>NOT(ISERROR(SEARCH("NEUTRO",N23)))</formula>
    </cfRule>
    <cfRule type="containsText" dxfId="5858" priority="414" operator="containsText" text="BULLISH">
      <formula>NOT(ISERROR(SEARCH("BULLISH",N23)))</formula>
    </cfRule>
    <cfRule type="containsText" dxfId="5857" priority="415" operator="containsText" text="BEARISH">
      <formula>NOT(ISERROR(SEARCH("BEARISH",N23)))</formula>
    </cfRule>
    <cfRule type="containsBlanks" dxfId="5856" priority="416">
      <formula>LEN(TRIM(N23))=0</formula>
    </cfRule>
  </conditionalFormatting>
  <conditionalFormatting sqref="N36">
    <cfRule type="containsText" dxfId="5855" priority="409" operator="containsText" text="NEUTRO">
      <formula>NOT(ISERROR(SEARCH("NEUTRO",N36)))</formula>
    </cfRule>
    <cfRule type="containsText" dxfId="5854" priority="410" operator="containsText" text="BULLISH">
      <formula>NOT(ISERROR(SEARCH("BULLISH",N36)))</formula>
    </cfRule>
    <cfRule type="containsText" dxfId="5853" priority="411" operator="containsText" text="BEARISH">
      <formula>NOT(ISERROR(SEARCH("BEARISH",N36)))</formula>
    </cfRule>
    <cfRule type="containsBlanks" dxfId="5852" priority="412">
      <formula>LEN(TRIM(N36))=0</formula>
    </cfRule>
  </conditionalFormatting>
  <conditionalFormatting sqref="N48">
    <cfRule type="containsText" dxfId="5851" priority="405" operator="containsText" text="NEUTRO">
      <formula>NOT(ISERROR(SEARCH("NEUTRO",N48)))</formula>
    </cfRule>
    <cfRule type="containsText" dxfId="5850" priority="406" operator="containsText" text="BULLISH">
      <formula>NOT(ISERROR(SEARCH("BULLISH",N48)))</formula>
    </cfRule>
    <cfRule type="containsText" dxfId="5849" priority="407" operator="containsText" text="BEARISH">
      <formula>NOT(ISERROR(SEARCH("BEARISH",N48)))</formula>
    </cfRule>
    <cfRule type="containsBlanks" dxfId="5848" priority="408">
      <formula>LEN(TRIM(N48))=0</formula>
    </cfRule>
  </conditionalFormatting>
  <conditionalFormatting sqref="N71">
    <cfRule type="containsText" dxfId="5847" priority="401" operator="containsText" text="NEUTRO">
      <formula>NOT(ISERROR(SEARCH("NEUTRO",N71)))</formula>
    </cfRule>
    <cfRule type="containsText" dxfId="5846" priority="402" operator="containsText" text="BULLISH">
      <formula>NOT(ISERROR(SEARCH("BULLISH",N71)))</formula>
    </cfRule>
    <cfRule type="containsText" dxfId="5845" priority="403" operator="containsText" text="BEARISH">
      <formula>NOT(ISERROR(SEARCH("BEARISH",N71)))</formula>
    </cfRule>
    <cfRule type="containsBlanks" dxfId="5844" priority="404">
      <formula>LEN(TRIM(N71))=0</formula>
    </cfRule>
  </conditionalFormatting>
  <conditionalFormatting sqref="N83">
    <cfRule type="containsText" dxfId="5843" priority="397" operator="containsText" text="NEUTRO">
      <formula>NOT(ISERROR(SEARCH("NEUTRO",N83)))</formula>
    </cfRule>
    <cfRule type="containsText" dxfId="5842" priority="398" operator="containsText" text="BULLISH">
      <formula>NOT(ISERROR(SEARCH("BULLISH",N83)))</formula>
    </cfRule>
    <cfRule type="containsText" dxfId="5841" priority="399" operator="containsText" text="BEARISH">
      <formula>NOT(ISERROR(SEARCH("BEARISH",N83)))</formula>
    </cfRule>
    <cfRule type="containsBlanks" dxfId="5840" priority="400">
      <formula>LEN(TRIM(N83))=0</formula>
    </cfRule>
  </conditionalFormatting>
  <conditionalFormatting sqref="P3:P8">
    <cfRule type="cellIs" dxfId="5839" priority="456" operator="equal">
      <formula>"-"</formula>
    </cfRule>
  </conditionalFormatting>
  <conditionalFormatting sqref="P3:P13">
    <cfRule type="cellIs" dxfId="5838" priority="454" operator="lessThan">
      <formula>0</formula>
    </cfRule>
    <cfRule type="cellIs" dxfId="5837" priority="455" operator="greaterThan">
      <formula>0</formula>
    </cfRule>
  </conditionalFormatting>
  <conditionalFormatting sqref="P9:P13">
    <cfRule type="cellIs" dxfId="5836" priority="453" operator="equal">
      <formula>"-"</formula>
    </cfRule>
  </conditionalFormatting>
  <conditionalFormatting sqref="P14">
    <cfRule type="colorScale" priority="457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P16:P18">
    <cfRule type="cellIs" dxfId="5835" priority="452" operator="equal">
      <formula>"-"</formula>
    </cfRule>
  </conditionalFormatting>
  <conditionalFormatting sqref="P16:P21">
    <cfRule type="cellIs" dxfId="5834" priority="429" operator="lessThan">
      <formula>0</formula>
    </cfRule>
    <cfRule type="cellIs" dxfId="5833" priority="430" operator="greaterThan">
      <formula>0</formula>
    </cfRule>
  </conditionalFormatting>
  <conditionalFormatting sqref="P19:P21">
    <cfRule type="cellIs" dxfId="5832" priority="428" operator="equal">
      <formula>"-"</formula>
    </cfRule>
  </conditionalFormatting>
  <conditionalFormatting sqref="P22">
    <cfRule type="colorScale" priority="431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P24:P27">
    <cfRule type="cellIs" dxfId="5831" priority="435" operator="equal">
      <formula>"-"</formula>
    </cfRule>
  </conditionalFormatting>
  <conditionalFormatting sqref="P24:P34">
    <cfRule type="cellIs" dxfId="5830" priority="433" operator="lessThan">
      <formula>0</formula>
    </cfRule>
    <cfRule type="cellIs" dxfId="5829" priority="434" operator="greaterThan">
      <formula>0</formula>
    </cfRule>
  </conditionalFormatting>
  <conditionalFormatting sqref="P28:P34">
    <cfRule type="cellIs" dxfId="5828" priority="432" operator="equal">
      <formula>"-"</formula>
    </cfRule>
  </conditionalFormatting>
  <conditionalFormatting sqref="P35">
    <cfRule type="colorScale" priority="451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P37:P41">
    <cfRule type="cellIs" dxfId="5827" priority="449" operator="equal">
      <formula>"-"</formula>
    </cfRule>
  </conditionalFormatting>
  <conditionalFormatting sqref="P37:P46">
    <cfRule type="cellIs" dxfId="5826" priority="447" operator="lessThan">
      <formula>0</formula>
    </cfRule>
    <cfRule type="cellIs" dxfId="5825" priority="448" operator="greaterThan">
      <formula>0</formula>
    </cfRule>
  </conditionalFormatting>
  <conditionalFormatting sqref="P42:P46">
    <cfRule type="cellIs" dxfId="5824" priority="446" operator="equal">
      <formula>"-"</formula>
    </cfRule>
  </conditionalFormatting>
  <conditionalFormatting sqref="P47">
    <cfRule type="colorScale" priority="450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P49:P53 P55:P57">
    <cfRule type="cellIs" dxfId="5823" priority="441" operator="equal">
      <formula>"-"</formula>
    </cfRule>
  </conditionalFormatting>
  <conditionalFormatting sqref="P49:P53 P55:P69">
    <cfRule type="cellIs" dxfId="5822" priority="442" operator="lessThan">
      <formula>0</formula>
    </cfRule>
    <cfRule type="cellIs" dxfId="5821" priority="443" operator="greaterThan">
      <formula>0</formula>
    </cfRule>
  </conditionalFormatting>
  <conditionalFormatting sqref="P58:P69">
    <cfRule type="cellIs" dxfId="5820" priority="444" operator="equal">
      <formula>"-"</formula>
    </cfRule>
  </conditionalFormatting>
  <conditionalFormatting sqref="P70">
    <cfRule type="colorScale" priority="445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P72:P76">
    <cfRule type="cellIs" dxfId="5819" priority="436" operator="equal">
      <formula>"-"</formula>
    </cfRule>
  </conditionalFormatting>
  <conditionalFormatting sqref="P72:P81">
    <cfRule type="cellIs" dxfId="5818" priority="437" operator="lessThan">
      <formula>0</formula>
    </cfRule>
    <cfRule type="cellIs" dxfId="5817" priority="438" operator="greaterThan">
      <formula>0</formula>
    </cfRule>
  </conditionalFormatting>
  <conditionalFormatting sqref="P77:P81">
    <cfRule type="cellIs" dxfId="5816" priority="439" operator="equal">
      <formula>"-"</formula>
    </cfRule>
  </conditionalFormatting>
  <conditionalFormatting sqref="P82">
    <cfRule type="colorScale" priority="440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P84:P85">
    <cfRule type="cellIs" dxfId="5815" priority="425" operator="equal">
      <formula>"-"</formula>
    </cfRule>
    <cfRule type="cellIs" dxfId="5814" priority="426" operator="lessThan">
      <formula>0</formula>
    </cfRule>
    <cfRule type="cellIs" dxfId="5813" priority="427" operator="greaterThan">
      <formula>0</formula>
    </cfRule>
  </conditionalFormatting>
  <conditionalFormatting sqref="Q2">
    <cfRule type="containsText" dxfId="5812" priority="486" operator="containsText" text="NEUTRO">
      <formula>NOT(ISERROR(SEARCH("NEUTRO",Q2)))</formula>
    </cfRule>
    <cfRule type="containsText" dxfId="5811" priority="487" operator="containsText" text="BULLISH">
      <formula>NOT(ISERROR(SEARCH("BULLISH",Q2)))</formula>
    </cfRule>
    <cfRule type="containsText" dxfId="5810" priority="488" operator="containsText" text="BEARISH">
      <formula>NOT(ISERROR(SEARCH("BEARISH",Q2)))</formula>
    </cfRule>
    <cfRule type="containsBlanks" dxfId="5809" priority="489">
      <formula>LEN(TRIM(Q2))=0</formula>
    </cfRule>
  </conditionalFormatting>
  <conditionalFormatting sqref="Q15">
    <cfRule type="containsText" dxfId="5808" priority="481" operator="containsText" text="NEUTRO">
      <formula>NOT(ISERROR(SEARCH("NEUTRO",Q15)))</formula>
    </cfRule>
    <cfRule type="containsText" dxfId="5807" priority="482" operator="containsText" text="BULLISH">
      <formula>NOT(ISERROR(SEARCH("BULLISH",Q15)))</formula>
    </cfRule>
    <cfRule type="containsText" dxfId="5806" priority="483" operator="containsText" text="BEARISH">
      <formula>NOT(ISERROR(SEARCH("BEARISH",Q15)))</formula>
    </cfRule>
    <cfRule type="containsBlanks" dxfId="5805" priority="484">
      <formula>LEN(TRIM(Q15))=0</formula>
    </cfRule>
  </conditionalFormatting>
  <conditionalFormatting sqref="Q23">
    <cfRule type="containsText" dxfId="5804" priority="476" operator="containsText" text="NEUTRO">
      <formula>NOT(ISERROR(SEARCH("NEUTRO",Q23)))</formula>
    </cfRule>
    <cfRule type="containsText" dxfId="5803" priority="477" operator="containsText" text="BULLISH">
      <formula>NOT(ISERROR(SEARCH("BULLISH",Q23)))</formula>
    </cfRule>
    <cfRule type="containsText" dxfId="5802" priority="478" operator="containsText" text="BEARISH">
      <formula>NOT(ISERROR(SEARCH("BEARISH",Q23)))</formula>
    </cfRule>
    <cfRule type="containsBlanks" dxfId="5801" priority="479">
      <formula>LEN(TRIM(Q23))=0</formula>
    </cfRule>
  </conditionalFormatting>
  <conditionalFormatting sqref="Q36">
    <cfRule type="containsText" dxfId="5800" priority="471" operator="containsText" text="NEUTRO">
      <formula>NOT(ISERROR(SEARCH("NEUTRO",Q36)))</formula>
    </cfRule>
    <cfRule type="containsText" dxfId="5799" priority="472" operator="containsText" text="BULLISH">
      <formula>NOT(ISERROR(SEARCH("BULLISH",Q36)))</formula>
    </cfRule>
    <cfRule type="containsText" dxfId="5798" priority="473" operator="containsText" text="BEARISH">
      <formula>NOT(ISERROR(SEARCH("BEARISH",Q36)))</formula>
    </cfRule>
    <cfRule type="containsBlanks" dxfId="5797" priority="474">
      <formula>LEN(TRIM(Q36))=0</formula>
    </cfRule>
  </conditionalFormatting>
  <conditionalFormatting sqref="Q48">
    <cfRule type="containsText" dxfId="5796" priority="466" operator="containsText" text="NEUTRO">
      <formula>NOT(ISERROR(SEARCH("NEUTRO",Q48)))</formula>
    </cfRule>
    <cfRule type="containsText" dxfId="5795" priority="467" operator="containsText" text="BULLISH">
      <formula>NOT(ISERROR(SEARCH("BULLISH",Q48)))</formula>
    </cfRule>
    <cfRule type="containsText" dxfId="5794" priority="468" operator="containsText" text="BEARISH">
      <formula>NOT(ISERROR(SEARCH("BEARISH",Q48)))</formula>
    </cfRule>
    <cfRule type="containsBlanks" dxfId="5793" priority="469">
      <formula>LEN(TRIM(Q48))=0</formula>
    </cfRule>
  </conditionalFormatting>
  <conditionalFormatting sqref="Q71">
    <cfRule type="containsText" dxfId="5792" priority="462" operator="containsText" text="NEUTRO">
      <formula>NOT(ISERROR(SEARCH("NEUTRO",Q71)))</formula>
    </cfRule>
    <cfRule type="containsText" dxfId="5791" priority="463" operator="containsText" text="BULLISH">
      <formula>NOT(ISERROR(SEARCH("BULLISH",Q71)))</formula>
    </cfRule>
    <cfRule type="containsText" dxfId="5790" priority="464" operator="containsText" text="BEARISH">
      <formula>NOT(ISERROR(SEARCH("BEARISH",Q71)))</formula>
    </cfRule>
    <cfRule type="containsBlanks" dxfId="5789" priority="465">
      <formula>LEN(TRIM(Q71))=0</formula>
    </cfRule>
  </conditionalFormatting>
  <conditionalFormatting sqref="Q83">
    <cfRule type="containsText" dxfId="5788" priority="458" operator="containsText" text="NEUTRO">
      <formula>NOT(ISERROR(SEARCH("NEUTRO",Q83)))</formula>
    </cfRule>
    <cfRule type="containsText" dxfId="5787" priority="459" operator="containsText" text="BULLISH">
      <formula>NOT(ISERROR(SEARCH("BULLISH",Q83)))</formula>
    </cfRule>
    <cfRule type="containsText" dxfId="5786" priority="460" operator="containsText" text="BEARISH">
      <formula>NOT(ISERROR(SEARCH("BEARISH",Q83)))</formula>
    </cfRule>
    <cfRule type="containsBlanks" dxfId="5785" priority="461">
      <formula>LEN(TRIM(Q83))=0</formula>
    </cfRule>
  </conditionalFormatting>
  <conditionalFormatting sqref="S3:S8">
    <cfRule type="cellIs" dxfId="5784" priority="610" operator="equal">
      <formula>"-"</formula>
    </cfRule>
  </conditionalFormatting>
  <conditionalFormatting sqref="S3:S13">
    <cfRule type="cellIs" dxfId="5783" priority="599" operator="lessThan">
      <formula>0</formula>
    </cfRule>
    <cfRule type="cellIs" dxfId="5782" priority="600" operator="greaterThan">
      <formula>0</formula>
    </cfRule>
  </conditionalFormatting>
  <conditionalFormatting sqref="S9:S13">
    <cfRule type="cellIs" dxfId="5781" priority="598" operator="equal">
      <formula>"-"</formula>
    </cfRule>
  </conditionalFormatting>
  <conditionalFormatting sqref="S14">
    <cfRule type="colorScale" priority="613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S16:S18">
    <cfRule type="cellIs" dxfId="5780" priority="595" operator="equal">
      <formula>"-"</formula>
    </cfRule>
  </conditionalFormatting>
  <conditionalFormatting sqref="S16:S21">
    <cfRule type="cellIs" dxfId="5779" priority="495" operator="lessThan">
      <formula>0</formula>
    </cfRule>
    <cfRule type="cellIs" dxfId="5778" priority="496" operator="greaterThan">
      <formula>0</formula>
    </cfRule>
  </conditionalFormatting>
  <conditionalFormatting sqref="S19:S21">
    <cfRule type="cellIs" dxfId="5777" priority="494" operator="equal">
      <formula>"-"</formula>
    </cfRule>
  </conditionalFormatting>
  <conditionalFormatting sqref="S22">
    <cfRule type="colorScale" priority="497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S24:S27">
    <cfRule type="cellIs" dxfId="5776" priority="513" operator="equal">
      <formula>"-"</formula>
    </cfRule>
  </conditionalFormatting>
  <conditionalFormatting sqref="S24:S34">
    <cfRule type="cellIs" dxfId="5775" priority="499" operator="lessThan">
      <formula>0</formula>
    </cfRule>
    <cfRule type="cellIs" dxfId="5774" priority="500" operator="greaterThan">
      <formula>0</formula>
    </cfRule>
  </conditionalFormatting>
  <conditionalFormatting sqref="S28:S34">
    <cfRule type="cellIs" dxfId="5773" priority="498" operator="equal">
      <formula>"-"</formula>
    </cfRule>
  </conditionalFormatting>
  <conditionalFormatting sqref="S35">
    <cfRule type="colorScale" priority="594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S37:S41">
    <cfRule type="cellIs" dxfId="5772" priority="587" operator="equal">
      <formula>"-"</formula>
    </cfRule>
  </conditionalFormatting>
  <conditionalFormatting sqref="S37:S46">
    <cfRule type="cellIs" dxfId="5771" priority="573" operator="lessThan">
      <formula>0</formula>
    </cfRule>
    <cfRule type="cellIs" dxfId="5770" priority="574" operator="greaterThan">
      <formula>0</formula>
    </cfRule>
  </conditionalFormatting>
  <conditionalFormatting sqref="S42:S46">
    <cfRule type="cellIs" dxfId="5769" priority="572" operator="equal">
      <formula>"-"</formula>
    </cfRule>
  </conditionalFormatting>
  <conditionalFormatting sqref="S47">
    <cfRule type="colorScale" priority="593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S49:S53 S55:S57">
    <cfRule type="cellIs" dxfId="5768" priority="535" operator="equal">
      <formula>"-"</formula>
    </cfRule>
  </conditionalFormatting>
  <conditionalFormatting sqref="S49:S53 S55:S69">
    <cfRule type="cellIs" dxfId="5767" priority="536" operator="lessThan">
      <formula>0</formula>
    </cfRule>
    <cfRule type="cellIs" dxfId="5766" priority="537" operator="greaterThan">
      <formula>0</formula>
    </cfRule>
  </conditionalFormatting>
  <conditionalFormatting sqref="S58:S69">
    <cfRule type="cellIs" dxfId="5765" priority="538" operator="equal">
      <formula>"-"</formula>
    </cfRule>
  </conditionalFormatting>
  <conditionalFormatting sqref="S70">
    <cfRule type="colorScale" priority="571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S72:S76">
    <cfRule type="cellIs" dxfId="5764" priority="525" operator="equal">
      <formula>"-"</formula>
    </cfRule>
  </conditionalFormatting>
  <conditionalFormatting sqref="S72:S81">
    <cfRule type="cellIs" dxfId="5763" priority="526" operator="lessThan">
      <formula>0</formula>
    </cfRule>
    <cfRule type="cellIs" dxfId="5762" priority="527" operator="greaterThan">
      <formula>0</formula>
    </cfRule>
  </conditionalFormatting>
  <conditionalFormatting sqref="S77:S81">
    <cfRule type="cellIs" dxfId="5761" priority="528" operator="equal">
      <formula>"-"</formula>
    </cfRule>
  </conditionalFormatting>
  <conditionalFormatting sqref="S82">
    <cfRule type="colorScale" priority="534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S84:S85">
    <cfRule type="cellIs" dxfId="5760" priority="491" operator="equal">
      <formula>"-"</formula>
    </cfRule>
    <cfRule type="cellIs" dxfId="5759" priority="492" operator="lessThan">
      <formula>0</formula>
    </cfRule>
    <cfRule type="cellIs" dxfId="5758" priority="493" operator="greaterThan">
      <formula>0</formula>
    </cfRule>
  </conditionalFormatting>
  <conditionalFormatting sqref="T2">
    <cfRule type="containsText" dxfId="5757" priority="803" operator="containsText" text="NEUTRO">
      <formula>NOT(ISERROR(SEARCH("NEUTRO",T2)))</formula>
    </cfRule>
    <cfRule type="containsText" dxfId="5756" priority="804" operator="containsText" text="BULLISH">
      <formula>NOT(ISERROR(SEARCH("BULLISH",T2)))</formula>
    </cfRule>
    <cfRule type="containsText" dxfId="5755" priority="805" operator="containsText" text="BEARISH">
      <formula>NOT(ISERROR(SEARCH("BEARISH",T2)))</formula>
    </cfRule>
    <cfRule type="containsBlanks" dxfId="5754" priority="806">
      <formula>LEN(TRIM(T2))=0</formula>
    </cfRule>
  </conditionalFormatting>
  <conditionalFormatting sqref="T15">
    <cfRule type="containsText" dxfId="5753" priority="798" operator="containsText" text="NEUTRO">
      <formula>NOT(ISERROR(SEARCH("NEUTRO",T15)))</formula>
    </cfRule>
    <cfRule type="containsText" dxfId="5752" priority="799" operator="containsText" text="BULLISH">
      <formula>NOT(ISERROR(SEARCH("BULLISH",T15)))</formula>
    </cfRule>
    <cfRule type="containsText" dxfId="5751" priority="800" operator="containsText" text="BEARISH">
      <formula>NOT(ISERROR(SEARCH("BEARISH",T15)))</formula>
    </cfRule>
    <cfRule type="containsBlanks" dxfId="5750" priority="801">
      <formula>LEN(TRIM(T15))=0</formula>
    </cfRule>
  </conditionalFormatting>
  <conditionalFormatting sqref="T23">
    <cfRule type="containsText" dxfId="5749" priority="793" operator="containsText" text="NEUTRO">
      <formula>NOT(ISERROR(SEARCH("NEUTRO",T23)))</formula>
    </cfRule>
    <cfRule type="containsText" dxfId="5748" priority="794" operator="containsText" text="BULLISH">
      <formula>NOT(ISERROR(SEARCH("BULLISH",T23)))</formula>
    </cfRule>
    <cfRule type="containsText" dxfId="5747" priority="795" operator="containsText" text="BEARISH">
      <formula>NOT(ISERROR(SEARCH("BEARISH",T23)))</formula>
    </cfRule>
    <cfRule type="containsBlanks" dxfId="5746" priority="796">
      <formula>LEN(TRIM(T23))=0</formula>
    </cfRule>
  </conditionalFormatting>
  <conditionalFormatting sqref="T36">
    <cfRule type="containsText" dxfId="5745" priority="788" operator="containsText" text="NEUTRO">
      <formula>NOT(ISERROR(SEARCH("NEUTRO",T36)))</formula>
    </cfRule>
    <cfRule type="containsText" dxfId="5744" priority="789" operator="containsText" text="BULLISH">
      <formula>NOT(ISERROR(SEARCH("BULLISH",T36)))</formula>
    </cfRule>
    <cfRule type="containsText" dxfId="5743" priority="790" operator="containsText" text="BEARISH">
      <formula>NOT(ISERROR(SEARCH("BEARISH",T36)))</formula>
    </cfRule>
    <cfRule type="containsBlanks" dxfId="5742" priority="791">
      <formula>LEN(TRIM(T36))=0</formula>
    </cfRule>
  </conditionalFormatting>
  <conditionalFormatting sqref="T48">
    <cfRule type="containsText" dxfId="5741" priority="783" operator="containsText" text="NEUTRO">
      <formula>NOT(ISERROR(SEARCH("NEUTRO",T48)))</formula>
    </cfRule>
    <cfRule type="containsText" dxfId="5740" priority="784" operator="containsText" text="BULLISH">
      <formula>NOT(ISERROR(SEARCH("BULLISH",T48)))</formula>
    </cfRule>
    <cfRule type="containsText" dxfId="5739" priority="785" operator="containsText" text="BEARISH">
      <formula>NOT(ISERROR(SEARCH("BEARISH",T48)))</formula>
    </cfRule>
    <cfRule type="containsBlanks" dxfId="5738" priority="786">
      <formula>LEN(TRIM(T48))=0</formula>
    </cfRule>
  </conditionalFormatting>
  <conditionalFormatting sqref="T71">
    <cfRule type="containsText" dxfId="5737" priority="779" operator="containsText" text="NEUTRO">
      <formula>NOT(ISERROR(SEARCH("NEUTRO",T71)))</formula>
    </cfRule>
    <cfRule type="containsText" dxfId="5736" priority="780" operator="containsText" text="BULLISH">
      <formula>NOT(ISERROR(SEARCH("BULLISH",T71)))</formula>
    </cfRule>
    <cfRule type="containsText" dxfId="5735" priority="781" operator="containsText" text="BEARISH">
      <formula>NOT(ISERROR(SEARCH("BEARISH",T71)))</formula>
    </cfRule>
    <cfRule type="containsBlanks" dxfId="5734" priority="782">
      <formula>LEN(TRIM(T71))=0</formula>
    </cfRule>
  </conditionalFormatting>
  <conditionalFormatting sqref="T83">
    <cfRule type="containsText" dxfId="5733" priority="775" operator="containsText" text="NEUTRO">
      <formula>NOT(ISERROR(SEARCH("NEUTRO",T83)))</formula>
    </cfRule>
    <cfRule type="containsText" dxfId="5732" priority="776" operator="containsText" text="BULLISH">
      <formula>NOT(ISERROR(SEARCH("BULLISH",T83)))</formula>
    </cfRule>
    <cfRule type="containsText" dxfId="5731" priority="777" operator="containsText" text="BEARISH">
      <formula>NOT(ISERROR(SEARCH("BEARISH",T83)))</formula>
    </cfRule>
    <cfRule type="containsBlanks" dxfId="5730" priority="778">
      <formula>LEN(TRIM(T83))=0</formula>
    </cfRule>
  </conditionalFormatting>
  <conditionalFormatting sqref="V3:V8">
    <cfRule type="cellIs" dxfId="5729" priority="927" operator="equal">
      <formula>"-"</formula>
    </cfRule>
  </conditionalFormatting>
  <conditionalFormatting sqref="V3:V13">
    <cfRule type="cellIs" dxfId="5728" priority="916" operator="lessThan">
      <formula>0</formula>
    </cfRule>
    <cfRule type="cellIs" dxfId="5727" priority="917" operator="greaterThan">
      <formula>0</formula>
    </cfRule>
  </conditionalFormatting>
  <conditionalFormatting sqref="V9:V13">
    <cfRule type="cellIs" dxfId="5726" priority="915" operator="equal">
      <formula>"-"</formula>
    </cfRule>
  </conditionalFormatting>
  <conditionalFormatting sqref="V14">
    <cfRule type="colorScale" priority="930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V16:V18">
    <cfRule type="cellIs" dxfId="5725" priority="912" operator="equal">
      <formula>"-"</formula>
    </cfRule>
  </conditionalFormatting>
  <conditionalFormatting sqref="V16:V21">
    <cfRule type="cellIs" dxfId="5724" priority="812" operator="lessThan">
      <formula>0</formula>
    </cfRule>
    <cfRule type="cellIs" dxfId="5723" priority="813" operator="greaterThan">
      <formula>0</formula>
    </cfRule>
  </conditionalFormatting>
  <conditionalFormatting sqref="V19:V21">
    <cfRule type="cellIs" dxfId="5722" priority="811" operator="equal">
      <formula>"-"</formula>
    </cfRule>
  </conditionalFormatting>
  <conditionalFormatting sqref="V22">
    <cfRule type="colorScale" priority="814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V24:V27">
    <cfRule type="cellIs" dxfId="5721" priority="830" operator="equal">
      <formula>"-"</formula>
    </cfRule>
  </conditionalFormatting>
  <conditionalFormatting sqref="V24:V34">
    <cfRule type="cellIs" dxfId="5720" priority="816" operator="lessThan">
      <formula>0</formula>
    </cfRule>
    <cfRule type="cellIs" dxfId="5719" priority="817" operator="greaterThan">
      <formula>0</formula>
    </cfRule>
  </conditionalFormatting>
  <conditionalFormatting sqref="V28:V34">
    <cfRule type="cellIs" dxfId="5718" priority="815" operator="equal">
      <formula>"-"</formula>
    </cfRule>
  </conditionalFormatting>
  <conditionalFormatting sqref="V35">
    <cfRule type="colorScale" priority="911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V37:V41">
    <cfRule type="cellIs" dxfId="5717" priority="904" operator="equal">
      <formula>"-"</formula>
    </cfRule>
  </conditionalFormatting>
  <conditionalFormatting sqref="V37:V46">
    <cfRule type="cellIs" dxfId="5716" priority="890" operator="lessThan">
      <formula>0</formula>
    </cfRule>
    <cfRule type="cellIs" dxfId="5715" priority="891" operator="greaterThan">
      <formula>0</formula>
    </cfRule>
  </conditionalFormatting>
  <conditionalFormatting sqref="V42:V46">
    <cfRule type="cellIs" dxfId="5714" priority="889" operator="equal">
      <formula>"-"</formula>
    </cfRule>
  </conditionalFormatting>
  <conditionalFormatting sqref="V47">
    <cfRule type="colorScale" priority="910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V49:V53 V55:V57">
    <cfRule type="cellIs" dxfId="5713" priority="852" operator="equal">
      <formula>"-"</formula>
    </cfRule>
  </conditionalFormatting>
  <conditionalFormatting sqref="V49:V53 V55:V69">
    <cfRule type="cellIs" dxfId="5712" priority="853" operator="lessThan">
      <formula>0</formula>
    </cfRule>
    <cfRule type="cellIs" dxfId="5711" priority="854" operator="greaterThan">
      <formula>0</formula>
    </cfRule>
  </conditionalFormatting>
  <conditionalFormatting sqref="V58:V69">
    <cfRule type="cellIs" dxfId="5710" priority="855" operator="equal">
      <formula>"-"</formula>
    </cfRule>
  </conditionalFormatting>
  <conditionalFormatting sqref="V70">
    <cfRule type="colorScale" priority="888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V72:V76">
    <cfRule type="cellIs" dxfId="5709" priority="842" operator="equal">
      <formula>"-"</formula>
    </cfRule>
  </conditionalFormatting>
  <conditionalFormatting sqref="V72:V81">
    <cfRule type="cellIs" dxfId="5708" priority="843" operator="lessThan">
      <formula>0</formula>
    </cfRule>
    <cfRule type="cellIs" dxfId="5707" priority="844" operator="greaterThan">
      <formula>0</formula>
    </cfRule>
  </conditionalFormatting>
  <conditionalFormatting sqref="V77:V81">
    <cfRule type="cellIs" dxfId="5706" priority="845" operator="equal">
      <formula>"-"</formula>
    </cfRule>
  </conditionalFormatting>
  <conditionalFormatting sqref="V82">
    <cfRule type="colorScale" priority="851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V84:V85">
    <cfRule type="cellIs" dxfId="5705" priority="808" operator="equal">
      <formula>"-"</formula>
    </cfRule>
    <cfRule type="cellIs" dxfId="5704" priority="809" operator="lessThan">
      <formula>0</formula>
    </cfRule>
    <cfRule type="cellIs" dxfId="5703" priority="810" operator="greaterThan">
      <formula>0</formula>
    </cfRule>
  </conditionalFormatting>
  <conditionalFormatting sqref="W2">
    <cfRule type="containsText" dxfId="5702" priority="959" operator="containsText" text="NEUTRO">
      <formula>NOT(ISERROR(SEARCH("NEUTRO",W2)))</formula>
    </cfRule>
    <cfRule type="containsText" dxfId="5701" priority="960" operator="containsText" text="BULLISH">
      <formula>NOT(ISERROR(SEARCH("BULLISH",W2)))</formula>
    </cfRule>
    <cfRule type="containsText" dxfId="5700" priority="961" operator="containsText" text="BEARISH">
      <formula>NOT(ISERROR(SEARCH("BEARISH",W2)))</formula>
    </cfRule>
    <cfRule type="containsBlanks" dxfId="5699" priority="962">
      <formula>LEN(TRIM(W2))=0</formula>
    </cfRule>
  </conditionalFormatting>
  <conditionalFormatting sqref="W15">
    <cfRule type="containsText" dxfId="5698" priority="954" operator="containsText" text="NEUTRO">
      <formula>NOT(ISERROR(SEARCH("NEUTRO",W15)))</formula>
    </cfRule>
    <cfRule type="containsText" dxfId="5697" priority="955" operator="containsText" text="BULLISH">
      <formula>NOT(ISERROR(SEARCH("BULLISH",W15)))</formula>
    </cfRule>
    <cfRule type="containsText" dxfId="5696" priority="956" operator="containsText" text="BEARISH">
      <formula>NOT(ISERROR(SEARCH("BEARISH",W15)))</formula>
    </cfRule>
    <cfRule type="containsBlanks" dxfId="5695" priority="957">
      <formula>LEN(TRIM(W15))=0</formula>
    </cfRule>
  </conditionalFormatting>
  <conditionalFormatting sqref="W23">
    <cfRule type="containsText" dxfId="5694" priority="949" operator="containsText" text="NEUTRO">
      <formula>NOT(ISERROR(SEARCH("NEUTRO",W23)))</formula>
    </cfRule>
    <cfRule type="containsText" dxfId="5693" priority="950" operator="containsText" text="BULLISH">
      <formula>NOT(ISERROR(SEARCH("BULLISH",W23)))</formula>
    </cfRule>
    <cfRule type="containsText" dxfId="5692" priority="951" operator="containsText" text="BEARISH">
      <formula>NOT(ISERROR(SEARCH("BEARISH",W23)))</formula>
    </cfRule>
    <cfRule type="containsBlanks" dxfId="5691" priority="952">
      <formula>LEN(TRIM(W23))=0</formula>
    </cfRule>
  </conditionalFormatting>
  <conditionalFormatting sqref="W36">
    <cfRule type="containsText" dxfId="5690" priority="944" operator="containsText" text="NEUTRO">
      <formula>NOT(ISERROR(SEARCH("NEUTRO",W36)))</formula>
    </cfRule>
    <cfRule type="containsText" dxfId="5689" priority="945" operator="containsText" text="BULLISH">
      <formula>NOT(ISERROR(SEARCH("BULLISH",W36)))</formula>
    </cfRule>
    <cfRule type="containsText" dxfId="5688" priority="946" operator="containsText" text="BEARISH">
      <formula>NOT(ISERROR(SEARCH("BEARISH",W36)))</formula>
    </cfRule>
    <cfRule type="containsBlanks" dxfId="5687" priority="947">
      <formula>LEN(TRIM(W36))=0</formula>
    </cfRule>
  </conditionalFormatting>
  <conditionalFormatting sqref="W48">
    <cfRule type="containsText" dxfId="5686" priority="939" operator="containsText" text="NEUTRO">
      <formula>NOT(ISERROR(SEARCH("NEUTRO",W48)))</formula>
    </cfRule>
    <cfRule type="containsText" dxfId="5685" priority="940" operator="containsText" text="BULLISH">
      <formula>NOT(ISERROR(SEARCH("BULLISH",W48)))</formula>
    </cfRule>
    <cfRule type="containsText" dxfId="5684" priority="941" operator="containsText" text="BEARISH">
      <formula>NOT(ISERROR(SEARCH("BEARISH",W48)))</formula>
    </cfRule>
    <cfRule type="containsBlanks" dxfId="5683" priority="942">
      <formula>LEN(TRIM(W48))=0</formula>
    </cfRule>
  </conditionalFormatting>
  <conditionalFormatting sqref="W71">
    <cfRule type="containsText" dxfId="5682" priority="935" operator="containsText" text="NEUTRO">
      <formula>NOT(ISERROR(SEARCH("NEUTRO",W71)))</formula>
    </cfRule>
    <cfRule type="containsText" dxfId="5681" priority="936" operator="containsText" text="BULLISH">
      <formula>NOT(ISERROR(SEARCH("BULLISH",W71)))</formula>
    </cfRule>
    <cfRule type="containsText" dxfId="5680" priority="937" operator="containsText" text="BEARISH">
      <formula>NOT(ISERROR(SEARCH("BEARISH",W71)))</formula>
    </cfRule>
    <cfRule type="containsBlanks" dxfId="5679" priority="938">
      <formula>LEN(TRIM(W71))=0</formula>
    </cfRule>
  </conditionalFormatting>
  <conditionalFormatting sqref="W83">
    <cfRule type="containsText" dxfId="5678" priority="931" operator="containsText" text="NEUTRO">
      <formula>NOT(ISERROR(SEARCH("NEUTRO",W83)))</formula>
    </cfRule>
    <cfRule type="containsText" dxfId="5677" priority="932" operator="containsText" text="BULLISH">
      <formula>NOT(ISERROR(SEARCH("BULLISH",W83)))</formula>
    </cfRule>
    <cfRule type="containsText" dxfId="5676" priority="933" operator="containsText" text="BEARISH">
      <formula>NOT(ISERROR(SEARCH("BEARISH",W83)))</formula>
    </cfRule>
    <cfRule type="containsBlanks" dxfId="5675" priority="934">
      <formula>LEN(TRIM(W83))=0</formula>
    </cfRule>
  </conditionalFormatting>
  <conditionalFormatting sqref="Y3:Y8">
    <cfRule type="cellIs" dxfId="5674" priority="1083" operator="equal">
      <formula>"-"</formula>
    </cfRule>
  </conditionalFormatting>
  <conditionalFormatting sqref="Y3:Y13">
    <cfRule type="cellIs" dxfId="5673" priority="1072" operator="lessThan">
      <formula>0</formula>
    </cfRule>
    <cfRule type="cellIs" dxfId="5672" priority="1073" operator="greaterThan">
      <formula>0</formula>
    </cfRule>
  </conditionalFormatting>
  <conditionalFormatting sqref="Y9:Y13">
    <cfRule type="cellIs" dxfId="5671" priority="1071" operator="equal">
      <formula>"-"</formula>
    </cfRule>
  </conditionalFormatting>
  <conditionalFormatting sqref="Y14">
    <cfRule type="colorScale" priority="1086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Y16:Y18">
    <cfRule type="cellIs" dxfId="5670" priority="1068" operator="equal">
      <formula>"-"</formula>
    </cfRule>
  </conditionalFormatting>
  <conditionalFormatting sqref="Y16:Y21">
    <cfRule type="cellIs" dxfId="5669" priority="968" operator="lessThan">
      <formula>0</formula>
    </cfRule>
    <cfRule type="cellIs" dxfId="5668" priority="969" operator="greaterThan">
      <formula>0</formula>
    </cfRule>
  </conditionalFormatting>
  <conditionalFormatting sqref="Y19:Y21">
    <cfRule type="cellIs" dxfId="5667" priority="967" operator="equal">
      <formula>"-"</formula>
    </cfRule>
  </conditionalFormatting>
  <conditionalFormatting sqref="Y22">
    <cfRule type="colorScale" priority="970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Y24:Y27">
    <cfRule type="cellIs" dxfId="5666" priority="986" operator="equal">
      <formula>"-"</formula>
    </cfRule>
  </conditionalFormatting>
  <conditionalFormatting sqref="Y24:Y34">
    <cfRule type="cellIs" dxfId="5665" priority="972" operator="lessThan">
      <formula>0</formula>
    </cfRule>
    <cfRule type="cellIs" dxfId="5664" priority="973" operator="greaterThan">
      <formula>0</formula>
    </cfRule>
  </conditionalFormatting>
  <conditionalFormatting sqref="Y28:Y34">
    <cfRule type="cellIs" dxfId="5663" priority="971" operator="equal">
      <formula>"-"</formula>
    </cfRule>
  </conditionalFormatting>
  <conditionalFormatting sqref="Y35">
    <cfRule type="colorScale" priority="1067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Y37:Y41">
    <cfRule type="cellIs" dxfId="5662" priority="1060" operator="equal">
      <formula>"-"</formula>
    </cfRule>
  </conditionalFormatting>
  <conditionalFormatting sqref="Y37:Y46">
    <cfRule type="cellIs" dxfId="5661" priority="1046" operator="lessThan">
      <formula>0</formula>
    </cfRule>
    <cfRule type="cellIs" dxfId="5660" priority="1047" operator="greaterThan">
      <formula>0</formula>
    </cfRule>
  </conditionalFormatting>
  <conditionalFormatting sqref="Y42:Y46">
    <cfRule type="cellIs" dxfId="5659" priority="1045" operator="equal">
      <formula>"-"</formula>
    </cfRule>
  </conditionalFormatting>
  <conditionalFormatting sqref="Y47">
    <cfRule type="colorScale" priority="1066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Y49:Y53 Y55:Y57">
    <cfRule type="cellIs" dxfId="5658" priority="1008" operator="equal">
      <formula>"-"</formula>
    </cfRule>
  </conditionalFormatting>
  <conditionalFormatting sqref="Y49:Y53 Y55:Y69">
    <cfRule type="cellIs" dxfId="5657" priority="1009" operator="lessThan">
      <formula>0</formula>
    </cfRule>
    <cfRule type="cellIs" dxfId="5656" priority="1010" operator="greaterThan">
      <formula>0</formula>
    </cfRule>
  </conditionalFormatting>
  <conditionalFormatting sqref="Y58:Y69">
    <cfRule type="cellIs" dxfId="5655" priority="1011" operator="equal">
      <formula>"-"</formula>
    </cfRule>
  </conditionalFormatting>
  <conditionalFormatting sqref="Y70">
    <cfRule type="colorScale" priority="1044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Y72:Y76">
    <cfRule type="cellIs" dxfId="5654" priority="998" operator="equal">
      <formula>"-"</formula>
    </cfRule>
  </conditionalFormatting>
  <conditionalFormatting sqref="Y72:Y81">
    <cfRule type="cellIs" dxfId="5653" priority="999" operator="lessThan">
      <formula>0</formula>
    </cfRule>
    <cfRule type="cellIs" dxfId="5652" priority="1000" operator="greaterThan">
      <formula>0</formula>
    </cfRule>
  </conditionalFormatting>
  <conditionalFormatting sqref="Y77:Y81">
    <cfRule type="cellIs" dxfId="5651" priority="1001" operator="equal">
      <formula>"-"</formula>
    </cfRule>
  </conditionalFormatting>
  <conditionalFormatting sqref="Y82">
    <cfRule type="colorScale" priority="1007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Y84:Y85">
    <cfRule type="cellIs" dxfId="5650" priority="964" operator="equal">
      <formula>"-"</formula>
    </cfRule>
    <cfRule type="cellIs" dxfId="5649" priority="965" operator="lessThan">
      <formula>0</formula>
    </cfRule>
    <cfRule type="cellIs" dxfId="5648" priority="966" operator="greaterThan">
      <formula>0</formula>
    </cfRule>
  </conditionalFormatting>
  <conditionalFormatting sqref="Z2">
    <cfRule type="containsText" dxfId="5647" priority="1432" operator="containsText" text="NEUTRO">
      <formula>NOT(ISERROR(SEARCH("NEUTRO",Z2)))</formula>
    </cfRule>
    <cfRule type="containsText" dxfId="5646" priority="1433" operator="containsText" text="BULLISH">
      <formula>NOT(ISERROR(SEARCH("BULLISH",Z2)))</formula>
    </cfRule>
    <cfRule type="containsText" dxfId="5645" priority="1434" operator="containsText" text="BEARISH">
      <formula>NOT(ISERROR(SEARCH("BEARISH",Z2)))</formula>
    </cfRule>
    <cfRule type="containsBlanks" dxfId="5644" priority="1435">
      <formula>LEN(TRIM(Z2))=0</formula>
    </cfRule>
  </conditionalFormatting>
  <conditionalFormatting sqref="Z15">
    <cfRule type="containsText" dxfId="5643" priority="1427" operator="containsText" text="NEUTRO">
      <formula>NOT(ISERROR(SEARCH("NEUTRO",Z15)))</formula>
    </cfRule>
    <cfRule type="containsText" dxfId="5642" priority="1428" operator="containsText" text="BULLISH">
      <formula>NOT(ISERROR(SEARCH("BULLISH",Z15)))</formula>
    </cfRule>
    <cfRule type="containsText" dxfId="5641" priority="1429" operator="containsText" text="BEARISH">
      <formula>NOT(ISERROR(SEARCH("BEARISH",Z15)))</formula>
    </cfRule>
    <cfRule type="containsBlanks" dxfId="5640" priority="1430">
      <formula>LEN(TRIM(Z15))=0</formula>
    </cfRule>
  </conditionalFormatting>
  <conditionalFormatting sqref="Z23">
    <cfRule type="containsText" dxfId="5639" priority="1422" operator="containsText" text="NEUTRO">
      <formula>NOT(ISERROR(SEARCH("NEUTRO",Z23)))</formula>
    </cfRule>
    <cfRule type="containsText" dxfId="5638" priority="1423" operator="containsText" text="BULLISH">
      <formula>NOT(ISERROR(SEARCH("BULLISH",Z23)))</formula>
    </cfRule>
    <cfRule type="containsText" dxfId="5637" priority="1424" operator="containsText" text="BEARISH">
      <formula>NOT(ISERROR(SEARCH("BEARISH",Z23)))</formula>
    </cfRule>
    <cfRule type="containsBlanks" dxfId="5636" priority="1425">
      <formula>LEN(TRIM(Z23))=0</formula>
    </cfRule>
  </conditionalFormatting>
  <conditionalFormatting sqref="Z36">
    <cfRule type="containsText" dxfId="5635" priority="1417" operator="containsText" text="NEUTRO">
      <formula>NOT(ISERROR(SEARCH("NEUTRO",Z36)))</formula>
    </cfRule>
    <cfRule type="containsText" dxfId="5634" priority="1418" operator="containsText" text="BULLISH">
      <formula>NOT(ISERROR(SEARCH("BULLISH",Z36)))</formula>
    </cfRule>
    <cfRule type="containsText" dxfId="5633" priority="1419" operator="containsText" text="BEARISH">
      <formula>NOT(ISERROR(SEARCH("BEARISH",Z36)))</formula>
    </cfRule>
    <cfRule type="containsBlanks" dxfId="5632" priority="1420">
      <formula>LEN(TRIM(Z36))=0</formula>
    </cfRule>
  </conditionalFormatting>
  <conditionalFormatting sqref="Z48">
    <cfRule type="containsText" dxfId="5631" priority="1412" operator="containsText" text="NEUTRO">
      <formula>NOT(ISERROR(SEARCH("NEUTRO",Z48)))</formula>
    </cfRule>
    <cfRule type="containsText" dxfId="5630" priority="1413" operator="containsText" text="BULLISH">
      <formula>NOT(ISERROR(SEARCH("BULLISH",Z48)))</formula>
    </cfRule>
    <cfRule type="containsText" dxfId="5629" priority="1414" operator="containsText" text="BEARISH">
      <formula>NOT(ISERROR(SEARCH("BEARISH",Z48)))</formula>
    </cfRule>
    <cfRule type="containsBlanks" dxfId="5628" priority="1415">
      <formula>LEN(TRIM(Z48))=0</formula>
    </cfRule>
  </conditionalFormatting>
  <conditionalFormatting sqref="Z71">
    <cfRule type="containsText" dxfId="5627" priority="1408" operator="containsText" text="NEUTRO">
      <formula>NOT(ISERROR(SEARCH("NEUTRO",Z71)))</formula>
    </cfRule>
    <cfRule type="containsText" dxfId="5626" priority="1409" operator="containsText" text="BULLISH">
      <formula>NOT(ISERROR(SEARCH("BULLISH",Z71)))</formula>
    </cfRule>
    <cfRule type="containsText" dxfId="5625" priority="1410" operator="containsText" text="BEARISH">
      <formula>NOT(ISERROR(SEARCH("BEARISH",Z71)))</formula>
    </cfRule>
    <cfRule type="containsBlanks" dxfId="5624" priority="1411">
      <formula>LEN(TRIM(Z71))=0</formula>
    </cfRule>
  </conditionalFormatting>
  <conditionalFormatting sqref="Z83">
    <cfRule type="containsText" dxfId="5623" priority="1404" operator="containsText" text="NEUTRO">
      <formula>NOT(ISERROR(SEARCH("NEUTRO",Z83)))</formula>
    </cfRule>
    <cfRule type="containsText" dxfId="5622" priority="1405" operator="containsText" text="BULLISH">
      <formula>NOT(ISERROR(SEARCH("BULLISH",Z83)))</formula>
    </cfRule>
    <cfRule type="containsText" dxfId="5621" priority="1406" operator="containsText" text="BEARISH">
      <formula>NOT(ISERROR(SEARCH("BEARISH",Z83)))</formula>
    </cfRule>
    <cfRule type="containsBlanks" dxfId="5620" priority="1407">
      <formula>LEN(TRIM(Z83))=0</formula>
    </cfRule>
  </conditionalFormatting>
  <conditionalFormatting sqref="AB3:AB8">
    <cfRule type="cellIs" dxfId="5619" priority="1556" operator="equal">
      <formula>"-"</formula>
    </cfRule>
  </conditionalFormatting>
  <conditionalFormatting sqref="AB3:AB13">
    <cfRule type="cellIs" dxfId="5618" priority="1545" operator="lessThan">
      <formula>0</formula>
    </cfRule>
    <cfRule type="cellIs" dxfId="5617" priority="1546" operator="greaterThan">
      <formula>0</formula>
    </cfRule>
  </conditionalFormatting>
  <conditionalFormatting sqref="AB9:AB13">
    <cfRule type="cellIs" dxfId="5616" priority="1544" operator="equal">
      <formula>"-"</formula>
    </cfRule>
  </conditionalFormatting>
  <conditionalFormatting sqref="AB14">
    <cfRule type="colorScale" priority="1559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AB16:AB18">
    <cfRule type="cellIs" dxfId="5615" priority="1541" operator="equal">
      <formula>"-"</formula>
    </cfRule>
  </conditionalFormatting>
  <conditionalFormatting sqref="AB16:AB21">
    <cfRule type="cellIs" dxfId="5614" priority="1441" operator="lessThan">
      <formula>0</formula>
    </cfRule>
    <cfRule type="cellIs" dxfId="5613" priority="1442" operator="greaterThan">
      <formula>0</formula>
    </cfRule>
  </conditionalFormatting>
  <conditionalFormatting sqref="AB19:AB21">
    <cfRule type="cellIs" dxfId="5612" priority="1440" operator="equal">
      <formula>"-"</formula>
    </cfRule>
  </conditionalFormatting>
  <conditionalFormatting sqref="AB22">
    <cfRule type="colorScale" priority="1443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AB24:AB27">
    <cfRule type="cellIs" dxfId="5611" priority="1459" operator="equal">
      <formula>"-"</formula>
    </cfRule>
  </conditionalFormatting>
  <conditionalFormatting sqref="AB24:AB34">
    <cfRule type="cellIs" dxfId="5610" priority="1445" operator="lessThan">
      <formula>0</formula>
    </cfRule>
    <cfRule type="cellIs" dxfId="5609" priority="1446" operator="greaterThan">
      <formula>0</formula>
    </cfRule>
  </conditionalFormatting>
  <conditionalFormatting sqref="AB28:AB34">
    <cfRule type="cellIs" dxfId="5608" priority="1444" operator="equal">
      <formula>"-"</formula>
    </cfRule>
  </conditionalFormatting>
  <conditionalFormatting sqref="AB35">
    <cfRule type="colorScale" priority="1540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AB37:AB41">
    <cfRule type="cellIs" dxfId="5607" priority="1533" operator="equal">
      <formula>"-"</formula>
    </cfRule>
  </conditionalFormatting>
  <conditionalFormatting sqref="AB37:AB46">
    <cfRule type="cellIs" dxfId="5606" priority="1519" operator="lessThan">
      <formula>0</formula>
    </cfRule>
    <cfRule type="cellIs" dxfId="5605" priority="1520" operator="greaterThan">
      <formula>0</formula>
    </cfRule>
  </conditionalFormatting>
  <conditionalFormatting sqref="AB42:AB46">
    <cfRule type="cellIs" dxfId="5604" priority="1518" operator="equal">
      <formula>"-"</formula>
    </cfRule>
  </conditionalFormatting>
  <conditionalFormatting sqref="AB47">
    <cfRule type="colorScale" priority="1539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AB49:AB53 AB55:AB57">
    <cfRule type="cellIs" dxfId="5603" priority="1481" operator="equal">
      <formula>"-"</formula>
    </cfRule>
  </conditionalFormatting>
  <conditionalFormatting sqref="AB49:AB53 AB55:AB69">
    <cfRule type="cellIs" dxfId="5602" priority="1482" operator="lessThan">
      <formula>0</formula>
    </cfRule>
    <cfRule type="cellIs" dxfId="5601" priority="1483" operator="greaterThan">
      <formula>0</formula>
    </cfRule>
  </conditionalFormatting>
  <conditionalFormatting sqref="AB58:AB69">
    <cfRule type="cellIs" dxfId="5600" priority="1484" operator="equal">
      <formula>"-"</formula>
    </cfRule>
  </conditionalFormatting>
  <conditionalFormatting sqref="AB70">
    <cfRule type="colorScale" priority="1517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AB72:AB76">
    <cfRule type="cellIs" dxfId="5599" priority="1471" operator="equal">
      <formula>"-"</formula>
    </cfRule>
  </conditionalFormatting>
  <conditionalFormatting sqref="AB72:AB81">
    <cfRule type="cellIs" dxfId="5598" priority="1472" operator="lessThan">
      <formula>0</formula>
    </cfRule>
    <cfRule type="cellIs" dxfId="5597" priority="1473" operator="greaterThan">
      <formula>0</formula>
    </cfRule>
  </conditionalFormatting>
  <conditionalFormatting sqref="AB77:AB81">
    <cfRule type="cellIs" dxfId="5596" priority="1474" operator="equal">
      <formula>"-"</formula>
    </cfRule>
  </conditionalFormatting>
  <conditionalFormatting sqref="AB82">
    <cfRule type="colorScale" priority="1480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AB84:AB85">
    <cfRule type="cellIs" dxfId="5595" priority="1437" operator="equal">
      <formula>"-"</formula>
    </cfRule>
    <cfRule type="cellIs" dxfId="5594" priority="1438" operator="lessThan">
      <formula>0</formula>
    </cfRule>
    <cfRule type="cellIs" dxfId="5593" priority="1439" operator="greaterThan">
      <formula>0</formula>
    </cfRule>
  </conditionalFormatting>
  <conditionalFormatting sqref="AC2">
    <cfRule type="containsText" dxfId="5592" priority="1588" operator="containsText" text="NEUTRO">
      <formula>NOT(ISERROR(SEARCH("NEUTRO",AC2)))</formula>
    </cfRule>
    <cfRule type="containsText" dxfId="5591" priority="1589" operator="containsText" text="BULLISH">
      <formula>NOT(ISERROR(SEARCH("BULLISH",AC2)))</formula>
    </cfRule>
    <cfRule type="containsText" dxfId="5590" priority="1590" operator="containsText" text="BEARISH">
      <formula>NOT(ISERROR(SEARCH("BEARISH",AC2)))</formula>
    </cfRule>
    <cfRule type="containsBlanks" dxfId="5589" priority="1591">
      <formula>LEN(TRIM(AC2))=0</formula>
    </cfRule>
  </conditionalFormatting>
  <conditionalFormatting sqref="AC15">
    <cfRule type="containsText" dxfId="5588" priority="1583" operator="containsText" text="NEUTRO">
      <formula>NOT(ISERROR(SEARCH("NEUTRO",AC15)))</formula>
    </cfRule>
    <cfRule type="containsText" dxfId="5587" priority="1584" operator="containsText" text="BULLISH">
      <formula>NOT(ISERROR(SEARCH("BULLISH",AC15)))</formula>
    </cfRule>
    <cfRule type="containsText" dxfId="5586" priority="1585" operator="containsText" text="BEARISH">
      <formula>NOT(ISERROR(SEARCH("BEARISH",AC15)))</formula>
    </cfRule>
    <cfRule type="containsBlanks" dxfId="5585" priority="1586">
      <formula>LEN(TRIM(AC15))=0</formula>
    </cfRule>
  </conditionalFormatting>
  <conditionalFormatting sqref="AC23">
    <cfRule type="containsText" dxfId="5584" priority="1578" operator="containsText" text="NEUTRO">
      <formula>NOT(ISERROR(SEARCH("NEUTRO",AC23)))</formula>
    </cfRule>
    <cfRule type="containsText" dxfId="5583" priority="1579" operator="containsText" text="BULLISH">
      <formula>NOT(ISERROR(SEARCH("BULLISH",AC23)))</formula>
    </cfRule>
    <cfRule type="containsText" dxfId="5582" priority="1580" operator="containsText" text="BEARISH">
      <formula>NOT(ISERROR(SEARCH("BEARISH",AC23)))</formula>
    </cfRule>
    <cfRule type="containsBlanks" dxfId="5581" priority="1581">
      <formula>LEN(TRIM(AC23))=0</formula>
    </cfRule>
  </conditionalFormatting>
  <conditionalFormatting sqref="AC36">
    <cfRule type="containsText" dxfId="5580" priority="1573" operator="containsText" text="NEUTRO">
      <formula>NOT(ISERROR(SEARCH("NEUTRO",AC36)))</formula>
    </cfRule>
    <cfRule type="containsText" dxfId="5579" priority="1574" operator="containsText" text="BULLISH">
      <formula>NOT(ISERROR(SEARCH("BULLISH",AC36)))</formula>
    </cfRule>
    <cfRule type="containsText" dxfId="5578" priority="1575" operator="containsText" text="BEARISH">
      <formula>NOT(ISERROR(SEARCH("BEARISH",AC36)))</formula>
    </cfRule>
    <cfRule type="containsBlanks" dxfId="5577" priority="1576">
      <formula>LEN(TRIM(AC36))=0</formula>
    </cfRule>
  </conditionalFormatting>
  <conditionalFormatting sqref="AC48">
    <cfRule type="containsText" dxfId="5576" priority="1568" operator="containsText" text="NEUTRO">
      <formula>NOT(ISERROR(SEARCH("NEUTRO",AC48)))</formula>
    </cfRule>
    <cfRule type="containsText" dxfId="5575" priority="1569" operator="containsText" text="BULLISH">
      <formula>NOT(ISERROR(SEARCH("BULLISH",AC48)))</formula>
    </cfRule>
    <cfRule type="containsText" dxfId="5574" priority="1570" operator="containsText" text="BEARISH">
      <formula>NOT(ISERROR(SEARCH("BEARISH",AC48)))</formula>
    </cfRule>
    <cfRule type="containsBlanks" dxfId="5573" priority="1571">
      <formula>LEN(TRIM(AC48))=0</formula>
    </cfRule>
  </conditionalFormatting>
  <conditionalFormatting sqref="AC71">
    <cfRule type="containsText" dxfId="5572" priority="1564" operator="containsText" text="NEUTRO">
      <formula>NOT(ISERROR(SEARCH("NEUTRO",AC71)))</formula>
    </cfRule>
    <cfRule type="containsText" dxfId="5571" priority="1565" operator="containsText" text="BULLISH">
      <formula>NOT(ISERROR(SEARCH("BULLISH",AC71)))</formula>
    </cfRule>
    <cfRule type="containsText" dxfId="5570" priority="1566" operator="containsText" text="BEARISH">
      <formula>NOT(ISERROR(SEARCH("BEARISH",AC71)))</formula>
    </cfRule>
    <cfRule type="containsBlanks" dxfId="5569" priority="1567">
      <formula>LEN(TRIM(AC71))=0</formula>
    </cfRule>
  </conditionalFormatting>
  <conditionalFormatting sqref="AC83">
    <cfRule type="containsText" dxfId="5568" priority="1560" operator="containsText" text="NEUTRO">
      <formula>NOT(ISERROR(SEARCH("NEUTRO",AC83)))</formula>
    </cfRule>
    <cfRule type="containsText" dxfId="5567" priority="1561" operator="containsText" text="BULLISH">
      <formula>NOT(ISERROR(SEARCH("BULLISH",AC83)))</formula>
    </cfRule>
    <cfRule type="containsText" dxfId="5566" priority="1562" operator="containsText" text="BEARISH">
      <formula>NOT(ISERROR(SEARCH("BEARISH",AC83)))</formula>
    </cfRule>
    <cfRule type="containsBlanks" dxfId="5565" priority="1563">
      <formula>LEN(TRIM(AC83))=0</formula>
    </cfRule>
  </conditionalFormatting>
  <conditionalFormatting sqref="AE3:AE8">
    <cfRule type="cellIs" dxfId="5564" priority="1712" operator="equal">
      <formula>"-"</formula>
    </cfRule>
  </conditionalFormatting>
  <conditionalFormatting sqref="AE3:AE13">
    <cfRule type="cellIs" dxfId="5563" priority="1701" operator="lessThan">
      <formula>0</formula>
    </cfRule>
    <cfRule type="cellIs" dxfId="5562" priority="1702" operator="greaterThan">
      <formula>0</formula>
    </cfRule>
  </conditionalFormatting>
  <conditionalFormatting sqref="AE9:AE13">
    <cfRule type="cellIs" dxfId="5561" priority="1700" operator="equal">
      <formula>"-"</formula>
    </cfRule>
  </conditionalFormatting>
  <conditionalFormatting sqref="AE14">
    <cfRule type="colorScale" priority="1715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AE16:AE18">
    <cfRule type="cellIs" dxfId="5560" priority="1697" operator="equal">
      <formula>"-"</formula>
    </cfRule>
  </conditionalFormatting>
  <conditionalFormatting sqref="AE16:AE21">
    <cfRule type="cellIs" dxfId="5559" priority="1597" operator="lessThan">
      <formula>0</formula>
    </cfRule>
    <cfRule type="cellIs" dxfId="5558" priority="1598" operator="greaterThan">
      <formula>0</formula>
    </cfRule>
  </conditionalFormatting>
  <conditionalFormatting sqref="AE19:AE21">
    <cfRule type="cellIs" dxfId="5557" priority="1596" operator="equal">
      <formula>"-"</formula>
    </cfRule>
  </conditionalFormatting>
  <conditionalFormatting sqref="AE22">
    <cfRule type="colorScale" priority="1599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AE24:AE27">
    <cfRule type="cellIs" dxfId="5556" priority="1615" operator="equal">
      <formula>"-"</formula>
    </cfRule>
  </conditionalFormatting>
  <conditionalFormatting sqref="AE24:AE34">
    <cfRule type="cellIs" dxfId="5555" priority="1601" operator="lessThan">
      <formula>0</formula>
    </cfRule>
    <cfRule type="cellIs" dxfId="5554" priority="1602" operator="greaterThan">
      <formula>0</formula>
    </cfRule>
  </conditionalFormatting>
  <conditionalFormatting sqref="AE28:AE34">
    <cfRule type="cellIs" dxfId="5553" priority="1600" operator="equal">
      <formula>"-"</formula>
    </cfRule>
  </conditionalFormatting>
  <conditionalFormatting sqref="AE35">
    <cfRule type="colorScale" priority="1696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AE37:AE41">
    <cfRule type="cellIs" dxfId="5552" priority="1689" operator="equal">
      <formula>"-"</formula>
    </cfRule>
  </conditionalFormatting>
  <conditionalFormatting sqref="AE37:AE46">
    <cfRule type="cellIs" dxfId="5551" priority="1675" operator="lessThan">
      <formula>0</formula>
    </cfRule>
    <cfRule type="cellIs" dxfId="5550" priority="1676" operator="greaterThan">
      <formula>0</formula>
    </cfRule>
  </conditionalFormatting>
  <conditionalFormatting sqref="AE42:AE46">
    <cfRule type="cellIs" dxfId="5549" priority="1674" operator="equal">
      <formula>"-"</formula>
    </cfRule>
  </conditionalFormatting>
  <conditionalFormatting sqref="AE47">
    <cfRule type="colorScale" priority="1695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AE49:AE53 AE55:AE57">
    <cfRule type="cellIs" dxfId="5548" priority="1637" operator="equal">
      <formula>"-"</formula>
    </cfRule>
  </conditionalFormatting>
  <conditionalFormatting sqref="AE49:AE53 AE55:AE69">
    <cfRule type="cellIs" dxfId="5547" priority="1638" operator="lessThan">
      <formula>0</formula>
    </cfRule>
    <cfRule type="cellIs" dxfId="5546" priority="1639" operator="greaterThan">
      <formula>0</formula>
    </cfRule>
  </conditionalFormatting>
  <conditionalFormatting sqref="AE58:AE69">
    <cfRule type="cellIs" dxfId="5545" priority="1640" operator="equal">
      <formula>"-"</formula>
    </cfRule>
  </conditionalFormatting>
  <conditionalFormatting sqref="AE70">
    <cfRule type="colorScale" priority="1673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AE72:AE76">
    <cfRule type="cellIs" dxfId="5544" priority="1627" operator="equal">
      <formula>"-"</formula>
    </cfRule>
  </conditionalFormatting>
  <conditionalFormatting sqref="AE72:AE81">
    <cfRule type="cellIs" dxfId="5543" priority="1628" operator="lessThan">
      <formula>0</formula>
    </cfRule>
    <cfRule type="cellIs" dxfId="5542" priority="1629" operator="greaterThan">
      <formula>0</formula>
    </cfRule>
  </conditionalFormatting>
  <conditionalFormatting sqref="AE77:AE81">
    <cfRule type="cellIs" dxfId="5541" priority="1630" operator="equal">
      <formula>"-"</formula>
    </cfRule>
  </conditionalFormatting>
  <conditionalFormatting sqref="AE82">
    <cfRule type="colorScale" priority="1636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AE84:AE85">
    <cfRule type="cellIs" dxfId="5540" priority="1593" operator="equal">
      <formula>"-"</formula>
    </cfRule>
    <cfRule type="cellIs" dxfId="5539" priority="1594" operator="lessThan">
      <formula>0</formula>
    </cfRule>
    <cfRule type="cellIs" dxfId="5538" priority="1595" operator="greaterThan">
      <formula>0</formula>
    </cfRule>
  </conditionalFormatting>
  <conditionalFormatting sqref="AF2">
    <cfRule type="containsText" dxfId="5537" priority="1744" operator="containsText" text="NEUTRO">
      <formula>NOT(ISERROR(SEARCH("NEUTRO",AF2)))</formula>
    </cfRule>
    <cfRule type="containsText" dxfId="5536" priority="1745" operator="containsText" text="BULLISH">
      <formula>NOT(ISERROR(SEARCH("BULLISH",AF2)))</formula>
    </cfRule>
    <cfRule type="containsText" dxfId="5535" priority="1746" operator="containsText" text="BEARISH">
      <formula>NOT(ISERROR(SEARCH("BEARISH",AF2)))</formula>
    </cfRule>
    <cfRule type="containsBlanks" dxfId="5534" priority="1747">
      <formula>LEN(TRIM(AF2))=0</formula>
    </cfRule>
  </conditionalFormatting>
  <conditionalFormatting sqref="AF15">
    <cfRule type="containsText" dxfId="5533" priority="1739" operator="containsText" text="NEUTRO">
      <formula>NOT(ISERROR(SEARCH("NEUTRO",AF15)))</formula>
    </cfRule>
    <cfRule type="containsText" dxfId="5532" priority="1740" operator="containsText" text="BULLISH">
      <formula>NOT(ISERROR(SEARCH("BULLISH",AF15)))</formula>
    </cfRule>
    <cfRule type="containsText" dxfId="5531" priority="1741" operator="containsText" text="BEARISH">
      <formula>NOT(ISERROR(SEARCH("BEARISH",AF15)))</formula>
    </cfRule>
    <cfRule type="containsBlanks" dxfId="5530" priority="1742">
      <formula>LEN(TRIM(AF15))=0</formula>
    </cfRule>
  </conditionalFormatting>
  <conditionalFormatting sqref="AF23">
    <cfRule type="containsText" dxfId="5529" priority="1734" operator="containsText" text="NEUTRO">
      <formula>NOT(ISERROR(SEARCH("NEUTRO",AF23)))</formula>
    </cfRule>
    <cfRule type="containsText" dxfId="5528" priority="1735" operator="containsText" text="BULLISH">
      <formula>NOT(ISERROR(SEARCH("BULLISH",AF23)))</formula>
    </cfRule>
    <cfRule type="containsText" dxfId="5527" priority="1736" operator="containsText" text="BEARISH">
      <formula>NOT(ISERROR(SEARCH("BEARISH",AF23)))</formula>
    </cfRule>
    <cfRule type="containsBlanks" dxfId="5526" priority="1737">
      <formula>LEN(TRIM(AF23))=0</formula>
    </cfRule>
  </conditionalFormatting>
  <conditionalFormatting sqref="AF36">
    <cfRule type="containsText" dxfId="5525" priority="1729" operator="containsText" text="NEUTRO">
      <formula>NOT(ISERROR(SEARCH("NEUTRO",AF36)))</formula>
    </cfRule>
    <cfRule type="containsText" dxfId="5524" priority="1730" operator="containsText" text="BULLISH">
      <formula>NOT(ISERROR(SEARCH("BULLISH",AF36)))</formula>
    </cfRule>
    <cfRule type="containsText" dxfId="5523" priority="1731" operator="containsText" text="BEARISH">
      <formula>NOT(ISERROR(SEARCH("BEARISH",AF36)))</formula>
    </cfRule>
    <cfRule type="containsBlanks" dxfId="5522" priority="1732">
      <formula>LEN(TRIM(AF36))=0</formula>
    </cfRule>
  </conditionalFormatting>
  <conditionalFormatting sqref="AF48">
    <cfRule type="containsText" dxfId="5521" priority="1724" operator="containsText" text="NEUTRO">
      <formula>NOT(ISERROR(SEARCH("NEUTRO",AF48)))</formula>
    </cfRule>
    <cfRule type="containsText" dxfId="5520" priority="1725" operator="containsText" text="BULLISH">
      <formula>NOT(ISERROR(SEARCH("BULLISH",AF48)))</formula>
    </cfRule>
    <cfRule type="containsText" dxfId="5519" priority="1726" operator="containsText" text="BEARISH">
      <formula>NOT(ISERROR(SEARCH("BEARISH",AF48)))</formula>
    </cfRule>
    <cfRule type="containsBlanks" dxfId="5518" priority="1727">
      <formula>LEN(TRIM(AF48))=0</formula>
    </cfRule>
  </conditionalFormatting>
  <conditionalFormatting sqref="AF71">
    <cfRule type="containsText" dxfId="5517" priority="1720" operator="containsText" text="NEUTRO">
      <formula>NOT(ISERROR(SEARCH("NEUTRO",AF71)))</formula>
    </cfRule>
    <cfRule type="containsText" dxfId="5516" priority="1721" operator="containsText" text="BULLISH">
      <formula>NOT(ISERROR(SEARCH("BULLISH",AF71)))</formula>
    </cfRule>
    <cfRule type="containsText" dxfId="5515" priority="1722" operator="containsText" text="BEARISH">
      <formula>NOT(ISERROR(SEARCH("BEARISH",AF71)))</formula>
    </cfRule>
    <cfRule type="containsBlanks" dxfId="5514" priority="1723">
      <formula>LEN(TRIM(AF71))=0</formula>
    </cfRule>
  </conditionalFormatting>
  <conditionalFormatting sqref="AF83">
    <cfRule type="containsText" dxfId="5513" priority="1716" operator="containsText" text="NEUTRO">
      <formula>NOT(ISERROR(SEARCH("NEUTRO",AF83)))</formula>
    </cfRule>
    <cfRule type="containsText" dxfId="5512" priority="1717" operator="containsText" text="BULLISH">
      <formula>NOT(ISERROR(SEARCH("BULLISH",AF83)))</formula>
    </cfRule>
    <cfRule type="containsText" dxfId="5511" priority="1718" operator="containsText" text="BEARISH">
      <formula>NOT(ISERROR(SEARCH("BEARISH",AF83)))</formula>
    </cfRule>
    <cfRule type="containsBlanks" dxfId="5510" priority="1719">
      <formula>LEN(TRIM(AF83))=0</formula>
    </cfRule>
  </conditionalFormatting>
  <conditionalFormatting sqref="AH3:AH8">
    <cfRule type="cellIs" dxfId="5509" priority="1868" operator="equal">
      <formula>"-"</formula>
    </cfRule>
  </conditionalFormatting>
  <conditionalFormatting sqref="AH3:AH13">
    <cfRule type="cellIs" dxfId="5508" priority="1857" operator="lessThan">
      <formula>0</formula>
    </cfRule>
    <cfRule type="cellIs" dxfId="5507" priority="1858" operator="greaterThan">
      <formula>0</formula>
    </cfRule>
  </conditionalFormatting>
  <conditionalFormatting sqref="AH9:AH13">
    <cfRule type="cellIs" dxfId="5506" priority="1856" operator="equal">
      <formula>"-"</formula>
    </cfRule>
  </conditionalFormatting>
  <conditionalFormatting sqref="AH14">
    <cfRule type="colorScale" priority="1871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AH16:AH18">
    <cfRule type="cellIs" dxfId="5505" priority="1853" operator="equal">
      <formula>"-"</formula>
    </cfRule>
  </conditionalFormatting>
  <conditionalFormatting sqref="AH16:AH21">
    <cfRule type="cellIs" dxfId="5504" priority="1753" operator="lessThan">
      <formula>0</formula>
    </cfRule>
    <cfRule type="cellIs" dxfId="5503" priority="1754" operator="greaterThan">
      <formula>0</formula>
    </cfRule>
  </conditionalFormatting>
  <conditionalFormatting sqref="AH19:AH21">
    <cfRule type="cellIs" dxfId="5502" priority="1752" operator="equal">
      <formula>"-"</formula>
    </cfRule>
  </conditionalFormatting>
  <conditionalFormatting sqref="AH22">
    <cfRule type="colorScale" priority="1755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AH24:AH27">
    <cfRule type="cellIs" dxfId="5501" priority="1771" operator="equal">
      <formula>"-"</formula>
    </cfRule>
  </conditionalFormatting>
  <conditionalFormatting sqref="AH24:AH34">
    <cfRule type="cellIs" dxfId="5500" priority="1757" operator="lessThan">
      <formula>0</formula>
    </cfRule>
    <cfRule type="cellIs" dxfId="5499" priority="1758" operator="greaterThan">
      <formula>0</formula>
    </cfRule>
  </conditionalFormatting>
  <conditionalFormatting sqref="AH28:AH34">
    <cfRule type="cellIs" dxfId="5498" priority="1756" operator="equal">
      <formula>"-"</formula>
    </cfRule>
  </conditionalFormatting>
  <conditionalFormatting sqref="AH35">
    <cfRule type="colorScale" priority="1852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AH37:AH41">
    <cfRule type="cellIs" dxfId="5497" priority="1845" operator="equal">
      <formula>"-"</formula>
    </cfRule>
  </conditionalFormatting>
  <conditionalFormatting sqref="AH37:AH46">
    <cfRule type="cellIs" dxfId="5496" priority="1831" operator="lessThan">
      <formula>0</formula>
    </cfRule>
    <cfRule type="cellIs" dxfId="5495" priority="1832" operator="greaterThan">
      <formula>0</formula>
    </cfRule>
  </conditionalFormatting>
  <conditionalFormatting sqref="AH42:AH46">
    <cfRule type="cellIs" dxfId="5494" priority="1830" operator="equal">
      <formula>"-"</formula>
    </cfRule>
  </conditionalFormatting>
  <conditionalFormatting sqref="AH47">
    <cfRule type="colorScale" priority="1851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AH49:AH53 AH55:AH57">
    <cfRule type="cellIs" dxfId="5493" priority="1793" operator="equal">
      <formula>"-"</formula>
    </cfRule>
  </conditionalFormatting>
  <conditionalFormatting sqref="AH49:AH53 AH55:AH69">
    <cfRule type="cellIs" dxfId="5492" priority="1794" operator="lessThan">
      <formula>0</formula>
    </cfRule>
    <cfRule type="cellIs" dxfId="5491" priority="1795" operator="greaterThan">
      <formula>0</formula>
    </cfRule>
  </conditionalFormatting>
  <conditionalFormatting sqref="AH58:AH69">
    <cfRule type="cellIs" dxfId="5490" priority="1796" operator="equal">
      <formula>"-"</formula>
    </cfRule>
  </conditionalFormatting>
  <conditionalFormatting sqref="AH70">
    <cfRule type="colorScale" priority="1829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AH72:AH76">
    <cfRule type="cellIs" dxfId="5489" priority="1783" operator="equal">
      <formula>"-"</formula>
    </cfRule>
  </conditionalFormatting>
  <conditionalFormatting sqref="AH72:AH81">
    <cfRule type="cellIs" dxfId="5488" priority="1784" operator="lessThan">
      <formula>0</formula>
    </cfRule>
    <cfRule type="cellIs" dxfId="5487" priority="1785" operator="greaterThan">
      <formula>0</formula>
    </cfRule>
  </conditionalFormatting>
  <conditionalFormatting sqref="AH77:AH81">
    <cfRule type="cellIs" dxfId="5486" priority="1786" operator="equal">
      <formula>"-"</formula>
    </cfRule>
  </conditionalFormatting>
  <conditionalFormatting sqref="AH82">
    <cfRule type="colorScale" priority="1792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AH84:AH85">
    <cfRule type="cellIs" dxfId="5485" priority="1749" operator="equal">
      <formula>"-"</formula>
    </cfRule>
    <cfRule type="cellIs" dxfId="5484" priority="1750" operator="lessThan">
      <formula>0</formula>
    </cfRule>
    <cfRule type="cellIs" dxfId="5483" priority="1751" operator="greaterThan">
      <formula>0</formula>
    </cfRule>
  </conditionalFormatting>
  <conditionalFormatting sqref="AI2">
    <cfRule type="containsText" dxfId="5482" priority="1900" operator="containsText" text="NEUTRO">
      <formula>NOT(ISERROR(SEARCH("NEUTRO",AI2)))</formula>
    </cfRule>
    <cfRule type="containsText" dxfId="5481" priority="1901" operator="containsText" text="BULLISH">
      <formula>NOT(ISERROR(SEARCH("BULLISH",AI2)))</formula>
    </cfRule>
    <cfRule type="containsText" dxfId="5480" priority="1902" operator="containsText" text="BEARISH">
      <formula>NOT(ISERROR(SEARCH("BEARISH",AI2)))</formula>
    </cfRule>
    <cfRule type="containsBlanks" dxfId="5479" priority="1903">
      <formula>LEN(TRIM(AI2))=0</formula>
    </cfRule>
  </conditionalFormatting>
  <conditionalFormatting sqref="AI15">
    <cfRule type="containsText" dxfId="5478" priority="1895" operator="containsText" text="NEUTRO">
      <formula>NOT(ISERROR(SEARCH("NEUTRO",AI15)))</formula>
    </cfRule>
    <cfRule type="containsText" dxfId="5477" priority="1896" operator="containsText" text="BULLISH">
      <formula>NOT(ISERROR(SEARCH("BULLISH",AI15)))</formula>
    </cfRule>
    <cfRule type="containsText" dxfId="5476" priority="1897" operator="containsText" text="BEARISH">
      <formula>NOT(ISERROR(SEARCH("BEARISH",AI15)))</formula>
    </cfRule>
    <cfRule type="containsBlanks" dxfId="5475" priority="1898">
      <formula>LEN(TRIM(AI15))=0</formula>
    </cfRule>
  </conditionalFormatting>
  <conditionalFormatting sqref="AI23">
    <cfRule type="containsText" dxfId="5474" priority="1890" operator="containsText" text="NEUTRO">
      <formula>NOT(ISERROR(SEARCH("NEUTRO",AI23)))</formula>
    </cfRule>
    <cfRule type="containsText" dxfId="5473" priority="1891" operator="containsText" text="BULLISH">
      <formula>NOT(ISERROR(SEARCH("BULLISH",AI23)))</formula>
    </cfRule>
    <cfRule type="containsText" dxfId="5472" priority="1892" operator="containsText" text="BEARISH">
      <formula>NOT(ISERROR(SEARCH("BEARISH",AI23)))</formula>
    </cfRule>
    <cfRule type="containsBlanks" dxfId="5471" priority="1893">
      <formula>LEN(TRIM(AI23))=0</formula>
    </cfRule>
  </conditionalFormatting>
  <conditionalFormatting sqref="AI36">
    <cfRule type="containsText" dxfId="5470" priority="1885" operator="containsText" text="NEUTRO">
      <formula>NOT(ISERROR(SEARCH("NEUTRO",AI36)))</formula>
    </cfRule>
    <cfRule type="containsText" dxfId="5469" priority="1886" operator="containsText" text="BULLISH">
      <formula>NOT(ISERROR(SEARCH("BULLISH",AI36)))</formula>
    </cfRule>
    <cfRule type="containsText" dxfId="5468" priority="1887" operator="containsText" text="BEARISH">
      <formula>NOT(ISERROR(SEARCH("BEARISH",AI36)))</formula>
    </cfRule>
    <cfRule type="containsBlanks" dxfId="5467" priority="1888">
      <formula>LEN(TRIM(AI36))=0</formula>
    </cfRule>
  </conditionalFormatting>
  <conditionalFormatting sqref="AI48">
    <cfRule type="containsText" dxfId="5466" priority="1880" operator="containsText" text="NEUTRO">
      <formula>NOT(ISERROR(SEARCH("NEUTRO",AI48)))</formula>
    </cfRule>
    <cfRule type="containsText" dxfId="5465" priority="1881" operator="containsText" text="BULLISH">
      <formula>NOT(ISERROR(SEARCH("BULLISH",AI48)))</formula>
    </cfRule>
    <cfRule type="containsText" dxfId="5464" priority="1882" operator="containsText" text="BEARISH">
      <formula>NOT(ISERROR(SEARCH("BEARISH",AI48)))</formula>
    </cfRule>
    <cfRule type="containsBlanks" dxfId="5463" priority="1883">
      <formula>LEN(TRIM(AI48))=0</formula>
    </cfRule>
  </conditionalFormatting>
  <conditionalFormatting sqref="AI71">
    <cfRule type="containsText" dxfId="5462" priority="1876" operator="containsText" text="NEUTRO">
      <formula>NOT(ISERROR(SEARCH("NEUTRO",AI71)))</formula>
    </cfRule>
    <cfRule type="containsText" dxfId="5461" priority="1877" operator="containsText" text="BULLISH">
      <formula>NOT(ISERROR(SEARCH("BULLISH",AI71)))</formula>
    </cfRule>
    <cfRule type="containsText" dxfId="5460" priority="1878" operator="containsText" text="BEARISH">
      <formula>NOT(ISERROR(SEARCH("BEARISH",AI71)))</formula>
    </cfRule>
    <cfRule type="containsBlanks" dxfId="5459" priority="1879">
      <formula>LEN(TRIM(AI71))=0</formula>
    </cfRule>
  </conditionalFormatting>
  <conditionalFormatting sqref="AI83">
    <cfRule type="containsText" dxfId="5458" priority="1872" operator="containsText" text="NEUTRO">
      <formula>NOT(ISERROR(SEARCH("NEUTRO",AI83)))</formula>
    </cfRule>
    <cfRule type="containsText" dxfId="5457" priority="1873" operator="containsText" text="BULLISH">
      <formula>NOT(ISERROR(SEARCH("BULLISH",AI83)))</formula>
    </cfRule>
    <cfRule type="containsText" dxfId="5456" priority="1874" operator="containsText" text="BEARISH">
      <formula>NOT(ISERROR(SEARCH("BEARISH",AI83)))</formula>
    </cfRule>
    <cfRule type="containsBlanks" dxfId="5455" priority="1875">
      <formula>LEN(TRIM(AI83))=0</formula>
    </cfRule>
  </conditionalFormatting>
  <conditionalFormatting sqref="AK3:AK8">
    <cfRule type="cellIs" dxfId="5454" priority="2024" operator="equal">
      <formula>"-"</formula>
    </cfRule>
  </conditionalFormatting>
  <conditionalFormatting sqref="AK3:AK13">
    <cfRule type="cellIs" dxfId="5453" priority="2013" operator="lessThan">
      <formula>0</formula>
    </cfRule>
    <cfRule type="cellIs" dxfId="5452" priority="2014" operator="greaterThan">
      <formula>0</formula>
    </cfRule>
  </conditionalFormatting>
  <conditionalFormatting sqref="AK9:AK13">
    <cfRule type="cellIs" dxfId="5451" priority="2012" operator="equal">
      <formula>"-"</formula>
    </cfRule>
  </conditionalFormatting>
  <conditionalFormatting sqref="AK14">
    <cfRule type="colorScale" priority="2027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AK16:AK18">
    <cfRule type="cellIs" dxfId="5450" priority="2009" operator="equal">
      <formula>"-"</formula>
    </cfRule>
  </conditionalFormatting>
  <conditionalFormatting sqref="AK16:AK21">
    <cfRule type="cellIs" dxfId="5449" priority="1909" operator="lessThan">
      <formula>0</formula>
    </cfRule>
    <cfRule type="cellIs" dxfId="5448" priority="1910" operator="greaterThan">
      <formula>0</formula>
    </cfRule>
  </conditionalFormatting>
  <conditionalFormatting sqref="AK19:AK21">
    <cfRule type="cellIs" dxfId="5447" priority="1908" operator="equal">
      <formula>"-"</formula>
    </cfRule>
  </conditionalFormatting>
  <conditionalFormatting sqref="AK22">
    <cfRule type="colorScale" priority="1911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AK24:AK27">
    <cfRule type="cellIs" dxfId="5446" priority="1927" operator="equal">
      <formula>"-"</formula>
    </cfRule>
  </conditionalFormatting>
  <conditionalFormatting sqref="AK24:AK34">
    <cfRule type="cellIs" dxfId="5445" priority="1913" operator="lessThan">
      <formula>0</formula>
    </cfRule>
    <cfRule type="cellIs" dxfId="5444" priority="1914" operator="greaterThan">
      <formula>0</formula>
    </cfRule>
  </conditionalFormatting>
  <conditionalFormatting sqref="AK28:AK34">
    <cfRule type="cellIs" dxfId="5443" priority="1912" operator="equal">
      <formula>"-"</formula>
    </cfRule>
  </conditionalFormatting>
  <conditionalFormatting sqref="AK35">
    <cfRule type="colorScale" priority="2008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AK37:AK41">
    <cfRule type="cellIs" dxfId="5442" priority="2001" operator="equal">
      <formula>"-"</formula>
    </cfRule>
  </conditionalFormatting>
  <conditionalFormatting sqref="AK37:AK46">
    <cfRule type="cellIs" dxfId="5441" priority="1987" operator="lessThan">
      <formula>0</formula>
    </cfRule>
    <cfRule type="cellIs" dxfId="5440" priority="1988" operator="greaterThan">
      <formula>0</formula>
    </cfRule>
  </conditionalFormatting>
  <conditionalFormatting sqref="AK42:AK46">
    <cfRule type="cellIs" dxfId="5439" priority="1986" operator="equal">
      <formula>"-"</formula>
    </cfRule>
  </conditionalFormatting>
  <conditionalFormatting sqref="AK47">
    <cfRule type="colorScale" priority="2007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AK49:AK53 AK55:AK57">
    <cfRule type="cellIs" dxfId="5438" priority="1949" operator="equal">
      <formula>"-"</formula>
    </cfRule>
  </conditionalFormatting>
  <conditionalFormatting sqref="AK49:AK53 AK55:AK69">
    <cfRule type="cellIs" dxfId="5437" priority="1950" operator="lessThan">
      <formula>0</formula>
    </cfRule>
    <cfRule type="cellIs" dxfId="5436" priority="1951" operator="greaterThan">
      <formula>0</formula>
    </cfRule>
  </conditionalFormatting>
  <conditionalFormatting sqref="AK58:AK69">
    <cfRule type="cellIs" dxfId="5435" priority="1952" operator="equal">
      <formula>"-"</formula>
    </cfRule>
  </conditionalFormatting>
  <conditionalFormatting sqref="AK70">
    <cfRule type="colorScale" priority="1985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AK72:AK76">
    <cfRule type="cellIs" dxfId="5434" priority="1939" operator="equal">
      <formula>"-"</formula>
    </cfRule>
  </conditionalFormatting>
  <conditionalFormatting sqref="AK72:AK81">
    <cfRule type="cellIs" dxfId="5433" priority="1940" operator="lessThan">
      <formula>0</formula>
    </cfRule>
    <cfRule type="cellIs" dxfId="5432" priority="1941" operator="greaterThan">
      <formula>0</formula>
    </cfRule>
  </conditionalFormatting>
  <conditionalFormatting sqref="AK77:AK81">
    <cfRule type="cellIs" dxfId="5431" priority="1942" operator="equal">
      <formula>"-"</formula>
    </cfRule>
  </conditionalFormatting>
  <conditionalFormatting sqref="AK82">
    <cfRule type="colorScale" priority="1948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AK84:AK85">
    <cfRule type="cellIs" dxfId="5430" priority="1905" operator="equal">
      <formula>"-"</formula>
    </cfRule>
    <cfRule type="cellIs" dxfId="5429" priority="1906" operator="lessThan">
      <formula>0</formula>
    </cfRule>
    <cfRule type="cellIs" dxfId="5428" priority="1907" operator="greaterThan">
      <formula>0</formula>
    </cfRule>
  </conditionalFormatting>
  <conditionalFormatting sqref="AL2">
    <cfRule type="containsText" dxfId="5427" priority="2056" operator="containsText" text="NEUTRO">
      <formula>NOT(ISERROR(SEARCH("NEUTRO",AL2)))</formula>
    </cfRule>
    <cfRule type="containsText" dxfId="5426" priority="2057" operator="containsText" text="BULLISH">
      <formula>NOT(ISERROR(SEARCH("BULLISH",AL2)))</formula>
    </cfRule>
    <cfRule type="containsText" dxfId="5425" priority="2058" operator="containsText" text="BEARISH">
      <formula>NOT(ISERROR(SEARCH("BEARISH",AL2)))</formula>
    </cfRule>
    <cfRule type="containsBlanks" dxfId="5424" priority="2059">
      <formula>LEN(TRIM(AL2))=0</formula>
    </cfRule>
  </conditionalFormatting>
  <conditionalFormatting sqref="AL15">
    <cfRule type="containsText" dxfId="5423" priority="2051" operator="containsText" text="NEUTRO">
      <formula>NOT(ISERROR(SEARCH("NEUTRO",AL15)))</formula>
    </cfRule>
    <cfRule type="containsText" dxfId="5422" priority="2052" operator="containsText" text="BULLISH">
      <formula>NOT(ISERROR(SEARCH("BULLISH",AL15)))</formula>
    </cfRule>
    <cfRule type="containsText" dxfId="5421" priority="2053" operator="containsText" text="BEARISH">
      <formula>NOT(ISERROR(SEARCH("BEARISH",AL15)))</formula>
    </cfRule>
    <cfRule type="containsBlanks" dxfId="5420" priority="2054">
      <formula>LEN(TRIM(AL15))=0</formula>
    </cfRule>
  </conditionalFormatting>
  <conditionalFormatting sqref="AL23">
    <cfRule type="containsText" dxfId="5419" priority="2046" operator="containsText" text="NEUTRO">
      <formula>NOT(ISERROR(SEARCH("NEUTRO",AL23)))</formula>
    </cfRule>
    <cfRule type="containsText" dxfId="5418" priority="2047" operator="containsText" text="BULLISH">
      <formula>NOT(ISERROR(SEARCH("BULLISH",AL23)))</formula>
    </cfRule>
    <cfRule type="containsText" dxfId="5417" priority="2048" operator="containsText" text="BEARISH">
      <formula>NOT(ISERROR(SEARCH("BEARISH",AL23)))</formula>
    </cfRule>
    <cfRule type="containsBlanks" dxfId="5416" priority="2049">
      <formula>LEN(TRIM(AL23))=0</formula>
    </cfRule>
  </conditionalFormatting>
  <conditionalFormatting sqref="AL36">
    <cfRule type="containsText" dxfId="5415" priority="2041" operator="containsText" text="NEUTRO">
      <formula>NOT(ISERROR(SEARCH("NEUTRO",AL36)))</formula>
    </cfRule>
    <cfRule type="containsText" dxfId="5414" priority="2042" operator="containsText" text="BULLISH">
      <formula>NOT(ISERROR(SEARCH("BULLISH",AL36)))</formula>
    </cfRule>
    <cfRule type="containsText" dxfId="5413" priority="2043" operator="containsText" text="BEARISH">
      <formula>NOT(ISERROR(SEARCH("BEARISH",AL36)))</formula>
    </cfRule>
    <cfRule type="containsBlanks" dxfId="5412" priority="2044">
      <formula>LEN(TRIM(AL36))=0</formula>
    </cfRule>
  </conditionalFormatting>
  <conditionalFormatting sqref="AL48">
    <cfRule type="containsText" dxfId="5411" priority="2036" operator="containsText" text="NEUTRO">
      <formula>NOT(ISERROR(SEARCH("NEUTRO",AL48)))</formula>
    </cfRule>
    <cfRule type="containsText" dxfId="5410" priority="2037" operator="containsText" text="BULLISH">
      <formula>NOT(ISERROR(SEARCH("BULLISH",AL48)))</formula>
    </cfRule>
    <cfRule type="containsText" dxfId="5409" priority="2038" operator="containsText" text="BEARISH">
      <formula>NOT(ISERROR(SEARCH("BEARISH",AL48)))</formula>
    </cfRule>
    <cfRule type="containsBlanks" dxfId="5408" priority="2039">
      <formula>LEN(TRIM(AL48))=0</formula>
    </cfRule>
  </conditionalFormatting>
  <conditionalFormatting sqref="AL71">
    <cfRule type="containsText" dxfId="5407" priority="2032" operator="containsText" text="NEUTRO">
      <formula>NOT(ISERROR(SEARCH("NEUTRO",AL71)))</formula>
    </cfRule>
    <cfRule type="containsText" dxfId="5406" priority="2033" operator="containsText" text="BULLISH">
      <formula>NOT(ISERROR(SEARCH("BULLISH",AL71)))</formula>
    </cfRule>
    <cfRule type="containsText" dxfId="5405" priority="2034" operator="containsText" text="BEARISH">
      <formula>NOT(ISERROR(SEARCH("BEARISH",AL71)))</formula>
    </cfRule>
    <cfRule type="containsBlanks" dxfId="5404" priority="2035">
      <formula>LEN(TRIM(AL71))=0</formula>
    </cfRule>
  </conditionalFormatting>
  <conditionalFormatting sqref="AL83">
    <cfRule type="containsText" dxfId="5403" priority="2028" operator="containsText" text="NEUTRO">
      <formula>NOT(ISERROR(SEARCH("NEUTRO",AL83)))</formula>
    </cfRule>
    <cfRule type="containsText" dxfId="5402" priority="2029" operator="containsText" text="BULLISH">
      <formula>NOT(ISERROR(SEARCH("BULLISH",AL83)))</formula>
    </cfRule>
    <cfRule type="containsText" dxfId="5401" priority="2030" operator="containsText" text="BEARISH">
      <formula>NOT(ISERROR(SEARCH("BEARISH",AL83)))</formula>
    </cfRule>
    <cfRule type="containsBlanks" dxfId="5400" priority="2031">
      <formula>LEN(TRIM(AL83))=0</formula>
    </cfRule>
  </conditionalFormatting>
  <conditionalFormatting sqref="AN3:AN8">
    <cfRule type="cellIs" dxfId="5399" priority="2180" operator="equal">
      <formula>"-"</formula>
    </cfRule>
  </conditionalFormatting>
  <conditionalFormatting sqref="AN3:AN13">
    <cfRule type="cellIs" dxfId="5398" priority="2169" operator="lessThan">
      <formula>0</formula>
    </cfRule>
    <cfRule type="cellIs" dxfId="5397" priority="2170" operator="greaterThan">
      <formula>0</formula>
    </cfRule>
  </conditionalFormatting>
  <conditionalFormatting sqref="AN9:AN13">
    <cfRule type="cellIs" dxfId="5396" priority="2168" operator="equal">
      <formula>"-"</formula>
    </cfRule>
  </conditionalFormatting>
  <conditionalFormatting sqref="AN14">
    <cfRule type="colorScale" priority="2183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AN16:AN18">
    <cfRule type="cellIs" dxfId="5395" priority="2165" operator="equal">
      <formula>"-"</formula>
    </cfRule>
  </conditionalFormatting>
  <conditionalFormatting sqref="AN16:AN21">
    <cfRule type="cellIs" dxfId="5394" priority="2065" operator="lessThan">
      <formula>0</formula>
    </cfRule>
    <cfRule type="cellIs" dxfId="5393" priority="2066" operator="greaterThan">
      <formula>0</formula>
    </cfRule>
  </conditionalFormatting>
  <conditionalFormatting sqref="AN19:AN21">
    <cfRule type="cellIs" dxfId="5392" priority="2064" operator="equal">
      <formula>"-"</formula>
    </cfRule>
  </conditionalFormatting>
  <conditionalFormatting sqref="AN22">
    <cfRule type="colorScale" priority="2067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AN24:AN27">
    <cfRule type="cellIs" dxfId="5391" priority="2083" operator="equal">
      <formula>"-"</formula>
    </cfRule>
  </conditionalFormatting>
  <conditionalFormatting sqref="AN24:AN34">
    <cfRule type="cellIs" dxfId="5390" priority="2069" operator="lessThan">
      <formula>0</formula>
    </cfRule>
    <cfRule type="cellIs" dxfId="5389" priority="2070" operator="greaterThan">
      <formula>0</formula>
    </cfRule>
  </conditionalFormatting>
  <conditionalFormatting sqref="AN28:AN34">
    <cfRule type="cellIs" dxfId="5388" priority="2068" operator="equal">
      <formula>"-"</formula>
    </cfRule>
  </conditionalFormatting>
  <conditionalFormatting sqref="AN35">
    <cfRule type="colorScale" priority="2164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AN37:AN41">
    <cfRule type="cellIs" dxfId="5387" priority="2157" operator="equal">
      <formula>"-"</formula>
    </cfRule>
  </conditionalFormatting>
  <conditionalFormatting sqref="AN37:AN46">
    <cfRule type="cellIs" dxfId="5386" priority="2143" operator="lessThan">
      <formula>0</formula>
    </cfRule>
    <cfRule type="cellIs" dxfId="5385" priority="2144" operator="greaterThan">
      <formula>0</formula>
    </cfRule>
  </conditionalFormatting>
  <conditionalFormatting sqref="AN42:AN46">
    <cfRule type="cellIs" dxfId="5384" priority="2142" operator="equal">
      <formula>"-"</formula>
    </cfRule>
  </conditionalFormatting>
  <conditionalFormatting sqref="AN47">
    <cfRule type="colorScale" priority="2163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AN49:AN53 AN55:AN57">
    <cfRule type="cellIs" dxfId="5383" priority="2105" operator="equal">
      <formula>"-"</formula>
    </cfRule>
  </conditionalFormatting>
  <conditionalFormatting sqref="AN49:AN53 AN55:AN69">
    <cfRule type="cellIs" dxfId="5382" priority="2106" operator="lessThan">
      <formula>0</formula>
    </cfRule>
    <cfRule type="cellIs" dxfId="5381" priority="2107" operator="greaterThan">
      <formula>0</formula>
    </cfRule>
  </conditionalFormatting>
  <conditionalFormatting sqref="AN58:AN69">
    <cfRule type="cellIs" dxfId="5380" priority="2108" operator="equal">
      <formula>"-"</formula>
    </cfRule>
  </conditionalFormatting>
  <conditionalFormatting sqref="AN70">
    <cfRule type="colorScale" priority="2141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AN72:AN76">
    <cfRule type="cellIs" dxfId="5379" priority="2095" operator="equal">
      <formula>"-"</formula>
    </cfRule>
  </conditionalFormatting>
  <conditionalFormatting sqref="AN72:AN81">
    <cfRule type="cellIs" dxfId="5378" priority="2096" operator="lessThan">
      <formula>0</formula>
    </cfRule>
    <cfRule type="cellIs" dxfId="5377" priority="2097" operator="greaterThan">
      <formula>0</formula>
    </cfRule>
  </conditionalFormatting>
  <conditionalFormatting sqref="AN77:AN81">
    <cfRule type="cellIs" dxfId="5376" priority="2098" operator="equal">
      <formula>"-"</formula>
    </cfRule>
  </conditionalFormatting>
  <conditionalFormatting sqref="AN82">
    <cfRule type="colorScale" priority="2104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AN84:AN85">
    <cfRule type="cellIs" dxfId="5375" priority="2061" operator="equal">
      <formula>"-"</formula>
    </cfRule>
    <cfRule type="cellIs" dxfId="5374" priority="2062" operator="lessThan">
      <formula>0</formula>
    </cfRule>
    <cfRule type="cellIs" dxfId="5373" priority="2063" operator="greaterThan">
      <formula>0</formula>
    </cfRule>
  </conditionalFormatting>
  <conditionalFormatting sqref="AO2">
    <cfRule type="containsText" dxfId="5372" priority="2212" operator="containsText" text="NEUTRO">
      <formula>NOT(ISERROR(SEARCH("NEUTRO",AO2)))</formula>
    </cfRule>
    <cfRule type="containsText" dxfId="5371" priority="2213" operator="containsText" text="BULLISH">
      <formula>NOT(ISERROR(SEARCH("BULLISH",AO2)))</formula>
    </cfRule>
    <cfRule type="containsText" dxfId="5370" priority="2214" operator="containsText" text="BEARISH">
      <formula>NOT(ISERROR(SEARCH("BEARISH",AO2)))</formula>
    </cfRule>
    <cfRule type="containsBlanks" dxfId="5369" priority="2215">
      <formula>LEN(TRIM(AO2))=0</formula>
    </cfRule>
  </conditionalFormatting>
  <conditionalFormatting sqref="AO15">
    <cfRule type="containsText" dxfId="5368" priority="2207" operator="containsText" text="NEUTRO">
      <formula>NOT(ISERROR(SEARCH("NEUTRO",AO15)))</formula>
    </cfRule>
    <cfRule type="containsText" dxfId="5367" priority="2208" operator="containsText" text="BULLISH">
      <formula>NOT(ISERROR(SEARCH("BULLISH",AO15)))</formula>
    </cfRule>
    <cfRule type="containsText" dxfId="5366" priority="2209" operator="containsText" text="BEARISH">
      <formula>NOT(ISERROR(SEARCH("BEARISH",AO15)))</formula>
    </cfRule>
    <cfRule type="containsBlanks" dxfId="5365" priority="2210">
      <formula>LEN(TRIM(AO15))=0</formula>
    </cfRule>
  </conditionalFormatting>
  <conditionalFormatting sqref="AO23">
    <cfRule type="containsText" dxfId="5364" priority="2202" operator="containsText" text="NEUTRO">
      <formula>NOT(ISERROR(SEARCH("NEUTRO",AO23)))</formula>
    </cfRule>
    <cfRule type="containsText" dxfId="5363" priority="2203" operator="containsText" text="BULLISH">
      <formula>NOT(ISERROR(SEARCH("BULLISH",AO23)))</formula>
    </cfRule>
    <cfRule type="containsText" dxfId="5362" priority="2204" operator="containsText" text="BEARISH">
      <formula>NOT(ISERROR(SEARCH("BEARISH",AO23)))</formula>
    </cfRule>
    <cfRule type="containsBlanks" dxfId="5361" priority="2205">
      <formula>LEN(TRIM(AO23))=0</formula>
    </cfRule>
  </conditionalFormatting>
  <conditionalFormatting sqref="AO36">
    <cfRule type="containsText" dxfId="5360" priority="2197" operator="containsText" text="NEUTRO">
      <formula>NOT(ISERROR(SEARCH("NEUTRO",AO36)))</formula>
    </cfRule>
    <cfRule type="containsText" dxfId="5359" priority="2198" operator="containsText" text="BULLISH">
      <formula>NOT(ISERROR(SEARCH("BULLISH",AO36)))</formula>
    </cfRule>
    <cfRule type="containsText" dxfId="5358" priority="2199" operator="containsText" text="BEARISH">
      <formula>NOT(ISERROR(SEARCH("BEARISH",AO36)))</formula>
    </cfRule>
    <cfRule type="containsBlanks" dxfId="5357" priority="2200">
      <formula>LEN(TRIM(AO36))=0</formula>
    </cfRule>
  </conditionalFormatting>
  <conditionalFormatting sqref="AO48">
    <cfRule type="containsText" dxfId="5356" priority="2192" operator="containsText" text="NEUTRO">
      <formula>NOT(ISERROR(SEARCH("NEUTRO",AO48)))</formula>
    </cfRule>
    <cfRule type="containsText" dxfId="5355" priority="2193" operator="containsText" text="BULLISH">
      <formula>NOT(ISERROR(SEARCH("BULLISH",AO48)))</formula>
    </cfRule>
    <cfRule type="containsText" dxfId="5354" priority="2194" operator="containsText" text="BEARISH">
      <formula>NOT(ISERROR(SEARCH("BEARISH",AO48)))</formula>
    </cfRule>
    <cfRule type="containsBlanks" dxfId="5353" priority="2195">
      <formula>LEN(TRIM(AO48))=0</formula>
    </cfRule>
  </conditionalFormatting>
  <conditionalFormatting sqref="AO71">
    <cfRule type="containsText" dxfId="5352" priority="2188" operator="containsText" text="NEUTRO">
      <formula>NOT(ISERROR(SEARCH("NEUTRO",AO71)))</formula>
    </cfRule>
    <cfRule type="containsText" dxfId="5351" priority="2189" operator="containsText" text="BULLISH">
      <formula>NOT(ISERROR(SEARCH("BULLISH",AO71)))</formula>
    </cfRule>
    <cfRule type="containsText" dxfId="5350" priority="2190" operator="containsText" text="BEARISH">
      <formula>NOT(ISERROR(SEARCH("BEARISH",AO71)))</formula>
    </cfRule>
    <cfRule type="containsBlanks" dxfId="5349" priority="2191">
      <formula>LEN(TRIM(AO71))=0</formula>
    </cfRule>
  </conditionalFormatting>
  <conditionalFormatting sqref="AO83">
    <cfRule type="containsText" dxfId="5348" priority="2184" operator="containsText" text="NEUTRO">
      <formula>NOT(ISERROR(SEARCH("NEUTRO",AO83)))</formula>
    </cfRule>
    <cfRule type="containsText" dxfId="5347" priority="2185" operator="containsText" text="BULLISH">
      <formula>NOT(ISERROR(SEARCH("BULLISH",AO83)))</formula>
    </cfRule>
    <cfRule type="containsText" dxfId="5346" priority="2186" operator="containsText" text="BEARISH">
      <formula>NOT(ISERROR(SEARCH("BEARISH",AO83)))</formula>
    </cfRule>
    <cfRule type="containsBlanks" dxfId="5345" priority="2187">
      <formula>LEN(TRIM(AO83))=0</formula>
    </cfRule>
  </conditionalFormatting>
  <conditionalFormatting sqref="AQ3:AQ8">
    <cfRule type="cellIs" dxfId="5344" priority="2336" operator="equal">
      <formula>"-"</formula>
    </cfRule>
  </conditionalFormatting>
  <conditionalFormatting sqref="AQ3:AQ13">
    <cfRule type="cellIs" dxfId="5343" priority="2325" operator="lessThan">
      <formula>0</formula>
    </cfRule>
    <cfRule type="cellIs" dxfId="5342" priority="2326" operator="greaterThan">
      <formula>0</formula>
    </cfRule>
  </conditionalFormatting>
  <conditionalFormatting sqref="AQ9:AQ13">
    <cfRule type="cellIs" dxfId="5341" priority="2324" operator="equal">
      <formula>"-"</formula>
    </cfRule>
  </conditionalFormatting>
  <conditionalFormatting sqref="AQ14">
    <cfRule type="colorScale" priority="2339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AQ16:AQ18">
    <cfRule type="cellIs" dxfId="5340" priority="2321" operator="equal">
      <formula>"-"</formula>
    </cfRule>
  </conditionalFormatting>
  <conditionalFormatting sqref="AQ16:AQ21">
    <cfRule type="cellIs" dxfId="5339" priority="2221" operator="lessThan">
      <formula>0</formula>
    </cfRule>
    <cfRule type="cellIs" dxfId="5338" priority="2222" operator="greaterThan">
      <formula>0</formula>
    </cfRule>
  </conditionalFormatting>
  <conditionalFormatting sqref="AQ19:AQ21">
    <cfRule type="cellIs" dxfId="5337" priority="2220" operator="equal">
      <formula>"-"</formula>
    </cfRule>
  </conditionalFormatting>
  <conditionalFormatting sqref="AQ22">
    <cfRule type="colorScale" priority="2223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AQ24:AQ27">
    <cfRule type="cellIs" dxfId="5336" priority="2239" operator="equal">
      <formula>"-"</formula>
    </cfRule>
  </conditionalFormatting>
  <conditionalFormatting sqref="AQ24:AQ34">
    <cfRule type="cellIs" dxfId="5335" priority="2225" operator="lessThan">
      <formula>0</formula>
    </cfRule>
    <cfRule type="cellIs" dxfId="5334" priority="2226" operator="greaterThan">
      <formula>0</formula>
    </cfRule>
  </conditionalFormatting>
  <conditionalFormatting sqref="AQ28:AQ34">
    <cfRule type="cellIs" dxfId="5333" priority="2224" operator="equal">
      <formula>"-"</formula>
    </cfRule>
  </conditionalFormatting>
  <conditionalFormatting sqref="AQ35">
    <cfRule type="colorScale" priority="2320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AQ37:AQ41">
    <cfRule type="cellIs" dxfId="5332" priority="2313" operator="equal">
      <formula>"-"</formula>
    </cfRule>
  </conditionalFormatting>
  <conditionalFormatting sqref="AQ37:AQ46">
    <cfRule type="cellIs" dxfId="5331" priority="2299" operator="lessThan">
      <formula>0</formula>
    </cfRule>
    <cfRule type="cellIs" dxfId="5330" priority="2300" operator="greaterThan">
      <formula>0</formula>
    </cfRule>
  </conditionalFormatting>
  <conditionalFormatting sqref="AQ42:AQ46">
    <cfRule type="cellIs" dxfId="5329" priority="2298" operator="equal">
      <formula>"-"</formula>
    </cfRule>
  </conditionalFormatting>
  <conditionalFormatting sqref="AQ47">
    <cfRule type="colorScale" priority="2319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AQ49:AQ53 AQ55:AQ57">
    <cfRule type="cellIs" dxfId="5328" priority="2261" operator="equal">
      <formula>"-"</formula>
    </cfRule>
  </conditionalFormatting>
  <conditionalFormatting sqref="AQ49:AQ53 AQ55:AQ69">
    <cfRule type="cellIs" dxfId="5327" priority="2262" operator="lessThan">
      <formula>0</formula>
    </cfRule>
    <cfRule type="cellIs" dxfId="5326" priority="2263" operator="greaterThan">
      <formula>0</formula>
    </cfRule>
  </conditionalFormatting>
  <conditionalFormatting sqref="AQ58:AQ69">
    <cfRule type="cellIs" dxfId="5325" priority="2264" operator="equal">
      <formula>"-"</formula>
    </cfRule>
  </conditionalFormatting>
  <conditionalFormatting sqref="AQ70">
    <cfRule type="colorScale" priority="2297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AQ72:AQ76">
    <cfRule type="cellIs" dxfId="5324" priority="2251" operator="equal">
      <formula>"-"</formula>
    </cfRule>
  </conditionalFormatting>
  <conditionalFormatting sqref="AQ72:AQ81">
    <cfRule type="cellIs" dxfId="5323" priority="2252" operator="lessThan">
      <formula>0</formula>
    </cfRule>
    <cfRule type="cellIs" dxfId="5322" priority="2253" operator="greaterThan">
      <formula>0</formula>
    </cfRule>
  </conditionalFormatting>
  <conditionalFormatting sqref="AQ77:AQ81">
    <cfRule type="cellIs" dxfId="5321" priority="2254" operator="equal">
      <formula>"-"</formula>
    </cfRule>
  </conditionalFormatting>
  <conditionalFormatting sqref="AQ82">
    <cfRule type="colorScale" priority="2260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AQ84:AQ85">
    <cfRule type="cellIs" dxfId="5320" priority="2217" operator="equal">
      <formula>"-"</formula>
    </cfRule>
    <cfRule type="cellIs" dxfId="5319" priority="2218" operator="lessThan">
      <formula>0</formula>
    </cfRule>
    <cfRule type="cellIs" dxfId="5318" priority="2219" operator="greaterThan">
      <formula>0</formula>
    </cfRule>
  </conditionalFormatting>
  <conditionalFormatting sqref="AR2 AU2 AX2">
    <cfRule type="containsText" dxfId="5317" priority="2671" operator="containsText" text="NEUTRO">
      <formula>NOT(ISERROR(SEARCH("NEUTRO",AR2)))</formula>
    </cfRule>
    <cfRule type="containsText" dxfId="5316" priority="2672" operator="containsText" text="BULLISH">
      <formula>NOT(ISERROR(SEARCH("BULLISH",AR2)))</formula>
    </cfRule>
    <cfRule type="containsText" dxfId="5315" priority="2673" operator="containsText" text="BEARISH">
      <formula>NOT(ISERROR(SEARCH("BEARISH",AR2)))</formula>
    </cfRule>
    <cfRule type="containsBlanks" dxfId="5314" priority="2674">
      <formula>LEN(TRIM(AR2))=0</formula>
    </cfRule>
  </conditionalFormatting>
  <conditionalFormatting sqref="AR15">
    <cfRule type="containsText" dxfId="5313" priority="2363" operator="containsText" text="NEUTRO">
      <formula>NOT(ISERROR(SEARCH("NEUTRO",AR15)))</formula>
    </cfRule>
    <cfRule type="containsText" dxfId="5312" priority="2364" operator="containsText" text="BULLISH">
      <formula>NOT(ISERROR(SEARCH("BULLISH",AR15)))</formula>
    </cfRule>
    <cfRule type="containsText" dxfId="5311" priority="2365" operator="containsText" text="BEARISH">
      <formula>NOT(ISERROR(SEARCH("BEARISH",AR15)))</formula>
    </cfRule>
    <cfRule type="containsBlanks" dxfId="5310" priority="2366">
      <formula>LEN(TRIM(AR15))=0</formula>
    </cfRule>
  </conditionalFormatting>
  <conditionalFormatting sqref="AR23">
    <cfRule type="containsText" dxfId="5309" priority="2358" operator="containsText" text="NEUTRO">
      <formula>NOT(ISERROR(SEARCH("NEUTRO",AR23)))</formula>
    </cfRule>
    <cfRule type="containsText" dxfId="5308" priority="2359" operator="containsText" text="BULLISH">
      <formula>NOT(ISERROR(SEARCH("BULLISH",AR23)))</formula>
    </cfRule>
    <cfRule type="containsText" dxfId="5307" priority="2360" operator="containsText" text="BEARISH">
      <formula>NOT(ISERROR(SEARCH("BEARISH",AR23)))</formula>
    </cfRule>
    <cfRule type="containsBlanks" dxfId="5306" priority="2361">
      <formula>LEN(TRIM(AR23))=0</formula>
    </cfRule>
  </conditionalFormatting>
  <conditionalFormatting sqref="AR36">
    <cfRule type="containsText" dxfId="5305" priority="2353" operator="containsText" text="NEUTRO">
      <formula>NOT(ISERROR(SEARCH("NEUTRO",AR36)))</formula>
    </cfRule>
    <cfRule type="containsText" dxfId="5304" priority="2354" operator="containsText" text="BULLISH">
      <formula>NOT(ISERROR(SEARCH("BULLISH",AR36)))</formula>
    </cfRule>
    <cfRule type="containsText" dxfId="5303" priority="2355" operator="containsText" text="BEARISH">
      <formula>NOT(ISERROR(SEARCH("BEARISH",AR36)))</formula>
    </cfRule>
    <cfRule type="containsBlanks" dxfId="5302" priority="2356">
      <formula>LEN(TRIM(AR36))=0</formula>
    </cfRule>
  </conditionalFormatting>
  <conditionalFormatting sqref="AR48">
    <cfRule type="containsText" dxfId="5301" priority="2348" operator="containsText" text="NEUTRO">
      <formula>NOT(ISERROR(SEARCH("NEUTRO",AR48)))</formula>
    </cfRule>
    <cfRule type="containsText" dxfId="5300" priority="2349" operator="containsText" text="BULLISH">
      <formula>NOT(ISERROR(SEARCH("BULLISH",AR48)))</formula>
    </cfRule>
    <cfRule type="containsText" dxfId="5299" priority="2350" operator="containsText" text="BEARISH">
      <formula>NOT(ISERROR(SEARCH("BEARISH",AR48)))</formula>
    </cfRule>
    <cfRule type="containsBlanks" dxfId="5298" priority="2351">
      <formula>LEN(TRIM(AR48))=0</formula>
    </cfRule>
  </conditionalFormatting>
  <conditionalFormatting sqref="AR71">
    <cfRule type="containsText" dxfId="5297" priority="2344" operator="containsText" text="NEUTRO">
      <formula>NOT(ISERROR(SEARCH("NEUTRO",AR71)))</formula>
    </cfRule>
    <cfRule type="containsText" dxfId="5296" priority="2345" operator="containsText" text="BULLISH">
      <formula>NOT(ISERROR(SEARCH("BULLISH",AR71)))</formula>
    </cfRule>
    <cfRule type="containsText" dxfId="5295" priority="2346" operator="containsText" text="BEARISH">
      <formula>NOT(ISERROR(SEARCH("BEARISH",AR71)))</formula>
    </cfRule>
    <cfRule type="containsBlanks" dxfId="5294" priority="2347">
      <formula>LEN(TRIM(AR71))=0</formula>
    </cfRule>
  </conditionalFormatting>
  <conditionalFormatting sqref="AR83">
    <cfRule type="containsText" dxfId="5293" priority="2340" operator="containsText" text="NEUTRO">
      <formula>NOT(ISERROR(SEARCH("NEUTRO",AR83)))</formula>
    </cfRule>
    <cfRule type="containsText" dxfId="5292" priority="2341" operator="containsText" text="BULLISH">
      <formula>NOT(ISERROR(SEARCH("BULLISH",AR83)))</formula>
    </cfRule>
    <cfRule type="containsText" dxfId="5291" priority="2342" operator="containsText" text="BEARISH">
      <formula>NOT(ISERROR(SEARCH("BEARISH",AR83)))</formula>
    </cfRule>
    <cfRule type="containsBlanks" dxfId="5290" priority="2343">
      <formula>LEN(TRIM(AR83))=0</formula>
    </cfRule>
  </conditionalFormatting>
  <conditionalFormatting sqref="AT3:AT8">
    <cfRule type="cellIs" dxfId="5289" priority="2487" operator="equal">
      <formula>"-"</formula>
    </cfRule>
  </conditionalFormatting>
  <conditionalFormatting sqref="AT3:AT13">
    <cfRule type="cellIs" dxfId="5288" priority="2476" operator="lessThan">
      <formula>0</formula>
    </cfRule>
    <cfRule type="cellIs" dxfId="5287" priority="2477" operator="greaterThan">
      <formula>0</formula>
    </cfRule>
  </conditionalFormatting>
  <conditionalFormatting sqref="AT9:AT13">
    <cfRule type="cellIs" dxfId="5286" priority="2475" operator="equal">
      <formula>"-"</formula>
    </cfRule>
  </conditionalFormatting>
  <conditionalFormatting sqref="AT14">
    <cfRule type="colorScale" priority="2490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AT16:AT18">
    <cfRule type="cellIs" dxfId="5285" priority="2472" operator="equal">
      <formula>"-"</formula>
    </cfRule>
  </conditionalFormatting>
  <conditionalFormatting sqref="AT16:AT21">
    <cfRule type="cellIs" dxfId="5284" priority="2372" operator="lessThan">
      <formula>0</formula>
    </cfRule>
    <cfRule type="cellIs" dxfId="5283" priority="2373" operator="greaterThan">
      <formula>0</formula>
    </cfRule>
  </conditionalFormatting>
  <conditionalFormatting sqref="AT19:AT21">
    <cfRule type="cellIs" dxfId="5282" priority="2371" operator="equal">
      <formula>"-"</formula>
    </cfRule>
  </conditionalFormatting>
  <conditionalFormatting sqref="AT22">
    <cfRule type="colorScale" priority="2374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AT24:AT27">
    <cfRule type="cellIs" dxfId="5281" priority="2390" operator="equal">
      <formula>"-"</formula>
    </cfRule>
  </conditionalFormatting>
  <conditionalFormatting sqref="AT24:AT34">
    <cfRule type="cellIs" dxfId="5280" priority="2376" operator="lessThan">
      <formula>0</formula>
    </cfRule>
    <cfRule type="cellIs" dxfId="5279" priority="2377" operator="greaterThan">
      <formula>0</formula>
    </cfRule>
  </conditionalFormatting>
  <conditionalFormatting sqref="AT28:AT34">
    <cfRule type="cellIs" dxfId="5278" priority="2375" operator="equal">
      <formula>"-"</formula>
    </cfRule>
  </conditionalFormatting>
  <conditionalFormatting sqref="AT35">
    <cfRule type="colorScale" priority="2471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AT37:AT41">
    <cfRule type="cellIs" dxfId="5277" priority="2464" operator="equal">
      <formula>"-"</formula>
    </cfRule>
  </conditionalFormatting>
  <conditionalFormatting sqref="AT37:AT46">
    <cfRule type="cellIs" dxfId="5276" priority="2450" operator="lessThan">
      <formula>0</formula>
    </cfRule>
    <cfRule type="cellIs" dxfId="5275" priority="2451" operator="greaterThan">
      <formula>0</formula>
    </cfRule>
  </conditionalFormatting>
  <conditionalFormatting sqref="AT42:AT46">
    <cfRule type="cellIs" dxfId="5274" priority="2449" operator="equal">
      <formula>"-"</formula>
    </cfRule>
  </conditionalFormatting>
  <conditionalFormatting sqref="AT47">
    <cfRule type="colorScale" priority="2470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AT49:AT53 AT55:AT57">
    <cfRule type="cellIs" dxfId="5273" priority="2412" operator="equal">
      <formula>"-"</formula>
    </cfRule>
  </conditionalFormatting>
  <conditionalFormatting sqref="AT49:AT53 AT55:AT69">
    <cfRule type="cellIs" dxfId="5272" priority="2413" operator="lessThan">
      <formula>0</formula>
    </cfRule>
    <cfRule type="cellIs" dxfId="5271" priority="2414" operator="greaterThan">
      <formula>0</formula>
    </cfRule>
  </conditionalFormatting>
  <conditionalFormatting sqref="AT58:AT69">
    <cfRule type="cellIs" dxfId="5270" priority="2415" operator="equal">
      <formula>"-"</formula>
    </cfRule>
  </conditionalFormatting>
  <conditionalFormatting sqref="AT70">
    <cfRule type="colorScale" priority="2448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AT72:AT76">
    <cfRule type="cellIs" dxfId="5269" priority="2402" operator="equal">
      <formula>"-"</formula>
    </cfRule>
  </conditionalFormatting>
  <conditionalFormatting sqref="AT72:AT81">
    <cfRule type="cellIs" dxfId="5268" priority="2403" operator="lessThan">
      <formula>0</formula>
    </cfRule>
    <cfRule type="cellIs" dxfId="5267" priority="2404" operator="greaterThan">
      <formula>0</formula>
    </cfRule>
  </conditionalFormatting>
  <conditionalFormatting sqref="AT77:AT81">
    <cfRule type="cellIs" dxfId="5266" priority="2405" operator="equal">
      <formula>"-"</formula>
    </cfRule>
  </conditionalFormatting>
  <conditionalFormatting sqref="AT82">
    <cfRule type="colorScale" priority="2411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AT84:AT85">
    <cfRule type="cellIs" dxfId="5265" priority="2368" operator="equal">
      <formula>"-"</formula>
    </cfRule>
    <cfRule type="cellIs" dxfId="5264" priority="2369" operator="lessThan">
      <formula>0</formula>
    </cfRule>
    <cfRule type="cellIs" dxfId="5263" priority="2370" operator="greaterThan">
      <formula>0</formula>
    </cfRule>
  </conditionalFormatting>
  <conditionalFormatting sqref="AU15 AX15">
    <cfRule type="containsText" dxfId="5262" priority="2667" operator="containsText" text="NEUTRO">
      <formula>NOT(ISERROR(SEARCH("NEUTRO",AU15)))</formula>
    </cfRule>
    <cfRule type="containsText" dxfId="5261" priority="2668" operator="containsText" text="BULLISH">
      <formula>NOT(ISERROR(SEARCH("BULLISH",AU15)))</formula>
    </cfRule>
    <cfRule type="containsText" dxfId="5260" priority="2669" operator="containsText" text="BEARISH">
      <formula>NOT(ISERROR(SEARCH("BEARISH",AU15)))</formula>
    </cfRule>
    <cfRule type="containsBlanks" dxfId="5259" priority="2670">
      <formula>LEN(TRIM(AU15))=0</formula>
    </cfRule>
  </conditionalFormatting>
  <conditionalFormatting sqref="AU23 AX23">
    <cfRule type="containsText" dxfId="5258" priority="2621" operator="containsText" text="NEUTRO">
      <formula>NOT(ISERROR(SEARCH("NEUTRO",AU23)))</formula>
    </cfRule>
    <cfRule type="containsText" dxfId="5257" priority="2622" operator="containsText" text="BULLISH">
      <formula>NOT(ISERROR(SEARCH("BULLISH",AU23)))</formula>
    </cfRule>
    <cfRule type="containsText" dxfId="5256" priority="2623" operator="containsText" text="BEARISH">
      <formula>NOT(ISERROR(SEARCH("BEARISH",AU23)))</formula>
    </cfRule>
    <cfRule type="containsBlanks" dxfId="5255" priority="2624">
      <formula>LEN(TRIM(AU23))=0</formula>
    </cfRule>
  </conditionalFormatting>
  <conditionalFormatting sqref="AU36 AX36">
    <cfRule type="containsText" dxfId="5254" priority="2663" operator="containsText" text="NEUTRO">
      <formula>NOT(ISERROR(SEARCH("NEUTRO",AU36)))</formula>
    </cfRule>
    <cfRule type="containsText" dxfId="5253" priority="2664" operator="containsText" text="BULLISH">
      <formula>NOT(ISERROR(SEARCH("BULLISH",AU36)))</formula>
    </cfRule>
    <cfRule type="containsText" dxfId="5252" priority="2665" operator="containsText" text="BEARISH">
      <formula>NOT(ISERROR(SEARCH("BEARISH",AU36)))</formula>
    </cfRule>
    <cfRule type="containsBlanks" dxfId="5251" priority="2666">
      <formula>LEN(TRIM(AU36))=0</formula>
    </cfRule>
  </conditionalFormatting>
  <conditionalFormatting sqref="AU48 AX48">
    <cfRule type="containsText" dxfId="5250" priority="2659" operator="containsText" text="NEUTRO">
      <formula>NOT(ISERROR(SEARCH("NEUTRO",AU48)))</formula>
    </cfRule>
    <cfRule type="containsText" dxfId="5249" priority="2660" operator="containsText" text="BULLISH">
      <formula>NOT(ISERROR(SEARCH("BULLISH",AU48)))</formula>
    </cfRule>
    <cfRule type="containsText" dxfId="5248" priority="2661" operator="containsText" text="BEARISH">
      <formula>NOT(ISERROR(SEARCH("BEARISH",AU48)))</formula>
    </cfRule>
    <cfRule type="containsBlanks" dxfId="5247" priority="2662">
      <formula>LEN(TRIM(AU48))=0</formula>
    </cfRule>
  </conditionalFormatting>
  <conditionalFormatting sqref="AU71 AX71">
    <cfRule type="containsText" dxfId="5246" priority="2656" operator="containsText" text="NEUTRO">
      <formula>NOT(ISERROR(SEARCH("NEUTRO",AU71)))</formula>
    </cfRule>
    <cfRule type="containsText" dxfId="5245" priority="2657" operator="containsText" text="BULLISH">
      <formula>NOT(ISERROR(SEARCH("BULLISH",AU71)))</formula>
    </cfRule>
    <cfRule type="containsText" dxfId="5244" priority="2658" operator="containsText" text="BEARISH">
      <formula>NOT(ISERROR(SEARCH("BEARISH",AU71)))</formula>
    </cfRule>
    <cfRule type="containsBlanks" dxfId="5243" priority="2765">
      <formula>LEN(TRIM(AU71))=0</formula>
    </cfRule>
  </conditionalFormatting>
  <conditionalFormatting sqref="AU83 AX83">
    <cfRule type="containsText" dxfId="5242" priority="2652" operator="containsText" text="NEUTRO">
      <formula>NOT(ISERROR(SEARCH("NEUTRO",AU83)))</formula>
    </cfRule>
    <cfRule type="containsText" dxfId="5241" priority="2653" operator="containsText" text="BULLISH">
      <formula>NOT(ISERROR(SEARCH("BULLISH",AU83)))</formula>
    </cfRule>
    <cfRule type="containsText" dxfId="5240" priority="2654" operator="containsText" text="BEARISH">
      <formula>NOT(ISERROR(SEARCH("BEARISH",AU83)))</formula>
    </cfRule>
    <cfRule type="containsBlanks" dxfId="5239" priority="2655">
      <formula>LEN(TRIM(AU83))=0</formula>
    </cfRule>
  </conditionalFormatting>
  <conditionalFormatting sqref="AW3:AW8">
    <cfRule type="cellIs" dxfId="5238" priority="2760" operator="equal">
      <formula>"-"</formula>
    </cfRule>
  </conditionalFormatting>
  <conditionalFormatting sqref="AW3:AW13">
    <cfRule type="cellIs" dxfId="5237" priority="2749" operator="lessThan">
      <formula>0</formula>
    </cfRule>
    <cfRule type="cellIs" dxfId="5236" priority="2750" operator="greaterThan">
      <formula>0</formula>
    </cfRule>
  </conditionalFormatting>
  <conditionalFormatting sqref="AW9:AW13">
    <cfRule type="cellIs" dxfId="5235" priority="2748" operator="equal">
      <formula>"-"</formula>
    </cfRule>
  </conditionalFormatting>
  <conditionalFormatting sqref="AW14">
    <cfRule type="colorScale" priority="2763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AW16:AW18">
    <cfRule type="cellIs" dxfId="5234" priority="2745" operator="equal">
      <formula>"-"</formula>
    </cfRule>
  </conditionalFormatting>
  <conditionalFormatting sqref="AW16:AW21">
    <cfRule type="cellIs" dxfId="5233" priority="2618" operator="lessThan">
      <formula>0</formula>
    </cfRule>
    <cfRule type="cellIs" dxfId="5232" priority="2619" operator="greaterThan">
      <formula>0</formula>
    </cfRule>
  </conditionalFormatting>
  <conditionalFormatting sqref="AW19:AW21">
    <cfRule type="cellIs" dxfId="5231" priority="2617" operator="equal">
      <formula>"-"</formula>
    </cfRule>
  </conditionalFormatting>
  <conditionalFormatting sqref="AW22">
    <cfRule type="colorScale" priority="2620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AW24:AW27">
    <cfRule type="cellIs" dxfId="5230" priority="2640" operator="equal">
      <formula>"-"</formula>
    </cfRule>
  </conditionalFormatting>
  <conditionalFormatting sqref="AW24:AW34">
    <cfRule type="cellIs" dxfId="5229" priority="2626" operator="lessThan">
      <formula>0</formula>
    </cfRule>
    <cfRule type="cellIs" dxfId="5228" priority="2627" operator="greaterThan">
      <formula>0</formula>
    </cfRule>
  </conditionalFormatting>
  <conditionalFormatting sqref="AW28:AW34">
    <cfRule type="cellIs" dxfId="5227" priority="2625" operator="equal">
      <formula>"-"</formula>
    </cfRule>
  </conditionalFormatting>
  <conditionalFormatting sqref="AW35">
    <cfRule type="colorScale" priority="2744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AW37:AW41">
    <cfRule type="cellIs" dxfId="5226" priority="2737" operator="equal">
      <formula>"-"</formula>
    </cfRule>
  </conditionalFormatting>
  <conditionalFormatting sqref="AW37:AW46">
    <cfRule type="cellIs" dxfId="5225" priority="2723" operator="lessThan">
      <formula>0</formula>
    </cfRule>
    <cfRule type="cellIs" dxfId="5224" priority="2724" operator="greaterThan">
      <formula>0</formula>
    </cfRule>
  </conditionalFormatting>
  <conditionalFormatting sqref="AW42:AW46">
    <cfRule type="cellIs" dxfId="5223" priority="2722" operator="equal">
      <formula>"-"</formula>
    </cfRule>
  </conditionalFormatting>
  <conditionalFormatting sqref="AW47">
    <cfRule type="colorScale" priority="2743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AW49:AW53 AW55:AW57">
    <cfRule type="cellIs" dxfId="5222" priority="2685" operator="equal">
      <formula>"-"</formula>
    </cfRule>
  </conditionalFormatting>
  <conditionalFormatting sqref="AW49:AW53 AW55:AW69">
    <cfRule type="cellIs" dxfId="5221" priority="2686" operator="lessThan">
      <formula>0</formula>
    </cfRule>
    <cfRule type="cellIs" dxfId="5220" priority="2687" operator="greaterThan">
      <formula>0</formula>
    </cfRule>
  </conditionalFormatting>
  <conditionalFormatting sqref="AW58:AW69">
    <cfRule type="cellIs" dxfId="5219" priority="2688" operator="equal">
      <formula>"-"</formula>
    </cfRule>
  </conditionalFormatting>
  <conditionalFormatting sqref="AW70">
    <cfRule type="colorScale" priority="2721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AW72:AW76">
    <cfRule type="cellIs" dxfId="5218" priority="2675" operator="equal">
      <formula>"-"</formula>
    </cfRule>
  </conditionalFormatting>
  <conditionalFormatting sqref="AW72:AW81">
    <cfRule type="cellIs" dxfId="5217" priority="2676" operator="lessThan">
      <formula>0</formula>
    </cfRule>
    <cfRule type="cellIs" dxfId="5216" priority="2677" operator="greaterThan">
      <formula>0</formula>
    </cfRule>
  </conditionalFormatting>
  <conditionalFormatting sqref="AW77:AW81">
    <cfRule type="cellIs" dxfId="5215" priority="2678" operator="equal">
      <formula>"-"</formula>
    </cfRule>
  </conditionalFormatting>
  <conditionalFormatting sqref="AW82">
    <cfRule type="colorScale" priority="2684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AW84:AW85">
    <cfRule type="cellIs" dxfId="5214" priority="2614" operator="equal">
      <formula>"-"</formula>
    </cfRule>
    <cfRule type="cellIs" dxfId="5213" priority="2615" operator="lessThan">
      <formula>0</formula>
    </cfRule>
    <cfRule type="cellIs" dxfId="5212" priority="2616" operator="greaterThan">
      <formula>0</formula>
    </cfRule>
  </conditionalFormatting>
  <conditionalFormatting sqref="AZ3:AZ8">
    <cfRule type="cellIs" dxfId="5211" priority="2558" operator="equal">
      <formula>"-"</formula>
    </cfRule>
  </conditionalFormatting>
  <conditionalFormatting sqref="AZ3:AZ13">
    <cfRule type="cellIs" dxfId="5210" priority="2559" operator="lessThan">
      <formula>0</formula>
    </cfRule>
    <cfRule type="cellIs" dxfId="5209" priority="2560" operator="greaterThan">
      <formula>0</formula>
    </cfRule>
  </conditionalFormatting>
  <conditionalFormatting sqref="AZ9:AZ13">
    <cfRule type="cellIs" dxfId="5208" priority="2601" operator="equal">
      <formula>"-"</formula>
    </cfRule>
  </conditionalFormatting>
  <conditionalFormatting sqref="AZ14">
    <cfRule type="colorScale" priority="2613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AZ16:AZ18">
    <cfRule type="cellIs" dxfId="5207" priority="2555" operator="equal">
      <formula>"-"</formula>
    </cfRule>
  </conditionalFormatting>
  <conditionalFormatting sqref="AZ16:AZ21">
    <cfRule type="cellIs" dxfId="5206" priority="2556" operator="lessThan">
      <formula>0</formula>
    </cfRule>
    <cfRule type="cellIs" dxfId="5205" priority="2557" operator="greaterThan">
      <formula>0</formula>
    </cfRule>
  </conditionalFormatting>
  <conditionalFormatting sqref="AZ19:AZ21">
    <cfRule type="cellIs" dxfId="5204" priority="2597" operator="equal">
      <formula>"-"</formula>
    </cfRule>
  </conditionalFormatting>
  <conditionalFormatting sqref="AZ22">
    <cfRule type="colorScale" priority="2600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AZ24:AZ27">
    <cfRule type="cellIs" dxfId="5203" priority="2543" operator="equal">
      <formula>"-"</formula>
    </cfRule>
  </conditionalFormatting>
  <conditionalFormatting sqref="AZ24:AZ34">
    <cfRule type="cellIs" dxfId="5202" priority="2529" operator="lessThan">
      <formula>0</formula>
    </cfRule>
    <cfRule type="cellIs" dxfId="5201" priority="2530" operator="greaterThan">
      <formula>0</formula>
    </cfRule>
  </conditionalFormatting>
  <conditionalFormatting sqref="AZ28:AZ34">
    <cfRule type="cellIs" dxfId="5200" priority="2528" operator="equal">
      <formula>"-"</formula>
    </cfRule>
  </conditionalFormatting>
  <conditionalFormatting sqref="AZ35">
    <cfRule type="colorScale" priority="2596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AZ37:AZ41">
    <cfRule type="cellIs" dxfId="5199" priority="2522" operator="equal">
      <formula>"-"</formula>
    </cfRule>
  </conditionalFormatting>
  <conditionalFormatting sqref="AZ37:AZ46">
    <cfRule type="cellIs" dxfId="5198" priority="2508" operator="lessThan">
      <formula>0</formula>
    </cfRule>
    <cfRule type="cellIs" dxfId="5197" priority="2509" operator="greaterThan">
      <formula>0</formula>
    </cfRule>
  </conditionalFormatting>
  <conditionalFormatting sqref="AZ42:AZ46">
    <cfRule type="cellIs" dxfId="5196" priority="2507" operator="equal">
      <formula>"-"</formula>
    </cfRule>
  </conditionalFormatting>
  <conditionalFormatting sqref="AZ47">
    <cfRule type="colorScale" priority="2595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AZ49:AZ53 AZ55:AZ57">
    <cfRule type="cellIs" dxfId="5195" priority="2504" operator="equal">
      <formula>"-"</formula>
    </cfRule>
  </conditionalFormatting>
  <conditionalFormatting sqref="AZ49:AZ53 AZ55:AZ69">
    <cfRule type="cellIs" dxfId="5194" priority="2505" operator="lessThan">
      <formula>0</formula>
    </cfRule>
    <cfRule type="cellIs" dxfId="5193" priority="2506" operator="greaterThan">
      <formula>0</formula>
    </cfRule>
  </conditionalFormatting>
  <conditionalFormatting sqref="AZ58:AZ69">
    <cfRule type="cellIs" dxfId="5192" priority="2561" operator="equal">
      <formula>"-"</formula>
    </cfRule>
  </conditionalFormatting>
  <conditionalFormatting sqref="AZ70">
    <cfRule type="colorScale" priority="2594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AZ72:AZ76">
    <cfRule type="cellIs" dxfId="5191" priority="2501" operator="equal">
      <formula>"-"</formula>
    </cfRule>
  </conditionalFormatting>
  <conditionalFormatting sqref="AZ72:AZ81">
    <cfRule type="cellIs" dxfId="5190" priority="2495" operator="lessThan">
      <formula>0</formula>
    </cfRule>
    <cfRule type="cellIs" dxfId="5189" priority="2496" operator="greaterThan">
      <formula>0</formula>
    </cfRule>
  </conditionalFormatting>
  <conditionalFormatting sqref="AZ77:AZ81">
    <cfRule type="cellIs" dxfId="5188" priority="2494" operator="equal">
      <formula>"-"</formula>
    </cfRule>
  </conditionalFormatting>
  <conditionalFormatting sqref="AZ82">
    <cfRule type="colorScale" priority="2500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AZ84:AZ85">
    <cfRule type="cellIs" dxfId="5187" priority="2491" operator="equal">
      <formula>"-"</formula>
    </cfRule>
    <cfRule type="cellIs" dxfId="5186" priority="2492" operator="lessThan">
      <formula>0</formula>
    </cfRule>
    <cfRule type="cellIs" dxfId="5185" priority="2493" operator="greaterThan">
      <formula>0</formula>
    </cfRule>
  </conditionalFormatting>
  <conditionalFormatting sqref="J3:J8">
    <cfRule type="cellIs" dxfId="5184" priority="152" operator="equal">
      <formula>"-"</formula>
    </cfRule>
  </conditionalFormatting>
  <conditionalFormatting sqref="J3:J13">
    <cfRule type="cellIs" dxfId="5183" priority="150" operator="lessThan">
      <formula>0</formula>
    </cfRule>
    <cfRule type="cellIs" dxfId="5182" priority="151" operator="greaterThan">
      <formula>0</formula>
    </cfRule>
  </conditionalFormatting>
  <conditionalFormatting sqref="J9:J13">
    <cfRule type="cellIs" dxfId="5181" priority="149" operator="equal">
      <formula>"-"</formula>
    </cfRule>
  </conditionalFormatting>
  <conditionalFormatting sqref="J16:J18">
    <cfRule type="cellIs" dxfId="5180" priority="148" operator="equal">
      <formula>"-"</formula>
    </cfRule>
  </conditionalFormatting>
  <conditionalFormatting sqref="J16:J21">
    <cfRule type="cellIs" dxfId="5179" priority="146" operator="lessThan">
      <formula>0</formula>
    </cfRule>
    <cfRule type="cellIs" dxfId="5178" priority="147" operator="greaterThan">
      <formula>0</formula>
    </cfRule>
  </conditionalFormatting>
  <conditionalFormatting sqref="J19:J21">
    <cfRule type="cellIs" dxfId="5177" priority="145" operator="equal">
      <formula>"-"</formula>
    </cfRule>
  </conditionalFormatting>
  <conditionalFormatting sqref="J24:J27">
    <cfRule type="cellIs" dxfId="5176" priority="144" operator="equal">
      <formula>"-"</formula>
    </cfRule>
  </conditionalFormatting>
  <conditionalFormatting sqref="J24:J34">
    <cfRule type="cellIs" dxfId="5175" priority="142" operator="lessThan">
      <formula>0</formula>
    </cfRule>
    <cfRule type="cellIs" dxfId="5174" priority="143" operator="greaterThan">
      <formula>0</formula>
    </cfRule>
  </conditionalFormatting>
  <conditionalFormatting sqref="J28:J34">
    <cfRule type="cellIs" dxfId="5173" priority="141" operator="equal">
      <formula>"-"</formula>
    </cfRule>
  </conditionalFormatting>
  <conditionalFormatting sqref="J37:J41">
    <cfRule type="cellIs" dxfId="5172" priority="140" operator="equal">
      <formula>"-"</formula>
    </cfRule>
  </conditionalFormatting>
  <conditionalFormatting sqref="J37:J45">
    <cfRule type="cellIs" dxfId="5171" priority="138" operator="lessThan">
      <formula>0</formula>
    </cfRule>
    <cfRule type="cellIs" dxfId="5170" priority="139" operator="greaterThan">
      <formula>0</formula>
    </cfRule>
  </conditionalFormatting>
  <conditionalFormatting sqref="J42:J45">
    <cfRule type="cellIs" dxfId="5169" priority="137" operator="equal">
      <formula>"-"</formula>
    </cfRule>
  </conditionalFormatting>
  <conditionalFormatting sqref="J49:J53 J55:J57">
    <cfRule type="cellIs" dxfId="5168" priority="133" operator="equal">
      <formula>"-"</formula>
    </cfRule>
  </conditionalFormatting>
  <conditionalFormatting sqref="J49:J53 J55:J69">
    <cfRule type="cellIs" dxfId="5167" priority="134" operator="lessThan">
      <formula>0</formula>
    </cfRule>
    <cfRule type="cellIs" dxfId="5166" priority="135" operator="greaterThan">
      <formula>0</formula>
    </cfRule>
  </conditionalFormatting>
  <conditionalFormatting sqref="J58:J69">
    <cfRule type="cellIs" dxfId="5165" priority="136" operator="equal">
      <formula>"-"</formula>
    </cfRule>
  </conditionalFormatting>
  <conditionalFormatting sqref="J72:J76">
    <cfRule type="cellIs" dxfId="5164" priority="129" operator="equal">
      <formula>"-"</formula>
    </cfRule>
  </conditionalFormatting>
  <conditionalFormatting sqref="J72:J81">
    <cfRule type="cellIs" dxfId="5163" priority="130" operator="lessThan">
      <formula>0</formula>
    </cfRule>
    <cfRule type="cellIs" dxfId="5162" priority="131" operator="greaterThan">
      <formula>0</formula>
    </cfRule>
  </conditionalFormatting>
  <conditionalFormatting sqref="J77:J81">
    <cfRule type="cellIs" dxfId="5161" priority="132" operator="equal">
      <formula>"-"</formula>
    </cfRule>
  </conditionalFormatting>
  <conditionalFormatting sqref="G14">
    <cfRule type="colorScale" priority="128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G22">
    <cfRule type="colorScale" priority="120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G35">
    <cfRule type="colorScale" priority="127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G46">
    <cfRule type="cellIs" dxfId="5160" priority="124" operator="lessThan">
      <formula>0</formula>
    </cfRule>
    <cfRule type="cellIs" dxfId="5159" priority="125" operator="greaterThan">
      <formula>0</formula>
    </cfRule>
  </conditionalFormatting>
  <conditionalFormatting sqref="G46">
    <cfRule type="cellIs" dxfId="5158" priority="123" operator="equal">
      <formula>"-"</formula>
    </cfRule>
  </conditionalFormatting>
  <conditionalFormatting sqref="G47">
    <cfRule type="colorScale" priority="126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G70">
    <cfRule type="colorScale" priority="122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G82">
    <cfRule type="colorScale" priority="121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G84:G85">
    <cfRule type="cellIs" dxfId="5157" priority="117" operator="equal">
      <formula>"-"</formula>
    </cfRule>
    <cfRule type="cellIs" dxfId="5156" priority="118" operator="lessThan">
      <formula>0</formula>
    </cfRule>
    <cfRule type="cellIs" dxfId="5155" priority="119" operator="greaterThan">
      <formula>0</formula>
    </cfRule>
  </conditionalFormatting>
  <conditionalFormatting sqref="G3:G8">
    <cfRule type="cellIs" dxfId="5154" priority="116" operator="equal">
      <formula>"-"</formula>
    </cfRule>
  </conditionalFormatting>
  <conditionalFormatting sqref="G3:G13">
    <cfRule type="cellIs" dxfId="5153" priority="114" operator="lessThan">
      <formula>0</formula>
    </cfRule>
    <cfRule type="cellIs" dxfId="5152" priority="115" operator="greaterThan">
      <formula>0</formula>
    </cfRule>
  </conditionalFormatting>
  <conditionalFormatting sqref="G9:G13">
    <cfRule type="cellIs" dxfId="5151" priority="113" operator="equal">
      <formula>"-"</formula>
    </cfRule>
  </conditionalFormatting>
  <conditionalFormatting sqref="G16:G18">
    <cfRule type="cellIs" dxfId="5150" priority="112" operator="equal">
      <formula>"-"</formula>
    </cfRule>
  </conditionalFormatting>
  <conditionalFormatting sqref="G16:G21">
    <cfRule type="cellIs" dxfId="5149" priority="110" operator="lessThan">
      <formula>0</formula>
    </cfRule>
    <cfRule type="cellIs" dxfId="5148" priority="111" operator="greaterThan">
      <formula>0</formula>
    </cfRule>
  </conditionalFormatting>
  <conditionalFormatting sqref="G19:G21">
    <cfRule type="cellIs" dxfId="5147" priority="109" operator="equal">
      <formula>"-"</formula>
    </cfRule>
  </conditionalFormatting>
  <conditionalFormatting sqref="G24:G27">
    <cfRule type="cellIs" dxfId="5146" priority="108" operator="equal">
      <formula>"-"</formula>
    </cfRule>
  </conditionalFormatting>
  <conditionalFormatting sqref="G24:G34">
    <cfRule type="cellIs" dxfId="5145" priority="106" operator="lessThan">
      <formula>0</formula>
    </cfRule>
    <cfRule type="cellIs" dxfId="5144" priority="107" operator="greaterThan">
      <formula>0</formula>
    </cfRule>
  </conditionalFormatting>
  <conditionalFormatting sqref="G28:G34">
    <cfRule type="cellIs" dxfId="5143" priority="105" operator="equal">
      <formula>"-"</formula>
    </cfRule>
  </conditionalFormatting>
  <conditionalFormatting sqref="G37:G41">
    <cfRule type="cellIs" dxfId="5142" priority="104" operator="equal">
      <formula>"-"</formula>
    </cfRule>
  </conditionalFormatting>
  <conditionalFormatting sqref="G37:G45">
    <cfRule type="cellIs" dxfId="5141" priority="102" operator="lessThan">
      <formula>0</formula>
    </cfRule>
    <cfRule type="cellIs" dxfId="5140" priority="103" operator="greaterThan">
      <formula>0</formula>
    </cfRule>
  </conditionalFormatting>
  <conditionalFormatting sqref="G42:G45">
    <cfRule type="cellIs" dxfId="5139" priority="101" operator="equal">
      <formula>"-"</formula>
    </cfRule>
  </conditionalFormatting>
  <conditionalFormatting sqref="G49:G53 G55:G57">
    <cfRule type="cellIs" dxfId="5138" priority="97" operator="equal">
      <formula>"-"</formula>
    </cfRule>
  </conditionalFormatting>
  <conditionalFormatting sqref="G49:G53 G55:G69">
    <cfRule type="cellIs" dxfId="5137" priority="98" operator="lessThan">
      <formula>0</formula>
    </cfRule>
    <cfRule type="cellIs" dxfId="5136" priority="99" operator="greaterThan">
      <formula>0</formula>
    </cfRule>
  </conditionalFormatting>
  <conditionalFormatting sqref="G58:G69">
    <cfRule type="cellIs" dxfId="5135" priority="100" operator="equal">
      <formula>"-"</formula>
    </cfRule>
  </conditionalFormatting>
  <conditionalFormatting sqref="G72:G76">
    <cfRule type="cellIs" dxfId="5134" priority="93" operator="equal">
      <formula>"-"</formula>
    </cfRule>
  </conditionalFormatting>
  <conditionalFormatting sqref="G72:G81">
    <cfRule type="cellIs" dxfId="5133" priority="94" operator="lessThan">
      <formula>0</formula>
    </cfRule>
    <cfRule type="cellIs" dxfId="5132" priority="95" operator="greaterThan">
      <formula>0</formula>
    </cfRule>
  </conditionalFormatting>
  <conditionalFormatting sqref="G77:G81">
    <cfRule type="cellIs" dxfId="5131" priority="96" operator="equal">
      <formula>"-"</formula>
    </cfRule>
  </conditionalFormatting>
  <conditionalFormatting sqref="E2">
    <cfRule type="containsText" dxfId="5130" priority="89" operator="containsText" text="NEUTRO">
      <formula>NOT(ISERROR(SEARCH("NEUTRO",E2)))</formula>
    </cfRule>
    <cfRule type="containsText" dxfId="5129" priority="90" operator="containsText" text="BULLISH">
      <formula>NOT(ISERROR(SEARCH("BULLISH",E2)))</formula>
    </cfRule>
    <cfRule type="containsText" dxfId="5128" priority="91" operator="containsText" text="BEARISH">
      <formula>NOT(ISERROR(SEARCH("BEARISH",E2)))</formula>
    </cfRule>
    <cfRule type="containsBlanks" dxfId="5127" priority="92">
      <formula>LEN(TRIM(E2))=0</formula>
    </cfRule>
  </conditionalFormatting>
  <conditionalFormatting sqref="E15">
    <cfRule type="containsText" dxfId="5126" priority="85" operator="containsText" text="NEUTRO">
      <formula>NOT(ISERROR(SEARCH("NEUTRO",E15)))</formula>
    </cfRule>
    <cfRule type="containsText" dxfId="5125" priority="86" operator="containsText" text="BULLISH">
      <formula>NOT(ISERROR(SEARCH("BULLISH",E15)))</formula>
    </cfRule>
    <cfRule type="containsText" dxfId="5124" priority="87" operator="containsText" text="BEARISH">
      <formula>NOT(ISERROR(SEARCH("BEARISH",E15)))</formula>
    </cfRule>
    <cfRule type="containsBlanks" dxfId="5123" priority="88">
      <formula>LEN(TRIM(E15))=0</formula>
    </cfRule>
  </conditionalFormatting>
  <conditionalFormatting sqref="E23">
    <cfRule type="containsText" dxfId="5122" priority="81" operator="containsText" text="NEUTRO">
      <formula>NOT(ISERROR(SEARCH("NEUTRO",E23)))</formula>
    </cfRule>
    <cfRule type="containsText" dxfId="5121" priority="82" operator="containsText" text="BULLISH">
      <formula>NOT(ISERROR(SEARCH("BULLISH",E23)))</formula>
    </cfRule>
    <cfRule type="containsText" dxfId="5120" priority="83" operator="containsText" text="BEARISH">
      <formula>NOT(ISERROR(SEARCH("BEARISH",E23)))</formula>
    </cfRule>
    <cfRule type="containsBlanks" dxfId="5119" priority="84">
      <formula>LEN(TRIM(E23))=0</formula>
    </cfRule>
  </conditionalFormatting>
  <conditionalFormatting sqref="E36">
    <cfRule type="containsText" dxfId="5118" priority="77" operator="containsText" text="NEUTRO">
      <formula>NOT(ISERROR(SEARCH("NEUTRO",E36)))</formula>
    </cfRule>
    <cfRule type="containsText" dxfId="5117" priority="78" operator="containsText" text="BULLISH">
      <formula>NOT(ISERROR(SEARCH("BULLISH",E36)))</formula>
    </cfRule>
    <cfRule type="containsText" dxfId="5116" priority="79" operator="containsText" text="BEARISH">
      <formula>NOT(ISERROR(SEARCH("BEARISH",E36)))</formula>
    </cfRule>
    <cfRule type="containsBlanks" dxfId="5115" priority="80">
      <formula>LEN(TRIM(E36))=0</formula>
    </cfRule>
  </conditionalFormatting>
  <conditionalFormatting sqref="E48">
    <cfRule type="containsText" dxfId="5114" priority="73" operator="containsText" text="NEUTRO">
      <formula>NOT(ISERROR(SEARCH("NEUTRO",E48)))</formula>
    </cfRule>
    <cfRule type="containsText" dxfId="5113" priority="74" operator="containsText" text="BULLISH">
      <formula>NOT(ISERROR(SEARCH("BULLISH",E48)))</formula>
    </cfRule>
    <cfRule type="containsText" dxfId="5112" priority="75" operator="containsText" text="BEARISH">
      <formula>NOT(ISERROR(SEARCH("BEARISH",E48)))</formula>
    </cfRule>
    <cfRule type="containsBlanks" dxfId="5111" priority="76">
      <formula>LEN(TRIM(E48))=0</formula>
    </cfRule>
  </conditionalFormatting>
  <conditionalFormatting sqref="E71">
    <cfRule type="containsText" dxfId="5110" priority="69" operator="containsText" text="NEUTRO">
      <formula>NOT(ISERROR(SEARCH("NEUTRO",E71)))</formula>
    </cfRule>
    <cfRule type="containsText" dxfId="5109" priority="70" operator="containsText" text="BULLISH">
      <formula>NOT(ISERROR(SEARCH("BULLISH",E71)))</formula>
    </cfRule>
    <cfRule type="containsText" dxfId="5108" priority="71" operator="containsText" text="BEARISH">
      <formula>NOT(ISERROR(SEARCH("BEARISH",E71)))</formula>
    </cfRule>
    <cfRule type="containsBlanks" dxfId="5107" priority="72">
      <formula>LEN(TRIM(E71))=0</formula>
    </cfRule>
  </conditionalFormatting>
  <conditionalFormatting sqref="E83">
    <cfRule type="containsText" dxfId="5106" priority="65" operator="containsText" text="NEUTRO">
      <formula>NOT(ISERROR(SEARCH("NEUTRO",E83)))</formula>
    </cfRule>
    <cfRule type="containsText" dxfId="5105" priority="66" operator="containsText" text="BULLISH">
      <formula>NOT(ISERROR(SEARCH("BULLISH",E83)))</formula>
    </cfRule>
    <cfRule type="containsText" dxfId="5104" priority="67" operator="containsText" text="BEARISH">
      <formula>NOT(ISERROR(SEARCH("BEARISH",E83)))</formula>
    </cfRule>
    <cfRule type="containsBlanks" dxfId="5103" priority="68">
      <formula>LEN(TRIM(E83))=0</formula>
    </cfRule>
  </conditionalFormatting>
  <conditionalFormatting sqref="D14">
    <cfRule type="colorScale" priority="64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D22">
    <cfRule type="colorScale" priority="56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D35">
    <cfRule type="colorScale" priority="63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D46">
    <cfRule type="cellIs" dxfId="5102" priority="60" operator="lessThan">
      <formula>0</formula>
    </cfRule>
    <cfRule type="cellIs" dxfId="5101" priority="61" operator="greaterThan">
      <formula>0</formula>
    </cfRule>
  </conditionalFormatting>
  <conditionalFormatting sqref="D46">
    <cfRule type="cellIs" dxfId="5100" priority="59" operator="equal">
      <formula>"-"</formula>
    </cfRule>
  </conditionalFormatting>
  <conditionalFormatting sqref="D47">
    <cfRule type="colorScale" priority="62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D70">
    <cfRule type="colorScale" priority="58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D82">
    <cfRule type="colorScale" priority="57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D84:D85">
    <cfRule type="cellIs" dxfId="5099" priority="53" operator="equal">
      <formula>"-"</formula>
    </cfRule>
    <cfRule type="cellIs" dxfId="5098" priority="54" operator="lessThan">
      <formula>0</formula>
    </cfRule>
    <cfRule type="cellIs" dxfId="5097" priority="55" operator="greaterThan">
      <formula>0</formula>
    </cfRule>
  </conditionalFormatting>
  <conditionalFormatting sqref="D3:D8">
    <cfRule type="cellIs" dxfId="5096" priority="52" operator="equal">
      <formula>"-"</formula>
    </cfRule>
  </conditionalFormatting>
  <conditionalFormatting sqref="D3:D13">
    <cfRule type="cellIs" dxfId="5095" priority="50" operator="lessThan">
      <formula>0</formula>
    </cfRule>
    <cfRule type="cellIs" dxfId="5094" priority="51" operator="greaterThan">
      <formula>0</formula>
    </cfRule>
  </conditionalFormatting>
  <conditionalFormatting sqref="D9:D13">
    <cfRule type="cellIs" dxfId="5093" priority="49" operator="equal">
      <formula>"-"</formula>
    </cfRule>
  </conditionalFormatting>
  <conditionalFormatting sqref="D16:D18">
    <cfRule type="cellIs" dxfId="5092" priority="48" operator="equal">
      <formula>"-"</formula>
    </cfRule>
  </conditionalFormatting>
  <conditionalFormatting sqref="D16:D21">
    <cfRule type="cellIs" dxfId="5091" priority="46" operator="lessThan">
      <formula>0</formula>
    </cfRule>
    <cfRule type="cellIs" dxfId="5090" priority="47" operator="greaterThan">
      <formula>0</formula>
    </cfRule>
  </conditionalFormatting>
  <conditionalFormatting sqref="D19:D21">
    <cfRule type="cellIs" dxfId="5089" priority="45" operator="equal">
      <formula>"-"</formula>
    </cfRule>
  </conditionalFormatting>
  <conditionalFormatting sqref="D24:D27">
    <cfRule type="cellIs" dxfId="5088" priority="44" operator="equal">
      <formula>"-"</formula>
    </cfRule>
  </conditionalFormatting>
  <conditionalFormatting sqref="D24:D34">
    <cfRule type="cellIs" dxfId="5087" priority="42" operator="lessThan">
      <formula>0</formula>
    </cfRule>
    <cfRule type="cellIs" dxfId="5086" priority="43" operator="greaterThan">
      <formula>0</formula>
    </cfRule>
  </conditionalFormatting>
  <conditionalFormatting sqref="D28:D34">
    <cfRule type="cellIs" dxfId="5085" priority="41" operator="equal">
      <formula>"-"</formula>
    </cfRule>
  </conditionalFormatting>
  <conditionalFormatting sqref="D37:D41">
    <cfRule type="cellIs" dxfId="5084" priority="40" operator="equal">
      <formula>"-"</formula>
    </cfRule>
  </conditionalFormatting>
  <conditionalFormatting sqref="D37:D45">
    <cfRule type="cellIs" dxfId="5083" priority="38" operator="lessThan">
      <formula>0</formula>
    </cfRule>
    <cfRule type="cellIs" dxfId="5082" priority="39" operator="greaterThan">
      <formula>0</formula>
    </cfRule>
  </conditionalFormatting>
  <conditionalFormatting sqref="D42:D45">
    <cfRule type="cellIs" dxfId="5081" priority="37" operator="equal">
      <formula>"-"</formula>
    </cfRule>
  </conditionalFormatting>
  <conditionalFormatting sqref="D49:D53 D55:D57">
    <cfRule type="cellIs" dxfId="5080" priority="33" operator="equal">
      <formula>"-"</formula>
    </cfRule>
  </conditionalFormatting>
  <conditionalFormatting sqref="D49:D53 D55:D69">
    <cfRule type="cellIs" dxfId="5079" priority="34" operator="lessThan">
      <formula>0</formula>
    </cfRule>
    <cfRule type="cellIs" dxfId="5078" priority="35" operator="greaterThan">
      <formula>0</formula>
    </cfRule>
  </conditionalFormatting>
  <conditionalFormatting sqref="D58:D69">
    <cfRule type="cellIs" dxfId="5077" priority="36" operator="equal">
      <formula>"-"</formula>
    </cfRule>
  </conditionalFormatting>
  <conditionalFormatting sqref="D72:D76">
    <cfRule type="cellIs" dxfId="5076" priority="29" operator="equal">
      <formula>"-"</formula>
    </cfRule>
  </conditionalFormatting>
  <conditionalFormatting sqref="D72:D81">
    <cfRule type="cellIs" dxfId="5075" priority="30" operator="lessThan">
      <formula>0</formula>
    </cfRule>
    <cfRule type="cellIs" dxfId="5074" priority="31" operator="greaterThan">
      <formula>0</formula>
    </cfRule>
  </conditionalFormatting>
  <conditionalFormatting sqref="D77:D81">
    <cfRule type="cellIs" dxfId="5073" priority="32" operator="equal">
      <formula>"-"</formula>
    </cfRule>
  </conditionalFormatting>
  <conditionalFormatting sqref="B2">
    <cfRule type="containsText" dxfId="5072" priority="25" operator="containsText" text="NEUTRO">
      <formula>NOT(ISERROR(SEARCH("NEUTRO",B2)))</formula>
    </cfRule>
    <cfRule type="containsText" dxfId="5071" priority="26" operator="containsText" text="BULLISH">
      <formula>NOT(ISERROR(SEARCH("BULLISH",B2)))</formula>
    </cfRule>
    <cfRule type="containsText" dxfId="5070" priority="27" operator="containsText" text="BEARISH">
      <formula>NOT(ISERROR(SEARCH("BEARISH",B2)))</formula>
    </cfRule>
    <cfRule type="containsBlanks" dxfId="5069" priority="28">
      <formula>LEN(TRIM(B2))=0</formula>
    </cfRule>
  </conditionalFormatting>
  <conditionalFormatting sqref="B15">
    <cfRule type="containsText" dxfId="5068" priority="21" operator="containsText" text="NEUTRO">
      <formula>NOT(ISERROR(SEARCH("NEUTRO",B15)))</formula>
    </cfRule>
    <cfRule type="containsText" dxfId="5067" priority="22" operator="containsText" text="BULLISH">
      <formula>NOT(ISERROR(SEARCH("BULLISH",B15)))</formula>
    </cfRule>
    <cfRule type="containsText" dxfId="5066" priority="23" operator="containsText" text="BEARISH">
      <formula>NOT(ISERROR(SEARCH("BEARISH",B15)))</formula>
    </cfRule>
    <cfRule type="containsBlanks" dxfId="5065" priority="24">
      <formula>LEN(TRIM(B15))=0</formula>
    </cfRule>
  </conditionalFormatting>
  <conditionalFormatting sqref="B23">
    <cfRule type="containsText" dxfId="5064" priority="17" operator="containsText" text="NEUTRO">
      <formula>NOT(ISERROR(SEARCH("NEUTRO",B23)))</formula>
    </cfRule>
    <cfRule type="containsText" dxfId="5063" priority="18" operator="containsText" text="BULLISH">
      <formula>NOT(ISERROR(SEARCH("BULLISH",B23)))</formula>
    </cfRule>
    <cfRule type="containsText" dxfId="5062" priority="19" operator="containsText" text="BEARISH">
      <formula>NOT(ISERROR(SEARCH("BEARISH",B23)))</formula>
    </cfRule>
    <cfRule type="containsBlanks" dxfId="5061" priority="20">
      <formula>LEN(TRIM(B23))=0</formula>
    </cfRule>
  </conditionalFormatting>
  <conditionalFormatting sqref="B36">
    <cfRule type="containsText" dxfId="5060" priority="13" operator="containsText" text="NEUTRO">
      <formula>NOT(ISERROR(SEARCH("NEUTRO",B36)))</formula>
    </cfRule>
    <cfRule type="containsText" dxfId="5059" priority="14" operator="containsText" text="BULLISH">
      <formula>NOT(ISERROR(SEARCH("BULLISH",B36)))</formula>
    </cfRule>
    <cfRule type="containsText" dxfId="5058" priority="15" operator="containsText" text="BEARISH">
      <formula>NOT(ISERROR(SEARCH("BEARISH",B36)))</formula>
    </cfRule>
    <cfRule type="containsBlanks" dxfId="5057" priority="16">
      <formula>LEN(TRIM(B36))=0</formula>
    </cfRule>
  </conditionalFormatting>
  <conditionalFormatting sqref="B48">
    <cfRule type="containsText" dxfId="5056" priority="9" operator="containsText" text="NEUTRO">
      <formula>NOT(ISERROR(SEARCH("NEUTRO",B48)))</formula>
    </cfRule>
    <cfRule type="containsText" dxfId="5055" priority="10" operator="containsText" text="BULLISH">
      <formula>NOT(ISERROR(SEARCH("BULLISH",B48)))</formula>
    </cfRule>
    <cfRule type="containsText" dxfId="5054" priority="11" operator="containsText" text="BEARISH">
      <formula>NOT(ISERROR(SEARCH("BEARISH",B48)))</formula>
    </cfRule>
    <cfRule type="containsBlanks" dxfId="5053" priority="12">
      <formula>LEN(TRIM(B48))=0</formula>
    </cfRule>
  </conditionalFormatting>
  <conditionalFormatting sqref="B71">
    <cfRule type="containsText" dxfId="5052" priority="5" operator="containsText" text="NEUTRO">
      <formula>NOT(ISERROR(SEARCH("NEUTRO",B71)))</formula>
    </cfRule>
    <cfRule type="containsText" dxfId="5051" priority="6" operator="containsText" text="BULLISH">
      <formula>NOT(ISERROR(SEARCH("BULLISH",B71)))</formula>
    </cfRule>
    <cfRule type="containsText" dxfId="5050" priority="7" operator="containsText" text="BEARISH">
      <formula>NOT(ISERROR(SEARCH("BEARISH",B71)))</formula>
    </cfRule>
    <cfRule type="containsBlanks" dxfId="5049" priority="8">
      <formula>LEN(TRIM(B71))=0</formula>
    </cfRule>
  </conditionalFormatting>
  <conditionalFormatting sqref="B83">
    <cfRule type="containsText" dxfId="5048" priority="1" operator="containsText" text="NEUTRO">
      <formula>NOT(ISERROR(SEARCH("NEUTRO",B83)))</formula>
    </cfRule>
    <cfRule type="containsText" dxfId="5047" priority="2" operator="containsText" text="BULLISH">
      <formula>NOT(ISERROR(SEARCH("BULLISH",B83)))</formula>
    </cfRule>
    <cfRule type="containsText" dxfId="5046" priority="3" operator="containsText" text="BEARISH">
      <formula>NOT(ISERROR(SEARCH("BEARISH",B83)))</formula>
    </cfRule>
    <cfRule type="containsBlanks" dxfId="5045" priority="4">
      <formula>LEN(TRIM(B83))=0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Hoja1.FED">
                <anchor moveWithCells="1">
                  <from>
                    <xdr:col>0</xdr:col>
                    <xdr:colOff>514350</xdr:colOff>
                    <xdr:row>0</xdr:row>
                    <xdr:rowOff>38100</xdr:rowOff>
                  </from>
                  <to>
                    <xdr:col>0</xdr:col>
                    <xdr:colOff>1609725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5="http://schemas.microsoft.com/office/spreadsheetml/2010/11/main" uri="{F7C9EE02-42E1-4005-9D12-6889AFFD525C}">
      <x15:webExtensions xmlns:xm="http://schemas.microsoft.com/office/excel/2006/main">
        <x15:webExtension appRef="{0DB96889-052D-4344-97ED-EB3B30C68AF4}">
          <xm:f>#REF!</xm:f>
        </x15:webExtension>
        <x15:webExtension appRef="{6A59D71A-42C7-4905-A3C1-03F364CEED56}">
          <xm:f>#REF!</xm:f>
        </x15:webExtension>
        <x15:webExtension appRef="{28509411-FAD6-483B-9718-0514D0C54F8E}">
          <xm:f>#REF!</xm:f>
        </x15:webExtension>
        <x15:webExtension appRef="{BECEAF1F-CD7E-4FA9-8983-EB3B7D282CFA}">
          <xm:f>#REF!</xm:f>
        </x15:webExtension>
      </x15:webExtens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AW91"/>
  <sheetViews>
    <sheetView zoomScale="80" zoomScaleNormal="80" workbookViewId="0">
      <selection activeCell="B20" sqref="B20:D20"/>
    </sheetView>
  </sheetViews>
  <sheetFormatPr baseColWidth="10" defaultRowHeight="15" x14ac:dyDescent="0.25"/>
  <cols>
    <col min="1" max="1" width="29.140625" style="12" customWidth="1"/>
    <col min="2" max="3" width="11.42578125" style="5" customWidth="1"/>
    <col min="4" max="4" width="11.42578125" style="13" customWidth="1"/>
    <col min="5" max="6" width="11.42578125" style="5" customWidth="1"/>
    <col min="7" max="7" width="11.42578125" style="13" customWidth="1"/>
    <col min="8" max="9" width="11.42578125" style="288" customWidth="1"/>
    <col min="10" max="10" width="11.42578125" style="13" customWidth="1"/>
    <col min="11" max="12" width="11.42578125" style="5" customWidth="1"/>
    <col min="13" max="13" width="11.42578125" style="13" customWidth="1"/>
    <col min="14" max="15" width="11.42578125" style="5" customWidth="1"/>
    <col min="16" max="16" width="11.42578125" style="13" customWidth="1"/>
    <col min="17" max="18" width="11.42578125" style="5" customWidth="1"/>
    <col min="19" max="19" width="11.42578125" style="13" customWidth="1"/>
    <col min="20" max="21" width="11.42578125" style="5" customWidth="1"/>
    <col min="22" max="22" width="11.42578125" style="13" customWidth="1"/>
    <col min="23" max="24" width="11.42578125" style="5" customWidth="1"/>
    <col min="25" max="25" width="11.42578125" style="13" customWidth="1"/>
    <col min="26" max="27" width="11.42578125" style="5" customWidth="1"/>
    <col min="28" max="28" width="11.42578125" style="13" customWidth="1"/>
    <col min="29" max="30" width="11.42578125" style="5" customWidth="1"/>
    <col min="31" max="31" width="11.42578125" style="13" customWidth="1"/>
    <col min="32" max="33" width="11.42578125" style="5" customWidth="1"/>
    <col min="34" max="34" width="11.42578125" style="13" customWidth="1"/>
    <col min="35" max="36" width="11.42578125" style="5" customWidth="1"/>
    <col min="37" max="37" width="11.42578125" style="13" customWidth="1"/>
    <col min="38" max="39" width="11.42578125" style="5" customWidth="1"/>
    <col min="40" max="40" width="11.42578125" style="13" customWidth="1"/>
    <col min="41" max="42" width="11.42578125" style="5" customWidth="1"/>
    <col min="43" max="43" width="11.42578125" style="13" customWidth="1"/>
    <col min="44" max="45" width="11.42578125" style="5" customWidth="1"/>
    <col min="46" max="46" width="11.42578125" style="13" customWidth="1"/>
    <col min="47" max="48" width="11.42578125" style="5" customWidth="1"/>
    <col min="49" max="49" width="11.42578125" style="13" customWidth="1"/>
  </cols>
  <sheetData>
    <row r="1" spans="1:49" x14ac:dyDescent="0.25">
      <c r="A1" s="246" t="s">
        <v>0</v>
      </c>
      <c r="B1" s="356">
        <v>46142</v>
      </c>
      <c r="C1" s="357"/>
      <c r="D1" s="1"/>
      <c r="E1" s="356">
        <v>46100</v>
      </c>
      <c r="F1" s="357"/>
      <c r="G1" s="1"/>
      <c r="H1" s="358">
        <v>46058</v>
      </c>
      <c r="I1" s="359"/>
      <c r="J1" s="1">
        <v>2.1499999999999998E-2</v>
      </c>
      <c r="K1" s="344">
        <v>46374</v>
      </c>
      <c r="L1" s="345"/>
      <c r="M1" s="1">
        <v>2.1499999999999998E-2</v>
      </c>
      <c r="N1" s="344">
        <v>45960</v>
      </c>
      <c r="O1" s="345"/>
      <c r="P1" s="1"/>
      <c r="Q1" s="346">
        <v>45911</v>
      </c>
      <c r="R1" s="347"/>
      <c r="S1" s="1">
        <v>2.1499999999999998E-2</v>
      </c>
      <c r="T1" s="344">
        <v>45862</v>
      </c>
      <c r="U1" s="345"/>
      <c r="V1" s="1">
        <v>2.1499999999999998E-2</v>
      </c>
      <c r="W1" s="344">
        <v>45813</v>
      </c>
      <c r="X1" s="345"/>
      <c r="Y1" s="1">
        <v>2.1499999999999998E-2</v>
      </c>
      <c r="Z1" s="355">
        <v>45764</v>
      </c>
      <c r="AA1" s="344"/>
      <c r="AB1" s="1">
        <v>2.4E-2</v>
      </c>
      <c r="AC1" s="344">
        <v>45722</v>
      </c>
      <c r="AD1" s="345"/>
      <c r="AE1" s="1">
        <v>2.6499999999999999E-2</v>
      </c>
      <c r="AF1" s="344">
        <v>45687</v>
      </c>
      <c r="AG1" s="345"/>
      <c r="AH1" s="1">
        <v>2.9000000000000001E-2</v>
      </c>
      <c r="AI1" s="344">
        <v>45638</v>
      </c>
      <c r="AJ1" s="345"/>
      <c r="AK1" s="1">
        <v>3.15E-2</v>
      </c>
      <c r="AL1" s="344">
        <v>45582</v>
      </c>
      <c r="AM1" s="345"/>
      <c r="AN1" s="1">
        <v>3.4000000000000002E-2</v>
      </c>
      <c r="AO1" s="344">
        <v>45547</v>
      </c>
      <c r="AP1" s="345"/>
      <c r="AQ1" s="1">
        <v>3.6499999999999998E-2</v>
      </c>
      <c r="AR1" s="344">
        <v>45491</v>
      </c>
      <c r="AS1" s="345"/>
      <c r="AT1" s="1">
        <v>4.2500000000000003E-2</v>
      </c>
      <c r="AU1" s="350">
        <v>45449</v>
      </c>
      <c r="AV1" s="351"/>
      <c r="AW1" s="1">
        <v>4.2500000000000003E-2</v>
      </c>
    </row>
    <row r="2" spans="1:49" x14ac:dyDescent="0.25">
      <c r="A2" s="2" t="s">
        <v>1</v>
      </c>
      <c r="B2" s="348" t="str">
        <f>IF(
    AND(D3="-", D4="-", D5="-", D6="-", D7="-", D8="-", D9="-", D10="-", D11="-", D12="-", D13="-", D14="-", D15="-", D16="-", D17="-", D18="-", D19="-"),
    "",
    IF(
        SUM(
            IF(D3="-", 0, IF(D3&lt;0, -2, IF(D3&gt;0, 2, 0))),
            IF(D4="-", 0, IF(D4&lt;0, -2, IF(D4&gt;0, 2, 0))),
            IF(D5="-", 0, IF(D5&lt;0, -2, IF(D5&gt;0, 2, 0))),
            IF(D6="-", 0, IF(D6&lt;0, -2, IF(D6&gt;0, 2, 0))),
            IF(D7="-", 0, IF(D7&lt;0, -2, IF(D7&gt;0, 2, 0))),
            IF(D8="-", 0, IF(D8&lt;0, -2, IF(D8&gt;0, 2, 0))),
            IF(D9="-", 0, IF(D9&lt;0, -2, IF(D9&gt;0, 2, 0))),
            IF(D10="-", 0, IF(D10&lt;0, -2, IF(D10&gt;0, 2, 0))),
            IF(D11="-", 0, IF(D11&lt;0, -2, IF(D11&gt;0, 2, 0))),
            IF(D12="-", 0, IF(D12&lt;0, -1, IF(D12&gt;0, 1, 0))),
            IF(D13="-", 0, IF(D13&lt;0, -1, IF(D13&gt;0, 1, 0))),
            IF(D14="-", 0, IF(D14&lt;0, -1, IF(D14&gt;0, 1, 0))),
            IF(D15="-", 0, IF(D15&lt;0, -1, IF(D15&gt;0, 1, 0))),
            IF(D16="-", 0, IF(D16&lt;0, -1, IF(D16&gt;0, 1, 0))),
            IF(D17="-", 0, IF(D17&lt;0, -1, IF(D17&gt;0, 1, 0))),
            IF(D18="-", 0, IF(D18&lt;0, -1, IF(D18&gt;0, 1, 0))),
            IF(D19="-", 0, IF(D19&lt;0, -1, IF(D19&gt;0, 1, 0)))
        )/25 &gt; 0.1,
        "BULLISH",
        IF(
            SUM(
                IF(D3="-", 0, IF(D3&lt;0, -2, IF(D3&gt;0, 2, 0))),
                IF(D4="-", 0, IF(D4&lt;0, -2, IF(D4&gt;0, 2, 0))),
                IF(D5="-", 0, IF(D5&lt;0, -2, IF(D5&gt;0, 2, 0))),
                IF(D6="-", 0, IF(D6&lt;0, -2, IF(D6&gt;0, 2, 0))),
                IF(D7="-", 0, IF(D7&lt;0, -2, IF(D7&gt;0, 2, 0))),
                IF(D8="-", 0, IF(D8&lt;0, -2, IF(D8&gt;0, 2, 0))),
                IF(D9="-", 0, IF(D9&lt;0, -2, IF(D9&gt;0, 2, 0))),
                IF(D10="-", 0, IF(D10&lt;0, -2, IF(D10&gt;0, 2, 0))),
                IF(D11="-", 0, IF(D11&lt;0, -2, IF(D11&gt;0, 2, 0))),
                IF(D12="-", 0, IF(D12&lt;0, -1, IF(D12&gt;0, 1, 0))),
                IF(D13="-", 0, IF(D13&lt;0, -1, IF(D13&gt;0, 1, 0))),
                IF(D14="-", 0, IF(D14&lt;0, -1, IF(D14&gt;0, 1, 0))),
                IF(D15="-", 0, IF(D15&lt;0, -1, IF(D15&gt;0, 1, 0))),
                IF(D16="-", 0, IF(D16&lt;0, -1, IF(D16&gt;0, 1, 0))),
                IF(D17="-", 0, IF(D17&lt;0, -1, IF(D17&gt;0, 1, 0))),
                IF(D18="-", 0, IF(D18&lt;0, -1, IF(D18&gt;0, 1, 0))),
                IF(D19="-", 0, IF(D19&lt;0, -1, IF(D19&gt;0, 1, 0)))
            )/25 &lt; -0.1,
            "BEARISH",
            "NEUTRO"
        )
    )
)</f>
        <v>NEUTRO</v>
      </c>
      <c r="C2" s="321"/>
      <c r="D2" s="319"/>
      <c r="E2" s="348" t="str">
        <f>IF(
    AND(G3="-", G4="-", G5="-", G6="-", G7="-", G8="-", G9="-", G10="-", G11="-", G12="-", G13="-", G14="-", G15="-", G16="-", G17="-", G18="-", G19="-"),
    "",
    IF(
        SUM(
            IF(G3="-", 0, IF(G3&lt;0, -2, IF(G3&gt;0, 2, 0))),
            IF(G4="-", 0, IF(G4&lt;0, -2, IF(G4&gt;0, 2, 0))),
            IF(G5="-", 0, IF(G5&lt;0, -2, IF(G5&gt;0, 2, 0))),
            IF(G6="-", 0, IF(G6&lt;0, -2, IF(G6&gt;0, 2, 0))),
            IF(G7="-", 0, IF(G7&lt;0, -2, IF(G7&gt;0, 2, 0))),
            IF(G8="-", 0, IF(G8&lt;0, -2, IF(G8&gt;0, 2, 0))),
            IF(G9="-", 0, IF(G9&lt;0, -2, IF(G9&gt;0, 2, 0))),
            IF(G10="-", 0, IF(G10&lt;0, -2, IF(G10&gt;0, 2, 0))),
            IF(G11="-", 0, IF(G11&lt;0, -2, IF(G11&gt;0, 2, 0))),
            IF(G12="-", 0, IF(G12&lt;0, -1, IF(G12&gt;0, 1, 0))),
            IF(G13="-", 0, IF(G13&lt;0, -1, IF(G13&gt;0, 1, 0))),
            IF(G14="-", 0, IF(G14&lt;0, -1, IF(G14&gt;0, 1, 0))),
            IF(G15="-", 0, IF(G15&lt;0, -1, IF(G15&gt;0, 1, 0))),
            IF(G16="-", 0, IF(G16&lt;0, -1, IF(G16&gt;0, 1, 0))),
            IF(G17="-", 0, IF(G17&lt;0, -1, IF(G17&gt;0, 1, 0))),
            IF(G18="-", 0, IF(G18&lt;0, -1, IF(G18&gt;0, 1, 0))),
            IF(G19="-", 0, IF(G19&lt;0, -1, IF(G19&gt;0, 1, 0)))
        )/25 &gt; 0.1,
        "BULLISH",
        IF(
            SUM(
                IF(G3="-", 0, IF(G3&lt;0, -2, IF(G3&gt;0, 2, 0))),
                IF(G4="-", 0, IF(G4&lt;0, -2, IF(G4&gt;0, 2, 0))),
                IF(G5="-", 0, IF(G5&lt;0, -2, IF(G5&gt;0, 2, 0))),
                IF(G6="-", 0, IF(G6&lt;0, -2, IF(G6&gt;0, 2, 0))),
                IF(G7="-", 0, IF(G7&lt;0, -2, IF(G7&gt;0, 2, 0))),
                IF(G8="-", 0, IF(G8&lt;0, -2, IF(G8&gt;0, 2, 0))),
                IF(G9="-", 0, IF(G9&lt;0, -2, IF(G9&gt;0, 2, 0))),
                IF(G10="-", 0, IF(G10&lt;0, -2, IF(G10&gt;0, 2, 0))),
                IF(G11="-", 0, IF(G11&lt;0, -2, IF(G11&gt;0, 2, 0))),
                IF(G12="-", 0, IF(G12&lt;0, -1, IF(G12&gt;0, 1, 0))),
                IF(G13="-", 0, IF(G13&lt;0, -1, IF(G13&gt;0, 1, 0))),
                IF(G14="-", 0, IF(G14&lt;0, -1, IF(G14&gt;0, 1, 0))),
                IF(G15="-", 0, IF(G15&lt;0, -1, IF(G15&gt;0, 1, 0))),
                IF(G16="-", 0, IF(G16&lt;0, -1, IF(G16&gt;0, 1, 0))),
                IF(G17="-", 0, IF(G17&lt;0, -1, IF(G17&gt;0, 1, 0))),
                IF(G18="-", 0, IF(G18&lt;0, -1, IF(G18&gt;0, 1, 0))),
                IF(G19="-", 0, IF(G19&lt;0, -1, IF(G19&gt;0, 1, 0)))
            )/25 &lt; -0.1,
            "BEARISH",
            "NEUTRO"
        )
    )
)</f>
        <v>BULLISH</v>
      </c>
      <c r="F2" s="321"/>
      <c r="G2" s="319"/>
      <c r="H2" s="348" t="str">
        <f>IF(
    AND(J3="-", J4="-", J5="-", J6="-", J7="-", J8="-", J9="-", J10="-", J11="-", J12="-", J13="-", J14="-", J15="-", J16="-", J17="-", J18="-", J19="-"),
    "",
    IF(
        SUM(
            IF(J3="-", 0, IF(J3&lt;0, -2, IF(J3&gt;0, 2, 0))),
            IF(J4="-", 0, IF(J4&lt;0, -2, IF(J4&gt;0, 2, 0))),
            IF(J5="-", 0, IF(J5&lt;0, -2, IF(J5&gt;0, 2, 0))),
            IF(J6="-", 0, IF(J6&lt;0, -2, IF(J6&gt;0, 2, 0))),
            IF(J7="-", 0, IF(J7&lt;0, -2, IF(J7&gt;0, 2, 0))),
            IF(J8="-", 0, IF(J8&lt;0, -2, IF(J8&gt;0, 2, 0))),
            IF(J9="-", 0, IF(J9&lt;0, -2, IF(J9&gt;0, 2, 0))),
            IF(J10="-", 0, IF(J10&lt;0, -2, IF(J10&gt;0, 2, 0))),
            IF(J11="-", 0, IF(J11&lt;0, -2, IF(J11&gt;0, 2, 0))),
            IF(J12="-", 0, IF(J12&lt;0, -1, IF(J12&gt;0, 1, 0))),
            IF(J13="-", 0, IF(J13&lt;0, -1, IF(J13&gt;0, 1, 0))),
            IF(J14="-", 0, IF(J14&lt;0, -1, IF(J14&gt;0, 1, 0))),
            IF(J15="-", 0, IF(J15&lt;0, -1, IF(J15&gt;0, 1, 0))),
            IF(J16="-", 0, IF(J16&lt;0, -1, IF(J16&gt;0, 1, 0))),
            IF(J17="-", 0, IF(J17&lt;0, -1, IF(J17&gt;0, 1, 0))),
            IF(J18="-", 0, IF(J18&lt;0, -1, IF(J18&gt;0, 1, 0))),
            IF(J19="-", 0, IF(J19&lt;0, -1, IF(J19&gt;0, 1, 0)))
        )/25 &gt; 0.1,
        "BULLISH",
        IF(
            SUM(
                IF(J3="-", 0, IF(J3&lt;0, -2, IF(J3&gt;0, 2, 0))),
                IF(J4="-", 0, IF(J4&lt;0, -2, IF(J4&gt;0, 2, 0))),
                IF(J5="-", 0, IF(J5&lt;0, -2, IF(J5&gt;0, 2, 0))),
                IF(J6="-", 0, IF(J6&lt;0, -2, IF(J6&gt;0, 2, 0))),
                IF(J7="-", 0, IF(J7&lt;0, -2, IF(J7&gt;0, 2, 0))),
                IF(J8="-", 0, IF(J8&lt;0, -2, IF(J8&gt;0, 2, 0))),
                IF(J9="-", 0, IF(J9&lt;0, -2, IF(J9&gt;0, 2, 0))),
                IF(J10="-", 0, IF(J10&lt;0, -2, IF(J10&gt;0, 2, 0))),
                IF(J11="-", 0, IF(J11&lt;0, -2, IF(J11&gt;0, 2, 0))),
                IF(J12="-", 0, IF(J12&lt;0, -1, IF(J12&gt;0, 1, 0))),
                IF(J13="-", 0, IF(J13&lt;0, -1, IF(J13&gt;0, 1, 0))),
                IF(J14="-", 0, IF(J14&lt;0, -1, IF(J14&gt;0, 1, 0))),
                IF(J15="-", 0, IF(J15&lt;0, -1, IF(J15&gt;0, 1, 0))),
                IF(J16="-", 0, IF(J16&lt;0, -1, IF(J16&gt;0, 1, 0))),
                IF(J17="-", 0, IF(J17&lt;0, -1, IF(J17&gt;0, 1, 0))),
                IF(J18="-", 0, IF(J18&lt;0, -1, IF(J18&gt;0, 1, 0))),
                IF(J19="-", 0, IF(J19&lt;0, -1, IF(J19&gt;0, 1, 0)))
            )/25 &lt; -0.1,
            "BEARISH",
            "NEUTRO"
        )
    )
)</f>
        <v>BEARISH</v>
      </c>
      <c r="I2" s="321"/>
      <c r="J2" s="319"/>
      <c r="K2" s="348" t="str">
        <f>IF(
    AND(M3="-", M4="-", M5="-", M6="-", M7="-", M8="-", M9="-", M10="-", M11="-", M12="-", M13="-", M14="-", M15="-", M16="-", M17="-", M18="-", M19="-"),
    "",
    IF(
        SUM(
            IF(M3="-", 0, IF(M3&lt;0, -2, IF(M3&gt;0, 2, 0))),
            IF(M4="-", 0, IF(M4&lt;0, -2, IF(M4&gt;0, 2, 0))),
            IF(M5="-", 0, IF(M5&lt;0, -2, IF(M5&gt;0, 2, 0))),
            IF(M6="-", 0, IF(M6&lt;0, -2, IF(M6&gt;0, 2, 0))),
            IF(M7="-", 0, IF(M7&lt;0, -2, IF(M7&gt;0, 2, 0))),
            IF(M8="-", 0, IF(M8&lt;0, -2, IF(M8&gt;0, 2, 0))),
            IF(M9="-", 0, IF(M9&lt;0, -2, IF(M9&gt;0, 2, 0))),
            IF(M10="-", 0, IF(M10&lt;0, -2, IF(M10&gt;0, 2, 0))),
            IF(M11="-", 0, IF(M11&lt;0, -2, IF(M11&gt;0, 2, 0))),
            IF(M12="-", 0, IF(M12&lt;0, -1, IF(M12&gt;0, 1, 0))),
            IF(M13="-", 0, IF(M13&lt;0, -1, IF(M13&gt;0, 1, 0))),
            IF(M14="-", 0, IF(M14&lt;0, -1, IF(M14&gt;0, 1, 0))),
            IF(M15="-", 0, IF(M15&lt;0, -1, IF(M15&gt;0, 1, 0))),
            IF(M16="-", 0, IF(M16&lt;0, -1, IF(M16&gt;0, 1, 0))),
            IF(M17="-", 0, IF(M17&lt;0, -1, IF(M17&gt;0, 1, 0))),
            IF(M18="-", 0, IF(M18&lt;0, -1, IF(M18&gt;0, 1, 0))),
            IF(M19="-", 0, IF(M19&lt;0, -1, IF(M19&gt;0, 1, 0)))
        )/25 &gt; 0.1,
        "BULLISH",
        IF(
            SUM(
                IF(M3="-", 0, IF(M3&lt;0, -2, IF(M3&gt;0, 2, 0))),
                IF(M4="-", 0, IF(M4&lt;0, -2, IF(M4&gt;0, 2, 0))),
                IF(M5="-", 0, IF(M5&lt;0, -2, IF(M5&gt;0, 2, 0))),
                IF(M6="-", 0, IF(M6&lt;0, -2, IF(M6&gt;0, 2, 0))),
                IF(M7="-", 0, IF(M7&lt;0, -2, IF(M7&gt;0, 2, 0))),
                IF(M8="-", 0, IF(M8&lt;0, -2, IF(M8&gt;0, 2, 0))),
                IF(M9="-", 0, IF(M9&lt;0, -2, IF(M9&gt;0, 2, 0))),
                IF(M10="-", 0, IF(M10&lt;0, -2, IF(M10&gt;0, 2, 0))),
                IF(M11="-", 0, IF(M11&lt;0, -2, IF(M11&gt;0, 2, 0))),
                IF(M12="-", 0, IF(M12&lt;0, -1, IF(M12&gt;0, 1, 0))),
                IF(M13="-", 0, IF(M13&lt;0, -1, IF(M13&gt;0, 1, 0))),
                IF(M14="-", 0, IF(M14&lt;0, -1, IF(M14&gt;0, 1, 0))),
                IF(M15="-", 0, IF(M15&lt;0, -1, IF(M15&gt;0, 1, 0))),
                IF(M16="-", 0, IF(M16&lt;0, -1, IF(M16&gt;0, 1, 0))),
                IF(M17="-", 0, IF(M17&lt;0, -1, IF(M17&gt;0, 1, 0))),
                IF(M18="-", 0, IF(M18&lt;0, -1, IF(M18&gt;0, 1, 0))),
                IF(M19="-", 0, IF(M19&lt;0, -1, IF(M19&gt;0, 1, 0)))
            )/25 &lt; -0.1,
            "BEARISH",
            "NEUTRO"
        )
    )
)</f>
        <v>BULLISH</v>
      </c>
      <c r="L2" s="321"/>
      <c r="M2" s="319"/>
      <c r="N2" s="348" t="str">
        <f>IF(
    AND(P3="-", P4="-", P5="-", P6="-", P7="-", P8="-", P9="-", P10="-", P11="-", P12="-", P13="-", P14="-", P15="-", P16="-", P17="-", P18="-", P19="-"),
    "",
    IF(
        SUM(
            IF(P3="-", 0, IF(P3&lt;0, -2, IF(P3&gt;0, 2, 0))),
            IF(P4="-", 0, IF(P4&lt;0, -2, IF(P4&gt;0, 2, 0))),
            IF(P5="-", 0, IF(P5&lt;0, -2, IF(P5&gt;0, 2, 0))),
            IF(P6="-", 0, IF(P6&lt;0, -2, IF(P6&gt;0, 2, 0))),
            IF(P7="-", 0, IF(P7&lt;0, -2, IF(P7&gt;0, 2, 0))),
            IF(P8="-", 0, IF(P8&lt;0, -2, IF(P8&gt;0, 2, 0))),
            IF(P9="-", 0, IF(P9&lt;0, -2, IF(P9&gt;0, 2, 0))),
            IF(P10="-", 0, IF(P10&lt;0, -2, IF(P10&gt;0, 2, 0))),
            IF(P11="-", 0, IF(P11&lt;0, -2, IF(P11&gt;0, 2, 0))),
            IF(P12="-", 0, IF(P12&lt;0, -1, IF(P12&gt;0, 1, 0))),
            IF(P13="-", 0, IF(P13&lt;0, -1, IF(P13&gt;0, 1, 0))),
            IF(P14="-", 0, IF(P14&lt;0, -1, IF(P14&gt;0, 1, 0))),
            IF(P15="-", 0, IF(P15&lt;0, -1, IF(P15&gt;0, 1, 0))),
            IF(P16="-", 0, IF(P16&lt;0, -1, IF(P16&gt;0, 1, 0))),
            IF(P17="-", 0, IF(P17&lt;0, -1, IF(P17&gt;0, 1, 0))),
            IF(P18="-", 0, IF(P18&lt;0, -1, IF(P18&gt;0, 1, 0))),
            IF(P19="-", 0, IF(P19&lt;0, -1, IF(P19&gt;0, 1, 0)))
        )/25 &gt; 0.1,
        "BULLISH",
        IF(
            SUM(
                IF(P3="-", 0, IF(P3&lt;0, -2, IF(P3&gt;0, 2, 0))),
                IF(P4="-", 0, IF(P4&lt;0, -2, IF(P4&gt;0, 2, 0))),
                IF(P5="-", 0, IF(P5&lt;0, -2, IF(P5&gt;0, 2, 0))),
                IF(P6="-", 0, IF(P6&lt;0, -2, IF(P6&gt;0, 2, 0))),
                IF(P7="-", 0, IF(P7&lt;0, -2, IF(P7&gt;0, 2, 0))),
                IF(P8="-", 0, IF(P8&lt;0, -2, IF(P8&gt;0, 2, 0))),
                IF(P9="-", 0, IF(P9&lt;0, -2, IF(P9&gt;0, 2, 0))),
                IF(P10="-", 0, IF(P10&lt;0, -2, IF(P10&gt;0, 2, 0))),
                IF(P11="-", 0, IF(P11&lt;0, -2, IF(P11&gt;0, 2, 0))),
                IF(P12="-", 0, IF(P12&lt;0, -1, IF(P12&gt;0, 1, 0))),
                IF(P13="-", 0, IF(P13&lt;0, -1, IF(P13&gt;0, 1, 0))),
                IF(P14="-", 0, IF(P14&lt;0, -1, IF(P14&gt;0, 1, 0))),
                IF(P15="-", 0, IF(P15&lt;0, -1, IF(P15&gt;0, 1, 0))),
                IF(P16="-", 0, IF(P16&lt;0, -1, IF(P16&gt;0, 1, 0))),
                IF(P17="-", 0, IF(P17&lt;0, -1, IF(P17&gt;0, 1, 0))),
                IF(P18="-", 0, IF(P18&lt;0, -1, IF(P18&gt;0, 1, 0))),
                IF(P19="-", 0, IF(P19&lt;0, -1, IF(P19&gt;0, 1, 0)))
            )/25 &lt; -0.1,
            "BEARISH",
            "NEUTRO"
        )
    )
)</f>
        <v>NEUTRO</v>
      </c>
      <c r="O2" s="321"/>
      <c r="P2" s="319"/>
      <c r="Q2" s="348" t="str">
        <f>IF(
    AND(S3="-", S4="-", S5="-", S6="-", S7="-", S8="-", S9="-", S10="-", S11="-", S12="-", S13="-", S14="-", S15="-", S16="-", S17="-", S18="-", S19="-"),
    "",
    IF(
        SUM(
            IF(S3="-", 0, IF(S3&lt;0, -2, IF(S3&gt;0, 2, 0))),
            IF(S4="-", 0, IF(S4&lt;0, -2, IF(S4&gt;0, 2, 0))),
            IF(S5="-", 0, IF(S5&lt;0, -2, IF(S5&gt;0, 2, 0))),
            IF(S6="-", 0, IF(S6&lt;0, -2, IF(S6&gt;0, 2, 0))),
            IF(S7="-", 0, IF(S7&lt;0, -2, IF(S7&gt;0, 2, 0))),
            IF(S8="-", 0, IF(S8&lt;0, -2, IF(S8&gt;0, 2, 0))),
            IF(S9="-", 0, IF(S9&lt;0, -2, IF(S9&gt;0, 2, 0))),
            IF(S10="-", 0, IF(S10&lt;0, -2, IF(S10&gt;0, 2, 0))),
            IF(S11="-", 0, IF(S11&lt;0, -2, IF(S11&gt;0, 2, 0))),
            IF(S12="-", 0, IF(S12&lt;0, -1, IF(S12&gt;0, 1, 0))),
            IF(S13="-", 0, IF(S13&lt;0, -1, IF(S13&gt;0, 1, 0))),
            IF(S14="-", 0, IF(S14&lt;0, -1, IF(S14&gt;0, 1, 0))),
            IF(S15="-", 0, IF(S15&lt;0, -1, IF(S15&gt;0, 1, 0))),
            IF(S16="-", 0, IF(S16&lt;0, -1, IF(S16&gt;0, 1, 0))),
            IF(S17="-", 0, IF(S17&lt;0, -1, IF(S17&gt;0, 1, 0))),
            IF(S18="-", 0, IF(S18&lt;0, -1, IF(S18&gt;0, 1, 0))),
            IF(S19="-", 0, IF(S19&lt;0, -1, IF(S19&gt;0, 1, 0)))
        )/25 &gt; 0.1,
        "BULLISH",
        IF(
            SUM(
                IF(S3="-", 0, IF(S3&lt;0, -2, IF(S3&gt;0, 2, 0))),
                IF(S4="-", 0, IF(S4&lt;0, -2, IF(S4&gt;0, 2, 0))),
                IF(S5="-", 0, IF(S5&lt;0, -2, IF(S5&gt;0, 2, 0))),
                IF(S6="-", 0, IF(S6&lt;0, -2, IF(S6&gt;0, 2, 0))),
                IF(S7="-", 0, IF(S7&lt;0, -2, IF(S7&gt;0, 2, 0))),
                IF(S8="-", 0, IF(S8&lt;0, -2, IF(S8&gt;0, 2, 0))),
                IF(S9="-", 0, IF(S9&lt;0, -2, IF(S9&gt;0, 2, 0))),
                IF(S10="-", 0, IF(S10&lt;0, -2, IF(S10&gt;0, 2, 0))),
                IF(S11="-", 0, IF(S11&lt;0, -2, IF(S11&gt;0, 2, 0))),
                IF(S12="-", 0, IF(S12&lt;0, -1, IF(S12&gt;0, 1, 0))),
                IF(S13="-", 0, IF(S13&lt;0, -1, IF(S13&gt;0, 1, 0))),
                IF(S14="-", 0, IF(S14&lt;0, -1, IF(S14&gt;0, 1, 0))),
                IF(S15="-", 0, IF(S15&lt;0, -1, IF(S15&gt;0, 1, 0))),
                IF(S16="-", 0, IF(S16&lt;0, -1, IF(S16&gt;0, 1, 0))),
                IF(S17="-", 0, IF(S17&lt;0, -1, IF(S17&gt;0, 1, 0))),
                IF(S18="-", 0, IF(S18&lt;0, -1, IF(S18&gt;0, 1, 0))),
                IF(S19="-", 0, IF(S19&lt;0, -1, IF(S19&gt;0, 1, 0)))
            )/25 &lt; -0.1,
            "BEARISH",
            "NEUTRO"
        )
    )
)</f>
        <v>BULLISH</v>
      </c>
      <c r="R2" s="321"/>
      <c r="S2" s="319"/>
      <c r="T2" s="348" t="str">
        <f>IF(
    AND(V3="-", V4="-", V5="-", V6="-", V7="-", V8="-", V9="-", V10="-", V11="-", V12="-", V13="-", V14="-", V15="-", V16="-", V17="-", V18="-", V19="-"),
    "",
    IF(
        SUM(
            IF(V3="-", 0, IF(V3&lt;0, -2, IF(V3&gt;0, 2, 0))),
            IF(V4="-", 0, IF(V4&lt;0, -2, IF(V4&gt;0, 2, 0))),
            IF(V5="-", 0, IF(V5&lt;0, -2, IF(V5&gt;0, 2, 0))),
            IF(V6="-", 0, IF(V6&lt;0, -2, IF(V6&gt;0, 2, 0))),
            IF(V7="-", 0, IF(V7&lt;0, -2, IF(V7&gt;0, 2, 0))),
            IF(V8="-", 0, IF(V8&lt;0, -2, IF(V8&gt;0, 2, 0))),
            IF(V9="-", 0, IF(V9&lt;0, -2, IF(V9&gt;0, 2, 0))),
            IF(V10="-", 0, IF(V10&lt;0, -2, IF(V10&gt;0, 2, 0))),
            IF(V11="-", 0, IF(V11&lt;0, -2, IF(V11&gt;0, 2, 0))),
            IF(V12="-", 0, IF(V12&lt;0, -1, IF(V12&gt;0, 1, 0))),
            IF(V13="-", 0, IF(V13&lt;0, -1, IF(V13&gt;0, 1, 0))),
            IF(V14="-", 0, IF(V14&lt;0, -1, IF(V14&gt;0, 1, 0))),
            IF(V15="-", 0, IF(V15&lt;0, -1, IF(V15&gt;0, 1, 0))),
            IF(V16="-", 0, IF(V16&lt;0, -1, IF(V16&gt;0, 1, 0))),
            IF(V17="-", 0, IF(V17&lt;0, -1, IF(V17&gt;0, 1, 0))),
            IF(V18="-", 0, IF(V18&lt;0, -1, IF(V18&gt;0, 1, 0))),
            IF(V19="-", 0, IF(V19&lt;0, -1, IF(V19&gt;0, 1, 0)))
        )/25 &gt; 0.1,
        "BULLISH",
        IF(
            SUM(
                IF(V3="-", 0, IF(V3&lt;0, -2, IF(V3&gt;0, 2, 0))),
                IF(V4="-", 0, IF(V4&lt;0, -2, IF(V4&gt;0, 2, 0))),
                IF(V5="-", 0, IF(V5&lt;0, -2, IF(V5&gt;0, 2, 0))),
                IF(V6="-", 0, IF(V6&lt;0, -2, IF(V6&gt;0, 2, 0))),
                IF(V7="-", 0, IF(V7&lt;0, -2, IF(V7&gt;0, 2, 0))),
                IF(V8="-", 0, IF(V8&lt;0, -2, IF(V8&gt;0, 2, 0))),
                IF(V9="-", 0, IF(V9&lt;0, -2, IF(V9&gt;0, 2, 0))),
                IF(V10="-", 0, IF(V10&lt;0, -2, IF(V10&gt;0, 2, 0))),
                IF(V11="-", 0, IF(V11&lt;0, -2, IF(V11&gt;0, 2, 0))),
                IF(V12="-", 0, IF(V12&lt;0, -1, IF(V12&gt;0, 1, 0))),
                IF(V13="-", 0, IF(V13&lt;0, -1, IF(V13&gt;0, 1, 0))),
                IF(V14="-", 0, IF(V14&lt;0, -1, IF(V14&gt;0, 1, 0))),
                IF(V15="-", 0, IF(V15&lt;0, -1, IF(V15&gt;0, 1, 0))),
                IF(V16="-", 0, IF(V16&lt;0, -1, IF(V16&gt;0, 1, 0))),
                IF(V17="-", 0, IF(V17&lt;0, -1, IF(V17&gt;0, 1, 0))),
                IF(V18="-", 0, IF(V18&lt;0, -1, IF(V18&gt;0, 1, 0))),
                IF(V19="-", 0, IF(V19&lt;0, -1, IF(V19&gt;0, 1, 0)))
            )/25 &lt; -0.1,
            "BEARISH",
            "NEUTRO"
        )
    )
)</f>
        <v>BULLISH</v>
      </c>
      <c r="U2" s="321"/>
      <c r="V2" s="319"/>
      <c r="W2" s="348" t="str">
        <f>IF(
    AND(Y3="-", Y4="-", Y5="-", Y6="-", Y7="-", Y8="-", Y9="-", Y10="-", Y11="-", Y12="-", Y13="-", Y14="-", Y15="-", Y16="-", Y17="-", Y18="-", Y19="-"),
    "",
    IF(
        SUM(
            IF(Y3="-", 0, IF(Y3&lt;0, -2, IF(Y3&gt;0, 2, 0))),
            IF(Y4="-", 0, IF(Y4&lt;0, -2, IF(Y4&gt;0, 2, 0))),
            IF(Y5="-", 0, IF(Y5&lt;0, -2, IF(Y5&gt;0, 2, 0))),
            IF(Y6="-", 0, IF(Y6&lt;0, -2, IF(Y6&gt;0, 2, 0))),
            IF(Y7="-", 0, IF(Y7&lt;0, -2, IF(Y7&gt;0, 2, 0))),
            IF(Y8="-", 0, IF(Y8&lt;0, -2, IF(Y8&gt;0, 2, 0))),
            IF(Y9="-", 0, IF(Y9&lt;0, -2, IF(Y9&gt;0, 2, 0))),
            IF(Y10="-", 0, IF(Y10&lt;0, -2, IF(Y10&gt;0, 2, 0))),
            IF(Y11="-", 0, IF(Y11&lt;0, -2, IF(Y11&gt;0, 2, 0))),
            IF(Y12="-", 0, IF(Y12&lt;0, -1, IF(Y12&gt;0, 1, 0))),
            IF(Y13="-", 0, IF(Y13&lt;0, -1, IF(Y13&gt;0, 1, 0))),
            IF(Y14="-", 0, IF(Y14&lt;0, -1, IF(Y14&gt;0, 1, 0))),
            IF(Y15="-", 0, IF(Y15&lt;0, -1, IF(Y15&gt;0, 1, 0))),
            IF(Y16="-", 0, IF(Y16&lt;0, -1, IF(Y16&gt;0, 1, 0))),
            IF(Y17="-", 0, IF(Y17&lt;0, -1, IF(Y17&gt;0, 1, 0))),
            IF(Y18="-", 0, IF(Y18&lt;0, -1, IF(Y18&gt;0, 1, 0))),
            IF(Y19="-", 0, IF(Y19&lt;0, -1, IF(Y19&gt;0, 1, 0)))
        )/25 &gt; 0.1,
        "BULLISH",
        IF(
            SUM(
                IF(Y3="-", 0, IF(Y3&lt;0, -2, IF(Y3&gt;0, 2, 0))),
                IF(Y4="-", 0, IF(Y4&lt;0, -2, IF(Y4&gt;0, 2, 0))),
                IF(Y5="-", 0, IF(Y5&lt;0, -2, IF(Y5&gt;0, 2, 0))),
                IF(Y6="-", 0, IF(Y6&lt;0, -2, IF(Y6&gt;0, 2, 0))),
                IF(Y7="-", 0, IF(Y7&lt;0, -2, IF(Y7&gt;0, 2, 0))),
                IF(Y8="-", 0, IF(Y8&lt;0, -2, IF(Y8&gt;0, 2, 0))),
                IF(Y9="-", 0, IF(Y9&lt;0, -2, IF(Y9&gt;0, 2, 0))),
                IF(Y10="-", 0, IF(Y10&lt;0, -2, IF(Y10&gt;0, 2, 0))),
                IF(Y11="-", 0, IF(Y11&lt;0, -2, IF(Y11&gt;0, 2, 0))),
                IF(Y12="-", 0, IF(Y12&lt;0, -1, IF(Y12&gt;0, 1, 0))),
                IF(Y13="-", 0, IF(Y13&lt;0, -1, IF(Y13&gt;0, 1, 0))),
                IF(Y14="-", 0, IF(Y14&lt;0, -1, IF(Y14&gt;0, 1, 0))),
                IF(Y15="-", 0, IF(Y15&lt;0, -1, IF(Y15&gt;0, 1, 0))),
                IF(Y16="-", 0, IF(Y16&lt;0, -1, IF(Y16&gt;0, 1, 0))),
                IF(Y17="-", 0, IF(Y17&lt;0, -1, IF(Y17&gt;0, 1, 0))),
                IF(Y18="-", 0, IF(Y18&lt;0, -1, IF(Y18&gt;0, 1, 0))),
                IF(Y19="-", 0, IF(Y19&lt;0, -1, IF(Y19&gt;0, 1, 0)))
            )/25 &lt; -0.1,
            "BEARISH",
            "NEUTRO"
        )
    )
)</f>
        <v>BEARISH</v>
      </c>
      <c r="X2" s="321"/>
      <c r="Y2" s="319"/>
      <c r="Z2" s="348" t="str">
        <f>IF(
    AND(AB3="-", AB4="-", AB5="-", AB6="-", AB7="-", AB8="-", AB9="-", AB10="-", AB11="-", AB12="-", AB13="-", AB14="-", AB15="-", AB16="-", AB17="-", AB18="-", AB19="-"),
    "",
    IF(
        SUM(
            IF(AB3="-", 0, IF(AB3&lt;0, -2, IF(AB3&gt;0, 2, 0))),
            IF(AB4="-", 0, IF(AB4&lt;0, -2, IF(AB4&gt;0, 2, 0))),
            IF(AB5="-", 0, IF(AB5&lt;0, -2, IF(AB5&gt;0, 2, 0))),
            IF(AB6="-", 0, IF(AB6&lt;0, -2, IF(AB6&gt;0, 2, 0))),
            IF(AB7="-", 0, IF(AB7&lt;0, -2, IF(AB7&gt;0, 2, 0))),
            IF(AB8="-", 0, IF(AB8&lt;0, -2, IF(AB8&gt;0, 2, 0))),
            IF(AB9="-", 0, IF(AB9&lt;0, -2, IF(AB9&gt;0, 2, 0))),
            IF(AB10="-", 0, IF(AB10&lt;0, -2, IF(AB10&gt;0, 2, 0))),
            IF(AB11="-", 0, IF(AB11&lt;0, -2, IF(AB11&gt;0, 2, 0))),
            IF(AB12="-", 0, IF(AB12&lt;0, -1, IF(AB12&gt;0, 1, 0))),
            IF(AB13="-", 0, IF(AB13&lt;0, -1, IF(AB13&gt;0, 1, 0))),
            IF(AB14="-", 0, IF(AB14&lt;0, -1, IF(AB14&gt;0, 1, 0))),
            IF(AB15="-", 0, IF(AB15&lt;0, -1, IF(AB15&gt;0, 1, 0))),
            IF(AB16="-", 0, IF(AB16&lt;0, -1, IF(AB16&gt;0, 1, 0))),
            IF(AB17="-", 0, IF(AB17&lt;0, -1, IF(AB17&gt;0, 1, 0))),
            IF(AB18="-", 0, IF(AB18&lt;0, -1, IF(AB18&gt;0, 1, 0))),
            IF(AB19="-", 0, IF(AB19&lt;0, -1, IF(AB19&gt;0, 1, 0)))
        )/25 &gt; 0.1,
        "BULLISH",
        IF(
            SUM(
                IF(AB3="-", 0, IF(AB3&lt;0, -2, IF(AB3&gt;0, 2, 0))),
                IF(AB4="-", 0, IF(AB4&lt;0, -2, IF(AB4&gt;0, 2, 0))),
                IF(AB5="-", 0, IF(AB5&lt;0, -2, IF(AB5&gt;0, 2, 0))),
                IF(AB6="-", 0, IF(AB6&lt;0, -2, IF(AB6&gt;0, 2, 0))),
                IF(AB7="-", 0, IF(AB7&lt;0, -2, IF(AB7&gt;0, 2, 0))),
                IF(AB8="-", 0, IF(AB8&lt;0, -2, IF(AB8&gt;0, 2, 0))),
                IF(AB9="-", 0, IF(AB9&lt;0, -2, IF(AB9&gt;0, 2, 0))),
                IF(AB10="-", 0, IF(AB10&lt;0, -2, IF(AB10&gt;0, 2, 0))),
                IF(AB11="-", 0, IF(AB11&lt;0, -2, IF(AB11&gt;0, 2, 0))),
                IF(AB12="-", 0, IF(AB12&lt;0, -1, IF(AB12&gt;0, 1, 0))),
                IF(AB13="-", 0, IF(AB13&lt;0, -1, IF(AB13&gt;0, 1, 0))),
                IF(AB14="-", 0, IF(AB14&lt;0, -1, IF(AB14&gt;0, 1, 0))),
                IF(AB15="-", 0, IF(AB15&lt;0, -1, IF(AB15&gt;0, 1, 0))),
                IF(AB16="-", 0, IF(AB16&lt;0, -1, IF(AB16&gt;0, 1, 0))),
                IF(AB17="-", 0, IF(AB17&lt;0, -1, IF(AB17&gt;0, 1, 0))),
                IF(AB18="-", 0, IF(AB18&lt;0, -1, IF(AB18&gt;0, 1, 0))),
                IF(AB19="-", 0, IF(AB19&lt;0, -1, IF(AB19&gt;0, 1, 0)))
            )/25 &lt; -0.1,
            "BEARISH",
            "NEUTRO"
        )
    )
)</f>
        <v>BEARISH</v>
      </c>
      <c r="AA2" s="321"/>
      <c r="AB2" s="319"/>
      <c r="AC2" s="348" t="str">
        <f>IF(
    AND(AE3="-", AE4="-", AE5="-", AE6="-", AE7="-", AE8="-", AE9="-", AE10="-", AE11="-", AE12="-", AE13="-", AE14="-", AE15="-", AE16="-", AE17="-", AE18="-", AE19="-"),
    "",
    IF(
        SUM(
            IF(AE3="-", 0, IF(AE3&lt;0, -2, IF(AE3&gt;0, 2, 0))),
            IF(AE4="-", 0, IF(AE4&lt;0, -2, IF(AE4&gt;0, 2, 0))),
            IF(AE5="-", 0, IF(AE5&lt;0, -2, IF(AE5&gt;0, 2, 0))),
            IF(AE6="-", 0, IF(AE6&lt;0, -2, IF(AE6&gt;0, 2, 0))),
            IF(AE7="-", 0, IF(AE7&lt;0, -2, IF(AE7&gt;0, 2, 0))),
            IF(AE8="-", 0, IF(AE8&lt;0, -2, IF(AE8&gt;0, 2, 0))),
            IF(AE9="-", 0, IF(AE9&lt;0, -2, IF(AE9&gt;0, 2, 0))),
            IF(AE10="-", 0, IF(AE10&lt;0, -2, IF(AE10&gt;0, 2, 0))),
            IF(AE11="-", 0, IF(AE11&lt;0, -2, IF(AE11&gt;0, 2, 0))),
            IF(AE12="-", 0, IF(AE12&lt;0, -1, IF(AE12&gt;0, 1, 0))),
            IF(AE13="-", 0, IF(AE13&lt;0, -1, IF(AE13&gt;0, 1, 0))),
            IF(AE14="-", 0, IF(AE14&lt;0, -1, IF(AE14&gt;0, 1, 0))),
            IF(AE15="-", 0, IF(AE15&lt;0, -1, IF(AE15&gt;0, 1, 0))),
            IF(AE16="-", 0, IF(AE16&lt;0, -1, IF(AE16&gt;0, 1, 0))),
            IF(AE17="-", 0, IF(AE17&lt;0, -1, IF(AE17&gt;0, 1, 0))),
            IF(AE18="-", 0, IF(AE18&lt;0, -1, IF(AE18&gt;0, 1, 0))),
            IF(AE19="-", 0, IF(AE19&lt;0, -1, IF(AE19&gt;0, 1, 0)))
        )/25 &gt; 0.1,
        "BULLISH",
        IF(
            SUM(
                IF(AE3="-", 0, IF(AE3&lt;0, -2, IF(AE3&gt;0, 2, 0))),
                IF(AE4="-", 0, IF(AE4&lt;0, -2, IF(AE4&gt;0, 2, 0))),
                IF(AE5="-", 0, IF(AE5&lt;0, -2, IF(AE5&gt;0, 2, 0))),
                IF(AE6="-", 0, IF(AE6&lt;0, -2, IF(AE6&gt;0, 2, 0))),
                IF(AE7="-", 0, IF(AE7&lt;0, -2, IF(AE7&gt;0, 2, 0))),
                IF(AE8="-", 0, IF(AE8&lt;0, -2, IF(AE8&gt;0, 2, 0))),
                IF(AE9="-", 0, IF(AE9&lt;0, -2, IF(AE9&gt;0, 2, 0))),
                IF(AE10="-", 0, IF(AE10&lt;0, -2, IF(AE10&gt;0, 2, 0))),
                IF(AE11="-", 0, IF(AE11&lt;0, -2, IF(AE11&gt;0, 2, 0))),
                IF(AE12="-", 0, IF(AE12&lt;0, -1, IF(AE12&gt;0, 1, 0))),
                IF(AE13="-", 0, IF(AE13&lt;0, -1, IF(AE13&gt;0, 1, 0))),
                IF(AE14="-", 0, IF(AE14&lt;0, -1, IF(AE14&gt;0, 1, 0))),
                IF(AE15="-", 0, IF(AE15&lt;0, -1, IF(AE15&gt;0, 1, 0))),
                IF(AE16="-", 0, IF(AE16&lt;0, -1, IF(AE16&gt;0, 1, 0))),
                IF(AE17="-", 0, IF(AE17&lt;0, -1, IF(AE17&gt;0, 1, 0))),
                IF(AE18="-", 0, IF(AE18&lt;0, -1, IF(AE18&gt;0, 1, 0))),
                IF(AE19="-", 0, IF(AE19&lt;0, -1, IF(AE19&gt;0, 1, 0)))
            )/25 &lt; -0.1,
            "BEARISH",
            "NEUTRO"
        )
    )
)</f>
        <v>NEUTRO</v>
      </c>
      <c r="AD2" s="321"/>
      <c r="AE2" s="319"/>
      <c r="AF2" s="348" t="str">
        <f>IF(
    AND(AH3="-", AH4="-", AH5="-", AH6="-", AH7="-", AH8="-", AH9="-", AH10="-", AH11="-", AH12="-", AH13="-", AH14="-", AH15="-", AH16="-", AH17="-", AH18="-", AH19="-"),
    "",
    IF(
        SUM(
            IF(AH3="-", 0, IF(AH3&lt;0, -2, IF(AH3&gt;0, 2, 0))),
            IF(AH4="-", 0, IF(AH4&lt;0, -2, IF(AH4&gt;0, 2, 0))),
            IF(AH5="-", 0, IF(AH5&lt;0, -2, IF(AH5&gt;0, 2, 0))),
            IF(AH6="-", 0, IF(AH6&lt;0, -2, IF(AH6&gt;0, 2, 0))),
            IF(AH7="-", 0, IF(AH7&lt;0, -2, IF(AH7&gt;0, 2, 0))),
            IF(AH8="-", 0, IF(AH8&lt;0, -2, IF(AH8&gt;0, 2, 0))),
            IF(AH9="-", 0, IF(AH9&lt;0, -2, IF(AH9&gt;0, 2, 0))),
            IF(AH10="-", 0, IF(AH10&lt;0, -2, IF(AH10&gt;0, 2, 0))),
            IF(AH11="-", 0, IF(AH11&lt;0, -2, IF(AH11&gt;0, 2, 0))),
            IF(AH12="-", 0, IF(AH12&lt;0, -1, IF(AH12&gt;0, 1, 0))),
            IF(AH13="-", 0, IF(AH13&lt;0, -1, IF(AH13&gt;0, 1, 0))),
            IF(AH14="-", 0, IF(AH14&lt;0, -1, IF(AH14&gt;0, 1, 0))),
            IF(AH15="-", 0, IF(AH15&lt;0, -1, IF(AH15&gt;0, 1, 0))),
            IF(AH16="-", 0, IF(AH16&lt;0, -1, IF(AH16&gt;0, 1, 0))),
            IF(AH17="-", 0, IF(AH17&lt;0, -1, IF(AH17&gt;0, 1, 0))),
            IF(AH18="-", 0, IF(AH18&lt;0, -1, IF(AH18&gt;0, 1, 0))),
            IF(AH19="-", 0, IF(AH19&lt;0, -1, IF(AH19&gt;0, 1, 0)))
        )/25 &gt; 0.1,
        "BULLISH",
        IF(
            SUM(
                IF(AH3="-", 0, IF(AH3&lt;0, -2, IF(AH3&gt;0, 2, 0))),
                IF(AH4="-", 0, IF(AH4&lt;0, -2, IF(AH4&gt;0, 2, 0))),
                IF(AH5="-", 0, IF(AH5&lt;0, -2, IF(AH5&gt;0, 2, 0))),
                IF(AH6="-", 0, IF(AH6&lt;0, -2, IF(AH6&gt;0, 2, 0))),
                IF(AH7="-", 0, IF(AH7&lt;0, -2, IF(AH7&gt;0, 2, 0))),
                IF(AH8="-", 0, IF(AH8&lt;0, -2, IF(AH8&gt;0, 2, 0))),
                IF(AH9="-", 0, IF(AH9&lt;0, -2, IF(AH9&gt;0, 2, 0))),
                IF(AH10="-", 0, IF(AH10&lt;0, -2, IF(AH10&gt;0, 2, 0))),
                IF(AH11="-", 0, IF(AH11&lt;0, -2, IF(AH11&gt;0, 2, 0))),
                IF(AH12="-", 0, IF(AH12&lt;0, -1, IF(AH12&gt;0, 1, 0))),
                IF(AH13="-", 0, IF(AH13&lt;0, -1, IF(AH13&gt;0, 1, 0))),
                IF(AH14="-", 0, IF(AH14&lt;0, -1, IF(AH14&gt;0, 1, 0))),
                IF(AH15="-", 0, IF(AH15&lt;0, -1, IF(AH15&gt;0, 1, 0))),
                IF(AH16="-", 0, IF(AH16&lt;0, -1, IF(AH16&gt;0, 1, 0))),
                IF(AH17="-", 0, IF(AH17&lt;0, -1, IF(AH17&gt;0, 1, 0))),
                IF(AH18="-", 0, IF(AH18&lt;0, -1, IF(AH18&gt;0, 1, 0))),
                IF(AH19="-", 0, IF(AH19&lt;0, -1, IF(AH19&gt;0, 1, 0)))
            )/25 &lt; -0.1,
            "BEARISH",
            "NEUTRO"
        )
    )
)</f>
        <v>BULLISH</v>
      </c>
      <c r="AG2" s="321"/>
      <c r="AH2" s="319"/>
      <c r="AI2" s="348" t="str">
        <f>IF(
    AND(AK3="-", AK4="-", AK5="-", AK6="-", AK7="-", AK8="-", AK9="-", AK10="-", AK11="-", AK12="-", AK13="-", AK14="-", AK15="-", AK16="-", AK17="-", AK18="-", AK19="-"),
    "",
    IF(
        SUM(
            IF(AK3="-", 0, IF(AK3&lt;0, -2, IF(AK3&gt;0, 2, 0))),
            IF(AK4="-", 0, IF(AK4&lt;0, -2, IF(AK4&gt;0, 2, 0))),
            IF(AK5="-", 0, IF(AK5&lt;0, -2, IF(AK5&gt;0, 2, 0))),
            IF(AK6="-", 0, IF(AK6&lt;0, -2, IF(AK6&gt;0, 2, 0))),
            IF(AK7="-", 0, IF(AK7&lt;0, -2, IF(AK7&gt;0, 2, 0))),
            IF(AK8="-", 0, IF(AK8&lt;0, -2, IF(AK8&gt;0, 2, 0))),
            IF(AK9="-", 0, IF(AK9&lt;0, -2, IF(AK9&gt;0, 2, 0))),
            IF(AK10="-", 0, IF(AK10&lt;0, -2, IF(AK10&gt;0, 2, 0))),
            IF(AK11="-", 0, IF(AK11&lt;0, -2, IF(AK11&gt;0, 2, 0))),
            IF(AK12="-", 0, IF(AK12&lt;0, -1, IF(AK12&gt;0, 1, 0))),
            IF(AK13="-", 0, IF(AK13&lt;0, -1, IF(AK13&gt;0, 1, 0))),
            IF(AK14="-", 0, IF(AK14&lt;0, -1, IF(AK14&gt;0, 1, 0))),
            IF(AK15="-", 0, IF(AK15&lt;0, -1, IF(AK15&gt;0, 1, 0))),
            IF(AK16="-", 0, IF(AK16&lt;0, -1, IF(AK16&gt;0, 1, 0))),
            IF(AK17="-", 0, IF(AK17&lt;0, -1, IF(AK17&gt;0, 1, 0))),
            IF(AK18="-", 0, IF(AK18&lt;0, -1, IF(AK18&gt;0, 1, 0))),
            IF(AK19="-", 0, IF(AK19&lt;0, -1, IF(AK19&gt;0, 1, 0)))
        )/25 &gt; 0.1,
        "BULLISH",
        IF(
            SUM(
                IF(AK3="-", 0, IF(AK3&lt;0, -2, IF(AK3&gt;0, 2, 0))),
                IF(AK4="-", 0, IF(AK4&lt;0, -2, IF(AK4&gt;0, 2, 0))),
                IF(AK5="-", 0, IF(AK5&lt;0, -2, IF(AK5&gt;0, 2, 0))),
                IF(AK6="-", 0, IF(AK6&lt;0, -2, IF(AK6&gt;0, 2, 0))),
                IF(AK7="-", 0, IF(AK7&lt;0, -2, IF(AK7&gt;0, 2, 0))),
                IF(AK8="-", 0, IF(AK8&lt;0, -2, IF(AK8&gt;0, 2, 0))),
                IF(AK9="-", 0, IF(AK9&lt;0, -2, IF(AK9&gt;0, 2, 0))),
                IF(AK10="-", 0, IF(AK10&lt;0, -2, IF(AK10&gt;0, 2, 0))),
                IF(AK11="-", 0, IF(AK11&lt;0, -2, IF(AK11&gt;0, 2, 0))),
                IF(AK12="-", 0, IF(AK12&lt;0, -1, IF(AK12&gt;0, 1, 0))),
                IF(AK13="-", 0, IF(AK13&lt;0, -1, IF(AK13&gt;0, 1, 0))),
                IF(AK14="-", 0, IF(AK14&lt;0, -1, IF(AK14&gt;0, 1, 0))),
                IF(AK15="-", 0, IF(AK15&lt;0, -1, IF(AK15&gt;0, 1, 0))),
                IF(AK16="-", 0, IF(AK16&lt;0, -1, IF(AK16&gt;0, 1, 0))),
                IF(AK17="-", 0, IF(AK17&lt;0, -1, IF(AK17&gt;0, 1, 0))),
                IF(AK18="-", 0, IF(AK18&lt;0, -1, IF(AK18&gt;0, 1, 0))),
                IF(AK19="-", 0, IF(AK19&lt;0, -1, IF(AK19&gt;0, 1, 0)))
            )/25 &lt; -0.1,
            "BEARISH",
            "NEUTRO"
        )
    )
)</f>
        <v>BULLISH</v>
      </c>
      <c r="AJ2" s="321"/>
      <c r="AK2" s="319"/>
      <c r="AL2" s="348" t="str">
        <f>IF(
    AND(AN3="-", AN4="-", AN5="-", AN6="-", AN7="-", AN8="-", AN9="-", AN10="-", AN11="-", AN12="-", AN13="-", AN14="-", AN15="-", AN16="-", AN17="-", AN18="-", AN19="-"),
    "",
    IF(
        SUM(
            IF(AN3="-", 0, IF(AN3&lt;0, -2, IF(AN3&gt;0, 2, 0))),
            IF(AN4="-", 0, IF(AN4&lt;0, -2, IF(AN4&gt;0, 2, 0))),
            IF(AN5="-", 0, IF(AN5&lt;0, -2, IF(AN5&gt;0, 2, 0))),
            IF(AN6="-", 0, IF(AN6&lt;0, -2, IF(AN6&gt;0, 2, 0))),
            IF(AN7="-", 0, IF(AN7&lt;0, -2, IF(AN7&gt;0, 2, 0))),
            IF(AN8="-", 0, IF(AN8&lt;0, -2, IF(AN8&gt;0, 2, 0))),
            IF(AN9="-", 0, IF(AN9&lt;0, -2, IF(AN9&gt;0, 2, 0))),
            IF(AN10="-", 0, IF(AN10&lt;0, -2, IF(AN10&gt;0, 2, 0))),
            IF(AN11="-", 0, IF(AN11&lt;0, -2, IF(AN11&gt;0, 2, 0))),
            IF(AN12="-", 0, IF(AN12&lt;0, -1, IF(AN12&gt;0, 1, 0))),
            IF(AN13="-", 0, IF(AN13&lt;0, -1, IF(AN13&gt;0, 1, 0))),
            IF(AN14="-", 0, IF(AN14&lt;0, -1, IF(AN14&gt;0, 1, 0))),
            IF(AN15="-", 0, IF(AN15&lt;0, -1, IF(AN15&gt;0, 1, 0))),
            IF(AN16="-", 0, IF(AN16&lt;0, -1, IF(AN16&gt;0, 1, 0))),
            IF(AN17="-", 0, IF(AN17&lt;0, -1, IF(AN17&gt;0, 1, 0))),
            IF(AN18="-", 0, IF(AN18&lt;0, -1, IF(AN18&gt;0, 1, 0))),
            IF(AN19="-", 0, IF(AN19&lt;0, -1, IF(AN19&gt;0, 1, 0)))
        )/25 &gt; 0.1,
        "BULLISH",
        IF(
            SUM(
                IF(AN3="-", 0, IF(AN3&lt;0, -2, IF(AN3&gt;0, 2, 0))),
                IF(AN4="-", 0, IF(AN4&lt;0, -2, IF(AN4&gt;0, 2, 0))),
                IF(AN5="-", 0, IF(AN5&lt;0, -2, IF(AN5&gt;0, 2, 0))),
                IF(AN6="-", 0, IF(AN6&lt;0, -2, IF(AN6&gt;0, 2, 0))),
                IF(AN7="-", 0, IF(AN7&lt;0, -2, IF(AN7&gt;0, 2, 0))),
                IF(AN8="-", 0, IF(AN8&lt;0, -2, IF(AN8&gt;0, 2, 0))),
                IF(AN9="-", 0, IF(AN9&lt;0, -2, IF(AN9&gt;0, 2, 0))),
                IF(AN10="-", 0, IF(AN10&lt;0, -2, IF(AN10&gt;0, 2, 0))),
                IF(AN11="-", 0, IF(AN11&lt;0, -2, IF(AN11&gt;0, 2, 0))),
                IF(AN12="-", 0, IF(AN12&lt;0, -1, IF(AN12&gt;0, 1, 0))),
                IF(AN13="-", 0, IF(AN13&lt;0, -1, IF(AN13&gt;0, 1, 0))),
                IF(AN14="-", 0, IF(AN14&lt;0, -1, IF(AN14&gt;0, 1, 0))),
                IF(AN15="-", 0, IF(AN15&lt;0, -1, IF(AN15&gt;0, 1, 0))),
                IF(AN16="-", 0, IF(AN16&lt;0, -1, IF(AN16&gt;0, 1, 0))),
                IF(AN17="-", 0, IF(AN17&lt;0, -1, IF(AN17&gt;0, 1, 0))),
                IF(AN18="-", 0, IF(AN18&lt;0, -1, IF(AN18&gt;0, 1, 0))),
                IF(AN19="-", 0, IF(AN19&lt;0, -1, IF(AN19&gt;0, 1, 0)))
            )/25 &lt; -0.1,
            "BEARISH",
            "NEUTRO"
        )
    )
)</f>
        <v>NEUTRO</v>
      </c>
      <c r="AM2" s="321"/>
      <c r="AN2" s="319"/>
      <c r="AO2" s="348" t="str">
        <f>IF(
    AND(AQ3="-", AQ4="-", AQ5="-", AQ6="-", AQ7="-", AQ8="-", AQ9="-", AQ10="-", AQ11="-", AQ12="-", AQ13="-", AQ14="-", AQ15="-", AQ16="-", AQ17="-", AQ18="-", AQ19="-"),
    "",
    IF(
        SUM(
            IF(AQ3="-", 0, IF(AQ3&lt;0, -2, IF(AQ3&gt;0, 2, 0))),
            IF(AQ4="-", 0, IF(AQ4&lt;0, -2, IF(AQ4&gt;0, 2, 0))),
            IF(AQ5="-", 0, IF(AQ5&lt;0, -2, IF(AQ5&gt;0, 2, 0))),
            IF(AQ6="-", 0, IF(AQ6&lt;0, -2, IF(AQ6&gt;0, 2, 0))),
            IF(AQ7="-", 0, IF(AQ7&lt;0, -2, IF(AQ7&gt;0, 2, 0))),
            IF(AQ8="-", 0, IF(AQ8&lt;0, -2, IF(AQ8&gt;0, 2, 0))),
            IF(AQ9="-", 0, IF(AQ9&lt;0, -2, IF(AQ9&gt;0, 2, 0))),
            IF(AQ10="-", 0, IF(AQ10&lt;0, -2, IF(AQ10&gt;0, 2, 0))),
            IF(AQ11="-", 0, IF(AQ11&lt;0, -2, IF(AQ11&gt;0, 2, 0))),
            IF(AQ12="-", 0, IF(AQ12&lt;0, -1, IF(AQ12&gt;0, 1, 0))),
            IF(AQ13="-", 0, IF(AQ13&lt;0, -1, IF(AQ13&gt;0, 1, 0))),
            IF(AQ14="-", 0, IF(AQ14&lt;0, -1, IF(AQ14&gt;0, 1, 0))),
            IF(AQ15="-", 0, IF(AQ15&lt;0, -1, IF(AQ15&gt;0, 1, 0))),
            IF(AQ16="-", 0, IF(AQ16&lt;0, -1, IF(AQ16&gt;0, 1, 0))),
            IF(AQ17="-", 0, IF(AQ17&lt;0, -1, IF(AQ17&gt;0, 1, 0))),
            IF(AQ18="-", 0, IF(AQ18&lt;0, -1, IF(AQ18&gt;0, 1, 0))),
            IF(AQ19="-", 0, IF(AQ19&lt;0, -1, IF(AQ19&gt;0, 1, 0)))
        )/25 &gt; 0.1,
        "BULLISH",
        IF(
            SUM(
                IF(AQ3="-", 0, IF(AQ3&lt;0, -2, IF(AQ3&gt;0, 2, 0))),
                IF(AQ4="-", 0, IF(AQ4&lt;0, -2, IF(AQ4&gt;0, 2, 0))),
                IF(AQ5="-", 0, IF(AQ5&lt;0, -2, IF(AQ5&gt;0, 2, 0))),
                IF(AQ6="-", 0, IF(AQ6&lt;0, -2, IF(AQ6&gt;0, 2, 0))),
                IF(AQ7="-", 0, IF(AQ7&lt;0, -2, IF(AQ7&gt;0, 2, 0))),
                IF(AQ8="-", 0, IF(AQ8&lt;0, -2, IF(AQ8&gt;0, 2, 0))),
                IF(AQ9="-", 0, IF(AQ9&lt;0, -2, IF(AQ9&gt;0, 2, 0))),
                IF(AQ10="-", 0, IF(AQ10&lt;0, -2, IF(AQ10&gt;0, 2, 0))),
                IF(AQ11="-", 0, IF(AQ11&lt;0, -2, IF(AQ11&gt;0, 2, 0))),
                IF(AQ12="-", 0, IF(AQ12&lt;0, -1, IF(AQ12&gt;0, 1, 0))),
                IF(AQ13="-", 0, IF(AQ13&lt;0, -1, IF(AQ13&gt;0, 1, 0))),
                IF(AQ14="-", 0, IF(AQ14&lt;0, -1, IF(AQ14&gt;0, 1, 0))),
                IF(AQ15="-", 0, IF(AQ15&lt;0, -1, IF(AQ15&gt;0, 1, 0))),
                IF(AQ16="-", 0, IF(AQ16&lt;0, -1, IF(AQ16&gt;0, 1, 0))),
                IF(AQ17="-", 0, IF(AQ17&lt;0, -1, IF(AQ17&gt;0, 1, 0))),
                IF(AQ18="-", 0, IF(AQ18&lt;0, -1, IF(AQ18&gt;0, 1, 0))),
                IF(AQ19="-", 0, IF(AQ19&lt;0, -1, IF(AQ19&gt;0, 1, 0)))
            )/25 &lt; -0.1,
            "BEARISH",
            "NEUTRO"
        )
    )
)</f>
        <v>BEARISH</v>
      </c>
      <c r="AP2" s="321"/>
      <c r="AQ2" s="319"/>
      <c r="AR2" s="348" t="str">
        <f>IF(
    AND(AT3="-", AT4="-", AT5="-", AT6="-", AT7="-", AT8="-", AT9="-", AT10="-", AT11="-", AT12="-", AT13="-", AT14="-", AT15="-", AT16="-", AT17="-", AT18="-", AT19="-"),
    "",
    IF(
        SUM(
            IF(AT3="-", 0, IF(AT3&lt;0, -2, IF(AT3&gt;0, 2, 0))),
            IF(AT4="-", 0, IF(AT4&lt;0, -2, IF(AT4&gt;0, 2, 0))),
            IF(AT5="-", 0, IF(AT5&lt;0, -2, IF(AT5&gt;0, 2, 0))),
            IF(AT6="-", 0, IF(AT6&lt;0, -2, IF(AT6&gt;0, 2, 0))),
            IF(AT7="-", 0, IF(AT7&lt;0, -2, IF(AT7&gt;0, 2, 0))),
            IF(AT8="-", 0, IF(AT8&lt;0, -2, IF(AT8&gt;0, 2, 0))),
            IF(AT9="-", 0, IF(AT9&lt;0, -2, IF(AT9&gt;0, 2, 0))),
            IF(AT10="-", 0, IF(AT10&lt;0, -2, IF(AT10&gt;0, 2, 0))),
            IF(AT11="-", 0, IF(AT11&lt;0, -2, IF(AT11&gt;0, 2, 0))),
            IF(AT12="-", 0, IF(AT12&lt;0, -1, IF(AT12&gt;0, 1, 0))),
            IF(AT13="-", 0, IF(AT13&lt;0, -1, IF(AT13&gt;0, 1, 0))),
            IF(AT14="-", 0, IF(AT14&lt;0, -1, IF(AT14&gt;0, 1, 0))),
            IF(AT15="-", 0, IF(AT15&lt;0, -1, IF(AT15&gt;0, 1, 0))),
            IF(AT16="-", 0, IF(AT16&lt;0, -1, IF(AT16&gt;0, 1, 0))),
            IF(AT17="-", 0, IF(AT17&lt;0, -1, IF(AT17&gt;0, 1, 0))),
            IF(AT18="-", 0, IF(AT18&lt;0, -1, IF(AT18&gt;0, 1, 0))),
            IF(AT19="-", 0, IF(AT19&lt;0, -1, IF(AT19&gt;0, 1, 0)))
        )/25 &gt; 0.1,
        "BULLISH",
        IF(
            SUM(
                IF(AT3="-", 0, IF(AT3&lt;0, -2, IF(AT3&gt;0, 2, 0))),
                IF(AT4="-", 0, IF(AT4&lt;0, -2, IF(AT4&gt;0, 2, 0))),
                IF(AT5="-", 0, IF(AT5&lt;0, -2, IF(AT5&gt;0, 2, 0))),
                IF(AT6="-", 0, IF(AT6&lt;0, -2, IF(AT6&gt;0, 2, 0))),
                IF(AT7="-", 0, IF(AT7&lt;0, -2, IF(AT7&gt;0, 2, 0))),
                IF(AT8="-", 0, IF(AT8&lt;0, -2, IF(AT8&gt;0, 2, 0))),
                IF(AT9="-", 0, IF(AT9&lt;0, -2, IF(AT9&gt;0, 2, 0))),
                IF(AT10="-", 0, IF(AT10&lt;0, -2, IF(AT10&gt;0, 2, 0))),
                IF(AT11="-", 0, IF(AT11&lt;0, -2, IF(AT11&gt;0, 2, 0))),
                IF(AT12="-", 0, IF(AT12&lt;0, -1, IF(AT12&gt;0, 1, 0))),
                IF(AT13="-", 0, IF(AT13&lt;0, -1, IF(AT13&gt;0, 1, 0))),
                IF(AT14="-", 0, IF(AT14&lt;0, -1, IF(AT14&gt;0, 1, 0))),
                IF(AT15="-", 0, IF(AT15&lt;0, -1, IF(AT15&gt;0, 1, 0))),
                IF(AT16="-", 0, IF(AT16&lt;0, -1, IF(AT16&gt;0, 1, 0))),
                IF(AT17="-", 0, IF(AT17&lt;0, -1, IF(AT17&gt;0, 1, 0))),
                IF(AT18="-", 0, IF(AT18&lt;0, -1, IF(AT18&gt;0, 1, 0))),
                IF(AT19="-", 0, IF(AT19&lt;0, -1, IF(AT19&gt;0, 1, 0)))
            )/25 &lt; -0.1,
            "BEARISH",
            "NEUTRO"
        )
    )
)</f>
        <v>BEARISH</v>
      </c>
      <c r="AS2" s="321"/>
      <c r="AT2" s="319"/>
      <c r="AU2" s="348" t="str">
        <f>IF(
    AND(AW3="-", AW4="-", AW5="-", AW6="-", AW7="-", AW8="-", AW9="-", AW10="-", AW11="-", AW12="-", AW13="-", AW14="-", AW15="-", AW16="-", AW17="-", AW18="-", AW19="-"),
    "",
    IF(
        SUM(
            IF(AW3="-", 0, IF(AW3&lt;0, -2, IF(AW3&gt;0, 2, 0))),
            IF(AW4="-", 0, IF(AW4&lt;0, -2, IF(AW4&gt;0, 2, 0))),
            IF(AW5="-", 0, IF(AW5&lt;0, -2, IF(AW5&gt;0, 2, 0))),
            IF(AW6="-", 0, IF(AW6&lt;0, -2, IF(AW6&gt;0, 2, 0))),
            IF(AW7="-", 0, IF(AW7&lt;0, -2, IF(AW7&gt;0, 2, 0))),
            IF(AW8="-", 0, IF(AW8&lt;0, -2, IF(AW8&gt;0, 2, 0))),
            IF(AW9="-", 0, IF(AW9&lt;0, -2, IF(AW9&gt;0, 2, 0))),
            IF(AW10="-", 0, IF(AW10&lt;0, -2, IF(AW10&gt;0, 2, 0))),
            IF(AW11="-", 0, IF(AW11&lt;0, -2, IF(AW11&gt;0, 2, 0))),
            IF(AW12="-", 0, IF(AW12&lt;0, -1, IF(AW12&gt;0, 1, 0))),
            IF(AW13="-", 0, IF(AW13&lt;0, -1, IF(AW13&gt;0, 1, 0))),
            IF(AW14="-", 0, IF(AW14&lt;0, -1, IF(AW14&gt;0, 1, 0))),
            IF(AW15="-", 0, IF(AW15&lt;0, -1, IF(AW15&gt;0, 1, 0))),
            IF(AW16="-", 0, IF(AW16&lt;0, -1, IF(AW16&gt;0, 1, 0))),
            IF(AW17="-", 0, IF(AW17&lt;0, -1, IF(AW17&gt;0, 1, 0))),
            IF(AW18="-", 0, IF(AW18&lt;0, -1, IF(AW18&gt;0, 1, 0))),
            IF(AW19="-", 0, IF(AW19&lt;0, -1, IF(AW19&gt;0, 1, 0)))
        )/25 &gt; 0.1,
        "BULLISH",
        IF(
            SUM(
                IF(AW3="-", 0, IF(AW3&lt;0, -2, IF(AW3&gt;0, 2, 0))),
                IF(AW4="-", 0, IF(AW4&lt;0, -2, IF(AW4&gt;0, 2, 0))),
                IF(AW5="-", 0, IF(AW5&lt;0, -2, IF(AW5&gt;0, 2, 0))),
                IF(AW6="-", 0, IF(AW6&lt;0, -2, IF(AW6&gt;0, 2, 0))),
                IF(AW7="-", 0, IF(AW7&lt;0, -2, IF(AW7&gt;0, 2, 0))),
                IF(AW8="-", 0, IF(AW8&lt;0, -2, IF(AW8&gt;0, 2, 0))),
                IF(AW9="-", 0, IF(AW9&lt;0, -2, IF(AW9&gt;0, 2, 0))),
                IF(AW10="-", 0, IF(AW10&lt;0, -2, IF(AW10&gt;0, 2, 0))),
                IF(AW11="-", 0, IF(AW11&lt;0, -2, IF(AW11&gt;0, 2, 0))),
                IF(AW12="-", 0, IF(AW12&lt;0, -1, IF(AW12&gt;0, 1, 0))),
                IF(AW13="-", 0, IF(AW13&lt;0, -1, IF(AW13&gt;0, 1, 0))),
                IF(AW14="-", 0, IF(AW14&lt;0, -1, IF(AW14&gt;0, 1, 0))),
                IF(AW15="-", 0, IF(AW15&lt;0, -1, IF(AW15&gt;0, 1, 0))),
                IF(AW16="-", 0, IF(AW16&lt;0, -1, IF(AW16&gt;0, 1, 0))),
                IF(AW17="-", 0, IF(AW17&lt;0, -1, IF(AW17&gt;0, 1, 0))),
                IF(AW18="-", 0, IF(AW18&lt;0, -1, IF(AW18&gt;0, 1, 0))),
                IF(AW19="-", 0, IF(AW19&lt;0, -1, IF(AW19&gt;0, 1, 0)))
            )/25 &lt; -0.1,
            "BEARISH",
            "NEUTRO"
        )
    )
)</f>
        <v>BULLISH</v>
      </c>
      <c r="AV2" s="321"/>
      <c r="AW2" s="319"/>
    </row>
    <row r="3" spans="1:49" s="252" customFormat="1" x14ac:dyDescent="0.25">
      <c r="A3" s="262" t="s">
        <v>2</v>
      </c>
      <c r="B3" s="264"/>
      <c r="C3" s="264"/>
      <c r="D3" s="212">
        <f t="shared" ref="D3:D14" si="0">B3-C3</f>
        <v>0</v>
      </c>
      <c r="E3" s="264">
        <v>2E-3</v>
      </c>
      <c r="F3" s="264">
        <v>1E-3</v>
      </c>
      <c r="G3" s="212">
        <f t="shared" ref="G3:G14" si="1">E3-F3</f>
        <v>1E-3</v>
      </c>
      <c r="H3" s="265">
        <v>1E-3</v>
      </c>
      <c r="I3" s="265">
        <v>0</v>
      </c>
      <c r="J3" s="212">
        <f t="shared" ref="J3:J18" si="2">IF(ISBLANK(H3),"-",H3-I3)</f>
        <v>1E-3</v>
      </c>
      <c r="K3" s="265">
        <v>1E-3</v>
      </c>
      <c r="L3" s="265">
        <v>0</v>
      </c>
      <c r="M3" s="212">
        <f t="shared" ref="M3:M18" si="3">IF(ISBLANK(K3),"-",K3-L3)</f>
        <v>1E-3</v>
      </c>
      <c r="N3" s="263">
        <v>2E-3</v>
      </c>
      <c r="O3" s="263">
        <v>1E-3</v>
      </c>
      <c r="P3" s="212">
        <f t="shared" ref="P3:P18" si="4">IF(ISBLANK(N3),"-",N3-O3)</f>
        <v>1E-3</v>
      </c>
      <c r="Q3" s="263">
        <v>1E-3</v>
      </c>
      <c r="R3" s="266">
        <v>0</v>
      </c>
      <c r="S3" s="212">
        <f t="shared" ref="S3:S18" si="5">IF(ISBLANK(Q3),"-",Q3-R3)</f>
        <v>1E-3</v>
      </c>
      <c r="T3" s="266">
        <v>0</v>
      </c>
      <c r="U3" s="263">
        <v>1E-3</v>
      </c>
      <c r="V3" s="212">
        <f t="shared" ref="V3:V18" si="6">IF(ISBLANK(T3),"-",T3-U3)</f>
        <v>-1E-3</v>
      </c>
      <c r="W3" s="263">
        <v>1E-3</v>
      </c>
      <c r="X3" s="263">
        <v>3.0000000000000001E-3</v>
      </c>
      <c r="Y3" s="212">
        <f t="shared" ref="Y3:Y18" si="7">IF(ISBLANK(W3),"-",W3-X3)</f>
        <v>-2E-3</v>
      </c>
      <c r="Z3" s="263">
        <v>3.0000000000000001E-3</v>
      </c>
      <c r="AA3" s="263">
        <v>4.0000000000000001E-3</v>
      </c>
      <c r="AB3" s="212">
        <f t="shared" ref="AB3:AB18" si="8">IF(ISBLANK(Z3),"-",Z3-AA3)</f>
        <v>-1E-3</v>
      </c>
      <c r="AC3" s="263">
        <v>4.0000000000000001E-3</v>
      </c>
      <c r="AD3" s="263">
        <v>5.0000000000000001E-3</v>
      </c>
      <c r="AE3" s="212">
        <f t="shared" ref="AE3:AE18" si="9">IF(ISBLANK(AC3),"-",AC3-AD3)</f>
        <v>-1E-3</v>
      </c>
      <c r="AF3" s="263">
        <v>4.0000000000000001E-3</v>
      </c>
      <c r="AG3" s="263">
        <v>-2E-3</v>
      </c>
      <c r="AH3" s="212">
        <f t="shared" ref="AH3:AH18" si="10">IF(ISBLANK(AF3),"-",AF3-AG3)</f>
        <v>6.0000000000000001E-3</v>
      </c>
      <c r="AI3" s="267">
        <v>-2E-3</v>
      </c>
      <c r="AJ3" s="264">
        <v>0</v>
      </c>
      <c r="AK3" s="212">
        <f t="shared" ref="AK3:AK18" si="11">IF(ISBLANK(AI3),"-",AI3-AJ3)</f>
        <v>-2E-3</v>
      </c>
      <c r="AL3" s="264">
        <v>0</v>
      </c>
      <c r="AM3" s="263">
        <v>-1E-3</v>
      </c>
      <c r="AN3" s="212">
        <f t="shared" ref="AN3:AN18" si="12">IF(ISBLANK(AL3),"-",AL3-AM3)</f>
        <v>1E-3</v>
      </c>
      <c r="AO3" s="266">
        <v>-1E-3</v>
      </c>
      <c r="AP3" s="263">
        <v>3.0000000000000001E-3</v>
      </c>
      <c r="AQ3" s="212">
        <f t="shared" ref="AQ3:AQ18" si="13">IF(ISBLANK(AO3),"-",AO3-AP3)</f>
        <v>-4.0000000000000001E-3</v>
      </c>
      <c r="AR3" s="263">
        <v>1E-3</v>
      </c>
      <c r="AS3" s="263">
        <v>1E-3</v>
      </c>
      <c r="AT3" s="212">
        <f t="shared" ref="AT3:AT18" si="14">IF(ISBLANK(AR3),"-",AR3-AS3)</f>
        <v>0</v>
      </c>
      <c r="AU3" s="263">
        <v>5.0000000000000001E-3</v>
      </c>
      <c r="AV3" s="263">
        <v>4.0000000000000001E-3</v>
      </c>
      <c r="AW3" s="212">
        <f t="shared" ref="AW3:AW18" si="15">IF(ISBLANK(AU3),"-",AU3-AV3)</f>
        <v>1E-3</v>
      </c>
    </row>
    <row r="4" spans="1:49" s="252" customFormat="1" x14ac:dyDescent="0.25">
      <c r="A4" s="262" t="s">
        <v>3</v>
      </c>
      <c r="B4" s="264"/>
      <c r="C4" s="264"/>
      <c r="D4" s="212">
        <f t="shared" si="0"/>
        <v>0</v>
      </c>
      <c r="E4" s="264">
        <v>2E-3</v>
      </c>
      <c r="F4" s="264">
        <v>0</v>
      </c>
      <c r="G4" s="212">
        <f t="shared" si="1"/>
        <v>2E-3</v>
      </c>
      <c r="H4" s="265"/>
      <c r="I4" s="265"/>
      <c r="J4" s="212" t="str">
        <f t="shared" si="2"/>
        <v>-</v>
      </c>
      <c r="K4" s="265">
        <v>0</v>
      </c>
      <c r="L4" s="265">
        <v>0</v>
      </c>
      <c r="M4" s="212">
        <f t="shared" si="3"/>
        <v>0</v>
      </c>
      <c r="N4" s="263">
        <v>2E-3</v>
      </c>
      <c r="O4" s="268">
        <v>3.0000000000000001E-3</v>
      </c>
      <c r="P4" s="212">
        <f t="shared" si="4"/>
        <v>-1E-3</v>
      </c>
      <c r="Q4" s="263">
        <v>3.0000000000000001E-3</v>
      </c>
      <c r="R4" s="263">
        <v>3.0000000000000001E-3</v>
      </c>
      <c r="S4" s="212">
        <f t="shared" si="5"/>
        <v>0</v>
      </c>
      <c r="T4" s="263">
        <v>0</v>
      </c>
      <c r="U4" s="263">
        <v>1E-3</v>
      </c>
      <c r="V4" s="212">
        <f t="shared" si="6"/>
        <v>-1E-3</v>
      </c>
      <c r="W4" s="263">
        <v>4.0000000000000001E-3</v>
      </c>
      <c r="X4" s="263">
        <v>4.0000000000000001E-3</v>
      </c>
      <c r="Y4" s="212">
        <f t="shared" si="7"/>
        <v>0</v>
      </c>
      <c r="Z4" s="263">
        <v>3.0000000000000001E-3</v>
      </c>
      <c r="AA4" s="263">
        <v>4.0000000000000001E-3</v>
      </c>
      <c r="AB4" s="212">
        <f t="shared" si="8"/>
        <v>-1E-3</v>
      </c>
      <c r="AC4" s="263">
        <v>-2E-3</v>
      </c>
      <c r="AD4" s="263">
        <v>-2E-3</v>
      </c>
      <c r="AE4" s="212">
        <f t="shared" si="9"/>
        <v>0</v>
      </c>
      <c r="AF4" s="263">
        <v>5.0000000000000001E-3</v>
      </c>
      <c r="AG4" s="263">
        <v>4.0000000000000001E-3</v>
      </c>
      <c r="AH4" s="212">
        <f t="shared" si="10"/>
        <v>1E-3</v>
      </c>
      <c r="AI4" s="263">
        <v>-2E-3</v>
      </c>
      <c r="AJ4" s="263">
        <v>4.0000000000000001E-3</v>
      </c>
      <c r="AK4" s="212">
        <f t="shared" si="11"/>
        <v>-6.0000000000000001E-3</v>
      </c>
      <c r="AL4" s="264">
        <v>0</v>
      </c>
      <c r="AM4" s="264">
        <v>0</v>
      </c>
      <c r="AN4" s="212">
        <f t="shared" si="12"/>
        <v>0</v>
      </c>
      <c r="AO4" s="263">
        <v>-1E-3</v>
      </c>
      <c r="AP4" s="263">
        <v>-1E-3</v>
      </c>
      <c r="AQ4" s="212">
        <f t="shared" si="13"/>
        <v>0</v>
      </c>
      <c r="AR4" s="263">
        <v>1E-3</v>
      </c>
      <c r="AS4" s="263">
        <v>1E-3</v>
      </c>
      <c r="AT4" s="212">
        <f t="shared" si="14"/>
        <v>0</v>
      </c>
      <c r="AU4" s="263">
        <v>4.0000000000000001E-3</v>
      </c>
      <c r="AV4" s="263">
        <v>4.0000000000000001E-3</v>
      </c>
      <c r="AW4" s="212">
        <f t="shared" si="15"/>
        <v>0</v>
      </c>
    </row>
    <row r="5" spans="1:49" s="252" customFormat="1" x14ac:dyDescent="0.25">
      <c r="A5" s="262" t="s">
        <v>4</v>
      </c>
      <c r="B5" s="264"/>
      <c r="C5" s="264"/>
      <c r="D5" s="212">
        <f t="shared" si="0"/>
        <v>0</v>
      </c>
      <c r="E5" s="264">
        <v>2.5999999999999999E-2</v>
      </c>
      <c r="F5" s="264">
        <v>1.9E-2</v>
      </c>
      <c r="G5" s="212">
        <f t="shared" si="1"/>
        <v>6.9999999999999993E-3</v>
      </c>
      <c r="H5" s="265">
        <v>1.7000000000000001E-2</v>
      </c>
      <c r="I5" s="265">
        <v>1.9E-2</v>
      </c>
      <c r="J5" s="212">
        <f t="shared" si="2"/>
        <v>-1.9999999999999983E-3</v>
      </c>
      <c r="K5" s="265">
        <v>0</v>
      </c>
      <c r="L5" s="265">
        <v>-9.9999999999999742E-4</v>
      </c>
      <c r="M5" s="212">
        <f t="shared" si="3"/>
        <v>9.9999999999999742E-4</v>
      </c>
      <c r="N5" s="263">
        <v>2.1999999999999999E-2</v>
      </c>
      <c r="O5" s="266">
        <v>0.02</v>
      </c>
      <c r="P5" s="212">
        <f t="shared" si="4"/>
        <v>1.9999999999999983E-3</v>
      </c>
      <c r="Q5" s="268">
        <v>2.1000000000000001E-2</v>
      </c>
      <c r="R5" s="266">
        <v>0.02</v>
      </c>
      <c r="S5" s="212">
        <f t="shared" si="5"/>
        <v>1.0000000000000009E-3</v>
      </c>
      <c r="T5" s="266">
        <v>0.02</v>
      </c>
      <c r="U5" s="263">
        <v>1.9E-2</v>
      </c>
      <c r="V5" s="212">
        <f t="shared" si="6"/>
        <v>1.0000000000000009E-3</v>
      </c>
      <c r="W5" s="263">
        <v>1.9E-2</v>
      </c>
      <c r="X5" s="263">
        <v>2.1999999999999999E-2</v>
      </c>
      <c r="Y5" s="212">
        <f t="shared" si="7"/>
        <v>-2.9999999999999992E-3</v>
      </c>
      <c r="Z5" s="263">
        <v>2.1999999999999999E-2</v>
      </c>
      <c r="AA5" s="263">
        <v>2.3E-2</v>
      </c>
      <c r="AB5" s="212">
        <f t="shared" si="8"/>
        <v>-1.0000000000000009E-3</v>
      </c>
      <c r="AC5" s="263">
        <v>2.4E-2</v>
      </c>
      <c r="AD5" s="263">
        <v>2.4E-2</v>
      </c>
      <c r="AE5" s="212">
        <f t="shared" si="9"/>
        <v>0</v>
      </c>
      <c r="AF5" s="263">
        <v>2.4E-2</v>
      </c>
      <c r="AG5" s="263">
        <v>2.1999999999999999E-2</v>
      </c>
      <c r="AH5" s="212">
        <f t="shared" si="10"/>
        <v>2.0000000000000018E-3</v>
      </c>
      <c r="AI5" s="266">
        <v>2.3E-2</v>
      </c>
      <c r="AJ5" s="263">
        <v>1.7000000000000001E-2</v>
      </c>
      <c r="AK5" s="212">
        <f t="shared" si="11"/>
        <v>5.9999999999999984E-3</v>
      </c>
      <c r="AL5" s="264"/>
      <c r="AM5" s="264"/>
      <c r="AN5" s="212" t="str">
        <f t="shared" si="12"/>
        <v>-</v>
      </c>
      <c r="AO5" s="263">
        <v>2.1999999999999999E-2</v>
      </c>
      <c r="AP5" s="263">
        <v>2.5999999999999999E-2</v>
      </c>
      <c r="AQ5" s="212">
        <f t="shared" si="13"/>
        <v>-4.0000000000000001E-3</v>
      </c>
      <c r="AR5" s="263">
        <v>2.5000000000000001E-2</v>
      </c>
      <c r="AS5" s="263">
        <v>2.5999999999999999E-2</v>
      </c>
      <c r="AT5" s="212">
        <f t="shared" si="14"/>
        <v>-9.9999999999999742E-4</v>
      </c>
      <c r="AU5" s="263">
        <v>2.4E-2</v>
      </c>
      <c r="AV5" s="263">
        <v>2.4E-2</v>
      </c>
      <c r="AW5" s="212">
        <f t="shared" si="15"/>
        <v>0</v>
      </c>
    </row>
    <row r="6" spans="1:49" s="252" customFormat="1" x14ac:dyDescent="0.25">
      <c r="A6" s="262" t="s">
        <v>5</v>
      </c>
      <c r="B6" s="264"/>
      <c r="C6" s="264"/>
      <c r="D6" s="212">
        <f t="shared" si="0"/>
        <v>0</v>
      </c>
      <c r="E6" s="264">
        <v>2.3E-2</v>
      </c>
      <c r="F6" s="264">
        <v>2.4E-2</v>
      </c>
      <c r="G6" s="212">
        <f t="shared" si="1"/>
        <v>-1.0000000000000009E-3</v>
      </c>
      <c r="H6" s="265">
        <v>2.1999999999999999E-2</v>
      </c>
      <c r="I6" s="265">
        <v>2.3E-2</v>
      </c>
      <c r="J6" s="212">
        <f t="shared" si="2"/>
        <v>-1.0000000000000009E-3</v>
      </c>
      <c r="K6" s="265">
        <v>-2.0000000000000018E-3</v>
      </c>
      <c r="L6" s="265">
        <v>0</v>
      </c>
      <c r="M6" s="212">
        <f t="shared" si="3"/>
        <v>-2.0000000000000018E-3</v>
      </c>
      <c r="N6" s="263">
        <v>2.3E-2</v>
      </c>
      <c r="O6" s="263">
        <v>2.3E-2</v>
      </c>
      <c r="P6" s="212">
        <f t="shared" si="4"/>
        <v>0</v>
      </c>
      <c r="Q6" s="263">
        <v>2.3E-2</v>
      </c>
      <c r="R6" s="263">
        <v>2.3E-2</v>
      </c>
      <c r="S6" s="212">
        <f t="shared" si="5"/>
        <v>0</v>
      </c>
      <c r="T6" s="263">
        <v>2.3E-2</v>
      </c>
      <c r="U6" s="263">
        <v>2.3E-2</v>
      </c>
      <c r="V6" s="212">
        <f t="shared" si="6"/>
        <v>0</v>
      </c>
      <c r="W6" s="263">
        <v>2.3E-2</v>
      </c>
      <c r="X6" s="263">
        <v>2.4E-2</v>
      </c>
      <c r="Y6" s="212">
        <f t="shared" si="7"/>
        <v>-1.0000000000000009E-3</v>
      </c>
      <c r="Z6" s="263">
        <v>2.4E-2</v>
      </c>
      <c r="AA6" s="263">
        <v>2.5999999999999999E-2</v>
      </c>
      <c r="AB6" s="212">
        <f t="shared" si="8"/>
        <v>-1.9999999999999983E-3</v>
      </c>
      <c r="AC6" s="263">
        <v>2.5999999999999999E-2</v>
      </c>
      <c r="AD6" s="263">
        <v>2.7E-2</v>
      </c>
      <c r="AE6" s="212">
        <f t="shared" si="9"/>
        <v>-1.0000000000000009E-3</v>
      </c>
      <c r="AF6" s="263">
        <v>2.7E-2</v>
      </c>
      <c r="AG6" s="263">
        <v>2.7E-2</v>
      </c>
      <c r="AH6" s="212">
        <f t="shared" si="10"/>
        <v>0</v>
      </c>
      <c r="AI6" s="263">
        <v>2.7E-2</v>
      </c>
      <c r="AJ6" s="263">
        <v>2.7E-2</v>
      </c>
      <c r="AK6" s="212">
        <f t="shared" si="11"/>
        <v>0</v>
      </c>
      <c r="AL6" s="264"/>
      <c r="AM6" s="264"/>
      <c r="AN6" s="212" t="str">
        <f t="shared" si="12"/>
        <v>-</v>
      </c>
      <c r="AO6" s="263">
        <v>2.8000000000000001E-2</v>
      </c>
      <c r="AP6" s="263">
        <v>2.9000000000000001E-2</v>
      </c>
      <c r="AQ6" s="212">
        <f t="shared" si="13"/>
        <v>-1.0000000000000009E-3</v>
      </c>
      <c r="AR6" s="263">
        <v>2.9000000000000001E-2</v>
      </c>
      <c r="AS6" s="263">
        <v>2.9000000000000001E-2</v>
      </c>
      <c r="AT6" s="212">
        <f t="shared" si="14"/>
        <v>0</v>
      </c>
      <c r="AU6" s="263">
        <v>2.7E-2</v>
      </c>
      <c r="AV6" s="263">
        <v>2.9000000000000001E-2</v>
      </c>
      <c r="AW6" s="212">
        <f t="shared" si="15"/>
        <v>-2.0000000000000018E-3</v>
      </c>
    </row>
    <row r="7" spans="1:49" s="252" customFormat="1" x14ac:dyDescent="0.25">
      <c r="A7" s="262" t="s">
        <v>6</v>
      </c>
      <c r="B7" s="264"/>
      <c r="C7" s="264"/>
      <c r="D7" s="212">
        <f t="shared" si="0"/>
        <v>0</v>
      </c>
      <c r="E7" s="264">
        <v>2.5999999999999999E-2</v>
      </c>
      <c r="F7" s="264">
        <v>2.5000000000000001E-2</v>
      </c>
      <c r="G7" s="212">
        <f t="shared" si="1"/>
        <v>9.9999999999999742E-4</v>
      </c>
      <c r="H7" s="265"/>
      <c r="I7" s="265"/>
      <c r="J7" s="212" t="str">
        <f t="shared" si="2"/>
        <v>-</v>
      </c>
      <c r="K7" s="265">
        <v>0</v>
      </c>
      <c r="L7" s="265">
        <v>0</v>
      </c>
      <c r="M7" s="212">
        <f t="shared" si="3"/>
        <v>0</v>
      </c>
      <c r="N7" s="263">
        <v>2.1999999999999999E-2</v>
      </c>
      <c r="O7" s="263">
        <v>2.1999999999999999E-2</v>
      </c>
      <c r="P7" s="212">
        <f t="shared" si="4"/>
        <v>0</v>
      </c>
      <c r="Q7" s="266">
        <v>0.02</v>
      </c>
      <c r="R7" s="266">
        <v>0.02</v>
      </c>
      <c r="S7" s="212">
        <f t="shared" si="5"/>
        <v>0</v>
      </c>
      <c r="T7" s="266">
        <v>0.02</v>
      </c>
      <c r="U7" s="266">
        <v>0.02</v>
      </c>
      <c r="V7" s="212">
        <f t="shared" si="6"/>
        <v>0</v>
      </c>
      <c r="W7" s="263">
        <v>2.1999999999999999E-2</v>
      </c>
      <c r="X7" s="263">
        <v>2.1999999999999999E-2</v>
      </c>
      <c r="Y7" s="212">
        <f t="shared" si="7"/>
        <v>0</v>
      </c>
      <c r="Z7" s="263">
        <v>2.1999999999999999E-2</v>
      </c>
      <c r="AA7" s="263">
        <v>2.5000000000000001E-2</v>
      </c>
      <c r="AB7" s="212">
        <f t="shared" si="8"/>
        <v>-3.0000000000000027E-3</v>
      </c>
      <c r="AC7" s="263">
        <v>2.5000000000000001E-2</v>
      </c>
      <c r="AD7" s="263">
        <v>2.5000000000000001E-2</v>
      </c>
      <c r="AE7" s="212">
        <f t="shared" si="9"/>
        <v>0</v>
      </c>
      <c r="AF7" s="263">
        <v>2.4E-2</v>
      </c>
      <c r="AG7" s="263">
        <v>2.3E-2</v>
      </c>
      <c r="AH7" s="212">
        <f t="shared" si="10"/>
        <v>1.0000000000000009E-3</v>
      </c>
      <c r="AI7" s="266">
        <v>0.02</v>
      </c>
      <c r="AJ7" s="266">
        <v>0.02</v>
      </c>
      <c r="AK7" s="212">
        <f t="shared" si="11"/>
        <v>0</v>
      </c>
      <c r="AL7" s="263">
        <v>1.7000000000000001E-2</v>
      </c>
      <c r="AM7" s="263">
        <v>1.7999999999999999E-2</v>
      </c>
      <c r="AN7" s="212">
        <f t="shared" si="12"/>
        <v>-9.9999999999999742E-4</v>
      </c>
      <c r="AO7" s="263">
        <v>2.5999999999999999E-2</v>
      </c>
      <c r="AP7" s="263">
        <v>2.5999999999999999E-2</v>
      </c>
      <c r="AQ7" s="212">
        <f t="shared" si="13"/>
        <v>0</v>
      </c>
      <c r="AR7" s="263">
        <v>2.5000000000000001E-2</v>
      </c>
      <c r="AS7" s="263">
        <v>2.5000000000000001E-2</v>
      </c>
      <c r="AT7" s="212">
        <f t="shared" si="14"/>
        <v>0</v>
      </c>
      <c r="AU7" s="263">
        <v>2.4E-2</v>
      </c>
      <c r="AV7" s="263">
        <v>2.4E-2</v>
      </c>
      <c r="AW7" s="212">
        <f t="shared" si="15"/>
        <v>0</v>
      </c>
    </row>
    <row r="8" spans="1:49" s="252" customFormat="1" x14ac:dyDescent="0.25">
      <c r="A8" s="262" t="s">
        <v>7</v>
      </c>
      <c r="B8" s="264"/>
      <c r="C8" s="264"/>
      <c r="D8" s="212">
        <f t="shared" si="0"/>
        <v>0</v>
      </c>
      <c r="E8" s="264">
        <v>2.4E-2</v>
      </c>
      <c r="F8" s="264">
        <v>2.4E-2</v>
      </c>
      <c r="G8" s="212">
        <f t="shared" si="1"/>
        <v>0</v>
      </c>
      <c r="H8" s="265"/>
      <c r="I8" s="265"/>
      <c r="J8" s="212" t="str">
        <f t="shared" si="2"/>
        <v>-</v>
      </c>
      <c r="K8" s="265">
        <v>0</v>
      </c>
      <c r="L8" s="265">
        <v>0</v>
      </c>
      <c r="M8" s="212">
        <f t="shared" si="3"/>
        <v>0</v>
      </c>
      <c r="N8" s="263">
        <v>2.4E-2</v>
      </c>
      <c r="O8" s="263">
        <v>2.3E-2</v>
      </c>
      <c r="P8" s="212">
        <f t="shared" si="4"/>
        <v>1.0000000000000009E-3</v>
      </c>
      <c r="Q8" s="263">
        <v>2.3E-2</v>
      </c>
      <c r="R8" s="263">
        <v>2.3E-2</v>
      </c>
      <c r="S8" s="212">
        <f t="shared" si="5"/>
        <v>0</v>
      </c>
      <c r="T8" s="263">
        <v>2.3E-2</v>
      </c>
      <c r="U8" s="263">
        <v>2.3E-2</v>
      </c>
      <c r="V8" s="212">
        <f t="shared" si="6"/>
        <v>0</v>
      </c>
      <c r="W8" s="263">
        <v>2.7E-2</v>
      </c>
      <c r="X8" s="263">
        <v>2.7E-2</v>
      </c>
      <c r="Y8" s="212">
        <f t="shared" si="7"/>
        <v>0</v>
      </c>
      <c r="Z8" s="263">
        <v>2.4E-2</v>
      </c>
      <c r="AA8" s="263">
        <v>2.5999999999999999E-2</v>
      </c>
      <c r="AB8" s="212">
        <f t="shared" si="8"/>
        <v>-1.9999999999999983E-3</v>
      </c>
      <c r="AC8" s="263">
        <v>2.7E-2</v>
      </c>
      <c r="AD8" s="263">
        <v>2.7E-2</v>
      </c>
      <c r="AE8" s="212">
        <f t="shared" si="9"/>
        <v>0</v>
      </c>
      <c r="AF8" s="263">
        <v>2.7E-2</v>
      </c>
      <c r="AG8" s="263">
        <v>2.7E-2</v>
      </c>
      <c r="AH8" s="212">
        <f t="shared" si="10"/>
        <v>0</v>
      </c>
      <c r="AI8" s="263">
        <v>2.7E-2</v>
      </c>
      <c r="AJ8" s="263">
        <v>2.7E-2</v>
      </c>
      <c r="AK8" s="212">
        <f t="shared" si="11"/>
        <v>0</v>
      </c>
      <c r="AL8" s="263">
        <v>2.8000000000000001E-2</v>
      </c>
      <c r="AM8" s="263">
        <v>2.8000000000000001E-2</v>
      </c>
      <c r="AN8" s="212">
        <f t="shared" si="12"/>
        <v>0</v>
      </c>
      <c r="AO8" s="263">
        <v>2.9000000000000001E-2</v>
      </c>
      <c r="AP8" s="263">
        <v>2.9000000000000001E-2</v>
      </c>
      <c r="AQ8" s="212">
        <f t="shared" si="13"/>
        <v>0</v>
      </c>
      <c r="AR8" s="263">
        <v>2.9000000000000001E-2</v>
      </c>
      <c r="AS8" s="263">
        <v>2.9000000000000001E-2</v>
      </c>
      <c r="AT8" s="212">
        <f t="shared" si="14"/>
        <v>0</v>
      </c>
      <c r="AU8" s="263">
        <v>2.9000000000000001E-2</v>
      </c>
      <c r="AV8" s="263">
        <v>2.9000000000000001E-2</v>
      </c>
      <c r="AW8" s="212">
        <f t="shared" si="15"/>
        <v>0</v>
      </c>
    </row>
    <row r="9" spans="1:49" s="252" customFormat="1" x14ac:dyDescent="0.25">
      <c r="A9" s="262" t="s">
        <v>8</v>
      </c>
      <c r="B9" s="264"/>
      <c r="C9" s="264"/>
      <c r="D9" s="212">
        <f t="shared" si="0"/>
        <v>0</v>
      </c>
      <c r="E9" s="264">
        <v>-7.0000000000000001E-3</v>
      </c>
      <c r="F9" s="264">
        <v>8.0000000000000002E-3</v>
      </c>
      <c r="G9" s="212">
        <f t="shared" si="1"/>
        <v>-1.4999999999999999E-2</v>
      </c>
      <c r="H9" s="265">
        <v>-0.3</v>
      </c>
      <c r="I9" s="265">
        <v>0.7</v>
      </c>
      <c r="J9" s="212">
        <f>IF(ISBLANK(H9),"-",H9-I9)</f>
        <v>-1</v>
      </c>
      <c r="K9" s="265">
        <v>6.9999999999999993E-3</v>
      </c>
      <c r="L9" s="265">
        <v>1.2E-2</v>
      </c>
      <c r="M9" s="212">
        <f>IF(ISBLANK(K9),"-",K9-L9)</f>
        <v>-5.000000000000001E-3</v>
      </c>
      <c r="N9" s="263">
        <v>-3.0000000000000001E-3</v>
      </c>
      <c r="O9" s="263">
        <v>3.0000000000000001E-3</v>
      </c>
      <c r="P9" s="212">
        <f>IF(ISBLANK(N9),"-",N9-O9)</f>
        <v>-6.0000000000000001E-3</v>
      </c>
      <c r="Q9" s="263">
        <v>4.0000000000000001E-3</v>
      </c>
      <c r="R9" s="263">
        <v>-6.0000000000000001E-3</v>
      </c>
      <c r="S9" s="212">
        <f>IF(ISBLANK(Q9),"-",Q9-R9)</f>
        <v>0.01</v>
      </c>
      <c r="T9" s="263">
        <v>-6.0000000000000001E-3</v>
      </c>
      <c r="U9" s="263">
        <v>-2.1999999999999999E-2</v>
      </c>
      <c r="V9" s="212">
        <f>IF(ISBLANK(T9),"-",T9-U9)</f>
        <v>1.6E-2</v>
      </c>
      <c r="W9" s="263">
        <v>-2.1999999999999999E-2</v>
      </c>
      <c r="X9" s="263">
        <v>2E-3</v>
      </c>
      <c r="Y9" s="212">
        <f>IF(ISBLANK(W9),"-",W9-X9)</f>
        <v>-2.4E-2</v>
      </c>
      <c r="Z9" s="263">
        <v>2E-3</v>
      </c>
      <c r="AA9" s="263">
        <v>7.0000000000000001E-3</v>
      </c>
      <c r="AB9" s="212">
        <f>IF(ISBLANK(Z9),"-",Z9-AA9)</f>
        <v>-5.0000000000000001E-3</v>
      </c>
      <c r="AC9" s="263">
        <v>4.0000000000000001E-3</v>
      </c>
      <c r="AD9" s="263">
        <v>1.7000000000000001E-2</v>
      </c>
      <c r="AE9" s="212">
        <f>IF(ISBLANK(AC9),"-",AC9-AD9)</f>
        <v>-1.3000000000000001E-2</v>
      </c>
      <c r="AF9" s="263">
        <v>1.6E-2</v>
      </c>
      <c r="AG9" s="263">
        <v>4.0000000000000001E-3</v>
      </c>
      <c r="AH9" s="212">
        <f>IF(ISBLANK(AF9),"-",AF9-AG9)</f>
        <v>1.2E-2</v>
      </c>
      <c r="AI9" s="263">
        <v>-6.0000000000000001E-3</v>
      </c>
      <c r="AJ9" s="263">
        <v>6.0000000000000001E-3</v>
      </c>
      <c r="AK9" s="212">
        <f>IF(ISBLANK(AI9),"-",AI9-AJ9)</f>
        <v>-1.2E-2</v>
      </c>
      <c r="AL9" s="264"/>
      <c r="AM9" s="264"/>
      <c r="AN9" s="212" t="str">
        <f>IF(ISBLANK(AL9),"-",AL9-AM9)</f>
        <v>-</v>
      </c>
      <c r="AO9" s="263">
        <v>8.0000000000000002E-3</v>
      </c>
      <c r="AP9" s="263">
        <v>6.0000000000000001E-3</v>
      </c>
      <c r="AQ9" s="212">
        <f>IF(ISBLANK(AO9),"-",AO9-AP9)</f>
        <v>2E-3</v>
      </c>
      <c r="AR9" s="266">
        <v>2E-3</v>
      </c>
      <c r="AS9" s="263">
        <v>-0.01</v>
      </c>
      <c r="AT9" s="212">
        <f t="shared" si="14"/>
        <v>1.2E-2</v>
      </c>
      <c r="AU9" s="263">
        <v>-4.0000000000000001E-3</v>
      </c>
      <c r="AV9" s="263">
        <v>-1.0999999999999999E-2</v>
      </c>
      <c r="AW9" s="212">
        <f t="shared" si="15"/>
        <v>6.9999999999999993E-3</v>
      </c>
    </row>
    <row r="10" spans="1:49" s="252" customFormat="1" x14ac:dyDescent="0.25">
      <c r="A10" s="262" t="s">
        <v>9</v>
      </c>
      <c r="B10" s="264"/>
      <c r="C10" s="264"/>
      <c r="D10" s="212">
        <f t="shared" si="0"/>
        <v>0</v>
      </c>
      <c r="E10" s="264">
        <v>2.5000000000000001E-2</v>
      </c>
      <c r="F10" s="264">
        <v>-5.0000000000000001E-3</v>
      </c>
      <c r="G10" s="212">
        <f t="shared" si="1"/>
        <v>3.0000000000000002E-2</v>
      </c>
      <c r="H10" s="265"/>
      <c r="I10" s="265"/>
      <c r="J10" s="212" t="str">
        <f t="shared" si="2"/>
        <v>-</v>
      </c>
      <c r="K10" s="265">
        <v>6.0000000000000001E-3</v>
      </c>
      <c r="L10" s="265">
        <v>-2E-3</v>
      </c>
      <c r="M10" s="212">
        <f t="shared" si="3"/>
        <v>8.0000000000000002E-3</v>
      </c>
      <c r="N10" s="263">
        <v>-1E-3</v>
      </c>
      <c r="O10" s="263">
        <v>-1E-3</v>
      </c>
      <c r="P10" s="212">
        <f t="shared" si="4"/>
        <v>0</v>
      </c>
      <c r="Q10" s="263">
        <v>-5.0000000000000001E-3</v>
      </c>
      <c r="R10" s="263">
        <v>1E-3</v>
      </c>
      <c r="S10" s="212">
        <f t="shared" si="5"/>
        <v>-6.0000000000000001E-3</v>
      </c>
      <c r="T10" s="263">
        <v>1E-3</v>
      </c>
      <c r="U10" s="263">
        <v>-2E-3</v>
      </c>
      <c r="V10" s="212">
        <f t="shared" si="6"/>
        <v>3.0000000000000001E-3</v>
      </c>
      <c r="W10" s="263">
        <v>-6.0000000000000001E-3</v>
      </c>
      <c r="X10" s="263">
        <v>-7.0000000000000001E-3</v>
      </c>
      <c r="Y10" s="212">
        <f t="shared" si="7"/>
        <v>1E-3</v>
      </c>
      <c r="Z10" s="263">
        <v>-7.0000000000000001E-3</v>
      </c>
      <c r="AA10" s="263">
        <v>-1E-3</v>
      </c>
      <c r="AB10" s="212">
        <f t="shared" si="8"/>
        <v>-6.0000000000000001E-3</v>
      </c>
      <c r="AC10" s="263">
        <v>-1E-3</v>
      </c>
      <c r="AD10" s="263">
        <v>-1E-3</v>
      </c>
      <c r="AE10" s="212">
        <f t="shared" si="9"/>
        <v>0</v>
      </c>
      <c r="AF10" s="263">
        <v>-1E-3</v>
      </c>
      <c r="AG10" s="263">
        <v>2E-3</v>
      </c>
      <c r="AH10" s="212">
        <f t="shared" si="10"/>
        <v>-3.0000000000000001E-3</v>
      </c>
      <c r="AI10" s="263">
        <v>0.2</v>
      </c>
      <c r="AJ10" s="263">
        <v>-5.0000000000000001E-3</v>
      </c>
      <c r="AK10" s="212">
        <f t="shared" si="11"/>
        <v>0.20500000000000002</v>
      </c>
      <c r="AL10" s="263">
        <v>2E-3</v>
      </c>
      <c r="AM10" s="263">
        <v>2E-3</v>
      </c>
      <c r="AN10" s="212">
        <f t="shared" si="12"/>
        <v>0</v>
      </c>
      <c r="AO10" s="263">
        <v>2E-3</v>
      </c>
      <c r="AP10" s="266">
        <v>2E-3</v>
      </c>
      <c r="AQ10" s="212">
        <f t="shared" si="13"/>
        <v>0</v>
      </c>
      <c r="AR10" s="266">
        <v>0</v>
      </c>
      <c r="AS10" s="263">
        <v>2E-3</v>
      </c>
      <c r="AT10" s="212">
        <f t="shared" si="14"/>
        <v>-2E-3</v>
      </c>
      <c r="AU10" s="263">
        <v>2E-3</v>
      </c>
      <c r="AV10" s="263">
        <v>-4.0000000000000001E-3</v>
      </c>
      <c r="AW10" s="212">
        <f t="shared" si="15"/>
        <v>6.0000000000000001E-3</v>
      </c>
    </row>
    <row r="11" spans="1:49" s="252" customFormat="1" x14ac:dyDescent="0.25">
      <c r="A11" s="262" t="s">
        <v>10</v>
      </c>
      <c r="B11" s="264"/>
      <c r="C11" s="264"/>
      <c r="D11" s="212">
        <f t="shared" si="0"/>
        <v>0</v>
      </c>
      <c r="E11" s="264">
        <v>-0.03</v>
      </c>
      <c r="F11" s="264">
        <v>-0.02</v>
      </c>
      <c r="G11" s="212">
        <f t="shared" si="1"/>
        <v>-9.9999999999999985E-3</v>
      </c>
      <c r="H11" s="265"/>
      <c r="I11" s="265"/>
      <c r="J11" s="212" t="str">
        <f t="shared" si="2"/>
        <v>-</v>
      </c>
      <c r="K11" s="265">
        <v>-3.5999999999999997E-2</v>
      </c>
      <c r="L11" s="265">
        <v>0.01</v>
      </c>
      <c r="M11" s="212">
        <f t="shared" si="3"/>
        <v>-4.5999999999999999E-2</v>
      </c>
      <c r="N11" s="264"/>
      <c r="O11" s="264"/>
      <c r="P11" s="212" t="str">
        <f t="shared" si="4"/>
        <v>-</v>
      </c>
      <c r="Q11" s="264"/>
      <c r="R11" s="264"/>
      <c r="S11" s="212" t="str">
        <f t="shared" si="5"/>
        <v>-</v>
      </c>
      <c r="T11" s="264"/>
      <c r="U11" s="264"/>
      <c r="V11" s="212" t="str">
        <f t="shared" si="6"/>
        <v>-</v>
      </c>
      <c r="W11" s="264"/>
      <c r="X11" s="264"/>
      <c r="Y11" s="212" t="str">
        <f t="shared" si="7"/>
        <v>-</v>
      </c>
      <c r="Z11" s="264"/>
      <c r="AA11" s="264"/>
      <c r="AB11" s="212" t="str">
        <f t="shared" si="8"/>
        <v>-</v>
      </c>
      <c r="AC11" s="263">
        <v>8.0000000000000002E-3</v>
      </c>
      <c r="AD11" s="263">
        <v>5.0000000000000001E-3</v>
      </c>
      <c r="AE11" s="212">
        <f t="shared" si="9"/>
        <v>3.0000000000000001E-3</v>
      </c>
      <c r="AF11" s="264"/>
      <c r="AG11" s="264"/>
      <c r="AH11" s="212" t="str">
        <f t="shared" si="10"/>
        <v>-</v>
      </c>
      <c r="AI11" s="263">
        <v>4.0000000000000001E-3</v>
      </c>
      <c r="AJ11" s="263">
        <v>-6.0000000000000001E-3</v>
      </c>
      <c r="AK11" s="212">
        <f t="shared" si="11"/>
        <v>0.01</v>
      </c>
      <c r="AL11" s="264"/>
      <c r="AM11" s="264"/>
      <c r="AN11" s="212" t="str">
        <f t="shared" si="12"/>
        <v>-</v>
      </c>
      <c r="AO11" s="264"/>
      <c r="AP11" s="264"/>
      <c r="AQ11" s="212" t="str">
        <f t="shared" si="13"/>
        <v>-</v>
      </c>
      <c r="AR11" s="263">
        <v>-8.9999999999999993E-3</v>
      </c>
      <c r="AS11" s="263">
        <v>2.7E-2</v>
      </c>
      <c r="AT11" s="212">
        <f t="shared" si="14"/>
        <v>-3.5999999999999997E-2</v>
      </c>
      <c r="AU11" s="264"/>
      <c r="AV11" s="263">
        <v>-0.01</v>
      </c>
      <c r="AW11" s="212" t="str">
        <f t="shared" si="15"/>
        <v>-</v>
      </c>
    </row>
    <row r="12" spans="1:49" s="252" customFormat="1" x14ac:dyDescent="0.25">
      <c r="A12" s="269" t="s">
        <v>11</v>
      </c>
      <c r="B12" s="270"/>
      <c r="C12" s="270"/>
      <c r="D12" s="215">
        <f t="shared" si="0"/>
        <v>0</v>
      </c>
      <c r="E12" s="270">
        <v>2E-3</v>
      </c>
      <c r="F12" s="270">
        <v>3.0000000000000001E-3</v>
      </c>
      <c r="G12" s="215">
        <f t="shared" si="1"/>
        <v>-1E-3</v>
      </c>
      <c r="H12" s="271"/>
      <c r="I12" s="271"/>
      <c r="J12" s="215" t="str">
        <f t="shared" si="2"/>
        <v>-</v>
      </c>
      <c r="K12" s="271">
        <v>3.0000000000000001E-3</v>
      </c>
      <c r="L12" s="271">
        <v>-1.0999999999999999E-2</v>
      </c>
      <c r="M12" s="215">
        <f t="shared" si="3"/>
        <v>1.3999999999999999E-2</v>
      </c>
      <c r="N12" s="272">
        <v>2E-3</v>
      </c>
      <c r="O12" s="272">
        <v>-1E-3</v>
      </c>
      <c r="P12" s="215">
        <f t="shared" si="4"/>
        <v>3.0000000000000001E-3</v>
      </c>
      <c r="Q12" s="272">
        <v>-1E-3</v>
      </c>
      <c r="R12" s="272">
        <v>2E-3</v>
      </c>
      <c r="S12" s="215">
        <f t="shared" si="5"/>
        <v>-3.0000000000000001E-3</v>
      </c>
      <c r="T12" s="272">
        <v>2E-3</v>
      </c>
      <c r="U12" s="272">
        <v>-1E-3</v>
      </c>
      <c r="V12" s="215">
        <f t="shared" si="6"/>
        <v>3.0000000000000001E-3</v>
      </c>
      <c r="W12" s="272">
        <v>-1E-3</v>
      </c>
      <c r="X12" s="272">
        <v>-2E-3</v>
      </c>
      <c r="Y12" s="215">
        <f t="shared" si="7"/>
        <v>1E-3</v>
      </c>
      <c r="Z12" s="272">
        <v>-2E-3</v>
      </c>
      <c r="AA12" s="272">
        <v>8.9999999999999993E-3</v>
      </c>
      <c r="AB12" s="215">
        <f t="shared" si="8"/>
        <v>-1.0999999999999999E-2</v>
      </c>
      <c r="AC12" s="272">
        <v>8.9999999999999993E-3</v>
      </c>
      <c r="AD12" s="272">
        <v>1E-3</v>
      </c>
      <c r="AE12" s="215">
        <f t="shared" si="9"/>
        <v>8.0000000000000002E-3</v>
      </c>
      <c r="AF12" s="272">
        <v>1E-3</v>
      </c>
      <c r="AG12" s="272">
        <v>4.0000000000000001E-3</v>
      </c>
      <c r="AH12" s="215">
        <f t="shared" si="10"/>
        <v>-3.0000000000000001E-3</v>
      </c>
      <c r="AI12" s="272">
        <v>0</v>
      </c>
      <c r="AJ12" s="272">
        <v>-3.0000000000000001E-3</v>
      </c>
      <c r="AK12" s="215">
        <f t="shared" si="11"/>
        <v>3.0000000000000001E-3</v>
      </c>
      <c r="AL12" s="272">
        <v>-3.0000000000000001E-3</v>
      </c>
      <c r="AM12" s="272">
        <v>-8.0000000000000002E-3</v>
      </c>
      <c r="AN12" s="215">
        <f t="shared" si="12"/>
        <v>5.0000000000000001E-3</v>
      </c>
      <c r="AO12" s="272">
        <v>-8.0000000000000002E-3</v>
      </c>
      <c r="AP12" s="272">
        <v>3.0000000000000001E-3</v>
      </c>
      <c r="AQ12" s="215">
        <f t="shared" si="13"/>
        <v>-1.0999999999999999E-2</v>
      </c>
      <c r="AR12" s="270"/>
      <c r="AS12" s="270"/>
      <c r="AT12" s="215" t="str">
        <f t="shared" si="14"/>
        <v>-</v>
      </c>
      <c r="AU12" s="272">
        <v>2E-3</v>
      </c>
      <c r="AV12" s="272">
        <v>-1E-3</v>
      </c>
      <c r="AW12" s="215">
        <f t="shared" si="15"/>
        <v>3.0000000000000001E-3</v>
      </c>
    </row>
    <row r="13" spans="1:49" s="252" customFormat="1" x14ac:dyDescent="0.25">
      <c r="A13" s="269" t="s">
        <v>12</v>
      </c>
      <c r="B13" s="270"/>
      <c r="C13" s="270"/>
      <c r="D13" s="215">
        <f t="shared" si="0"/>
        <v>0</v>
      </c>
      <c r="E13" s="270">
        <v>1.2999999999999999E-2</v>
      </c>
      <c r="F13" s="270">
        <v>6.0000000000000001E-3</v>
      </c>
      <c r="G13" s="215">
        <f t="shared" si="1"/>
        <v>6.9999999999999993E-3</v>
      </c>
      <c r="H13" s="271">
        <v>-3.0000000000000001E-3</v>
      </c>
      <c r="I13" s="271">
        <v>1E-3</v>
      </c>
      <c r="J13" s="215">
        <f t="shared" si="2"/>
        <v>-4.0000000000000001E-3</v>
      </c>
      <c r="K13" s="271">
        <v>1E-3</v>
      </c>
      <c r="L13" s="271">
        <v>4.0000000000000001E-3</v>
      </c>
      <c r="M13" s="215">
        <f t="shared" si="3"/>
        <v>-3.0000000000000001E-3</v>
      </c>
      <c r="N13" s="273">
        <v>-0.01</v>
      </c>
      <c r="O13" s="272">
        <v>4.0000000000000001E-3</v>
      </c>
      <c r="P13" s="215">
        <f t="shared" si="4"/>
        <v>-1.4E-2</v>
      </c>
      <c r="Q13" s="272">
        <v>4.0000000000000001E-3</v>
      </c>
      <c r="R13" s="272">
        <v>4.0000000000000001E-3</v>
      </c>
      <c r="S13" s="215">
        <f t="shared" si="5"/>
        <v>0</v>
      </c>
      <c r="T13" s="272">
        <v>3.0000000000000001E-3</v>
      </c>
      <c r="U13" s="272">
        <v>1E-3</v>
      </c>
      <c r="V13" s="215">
        <f t="shared" si="6"/>
        <v>2E-3</v>
      </c>
      <c r="W13" s="272">
        <v>-1E-3</v>
      </c>
      <c r="X13" s="272">
        <v>2E-3</v>
      </c>
      <c r="Y13" s="215">
        <f t="shared" si="7"/>
        <v>-3.0000000000000001E-3</v>
      </c>
      <c r="Z13" s="272">
        <v>2E-3</v>
      </c>
      <c r="AA13" s="273">
        <v>0</v>
      </c>
      <c r="AB13" s="215">
        <f t="shared" si="8"/>
        <v>2E-3</v>
      </c>
      <c r="AC13" s="272">
        <v>0</v>
      </c>
      <c r="AD13" s="272">
        <v>2E-3</v>
      </c>
      <c r="AE13" s="215">
        <f t="shared" si="9"/>
        <v>-2E-3</v>
      </c>
      <c r="AF13" s="272">
        <v>2E-3</v>
      </c>
      <c r="AG13" s="272">
        <v>-1E-3</v>
      </c>
      <c r="AH13" s="215">
        <f t="shared" si="10"/>
        <v>3.0000000000000001E-3</v>
      </c>
      <c r="AI13" s="274">
        <v>-1E-3</v>
      </c>
      <c r="AJ13" s="272">
        <v>-1.2E-2</v>
      </c>
      <c r="AK13" s="215">
        <f t="shared" si="11"/>
        <v>1.0999999999999999E-2</v>
      </c>
      <c r="AL13" s="272">
        <v>-1.2E-2</v>
      </c>
      <c r="AM13" s="272">
        <v>5.0000000000000001E-3</v>
      </c>
      <c r="AN13" s="215">
        <f t="shared" si="12"/>
        <v>-1.7000000000000001E-2</v>
      </c>
      <c r="AO13" s="272">
        <v>6.0000000000000001E-3</v>
      </c>
      <c r="AP13" s="272">
        <v>2E-3</v>
      </c>
      <c r="AQ13" s="215">
        <f t="shared" si="13"/>
        <v>4.0000000000000001E-3</v>
      </c>
      <c r="AR13" s="273">
        <v>1E-3</v>
      </c>
      <c r="AS13" s="273">
        <v>0</v>
      </c>
      <c r="AT13" s="215">
        <f t="shared" si="14"/>
        <v>1E-3</v>
      </c>
      <c r="AU13" s="270"/>
      <c r="AV13" s="272">
        <v>2E-3</v>
      </c>
      <c r="AW13" s="215" t="str">
        <f t="shared" si="15"/>
        <v>-</v>
      </c>
    </row>
    <row r="14" spans="1:49" s="252" customFormat="1" x14ac:dyDescent="0.25">
      <c r="A14" s="269" t="s">
        <v>13</v>
      </c>
      <c r="B14" s="270"/>
      <c r="C14" s="270"/>
      <c r="D14" s="215">
        <f t="shared" si="0"/>
        <v>0</v>
      </c>
      <c r="E14" s="270">
        <v>8.0000000000000002E-3</v>
      </c>
      <c r="F14" s="270">
        <v>3.0000000000000001E-3</v>
      </c>
      <c r="G14" s="215">
        <f t="shared" si="1"/>
        <v>5.0000000000000001E-3</v>
      </c>
      <c r="H14" s="271"/>
      <c r="I14" s="271"/>
      <c r="J14" s="215" t="str">
        <f t="shared" si="2"/>
        <v>-</v>
      </c>
      <c r="K14" s="271">
        <v>3.0000000000000001E-3</v>
      </c>
      <c r="L14" s="271">
        <v>0</v>
      </c>
      <c r="M14" s="215">
        <f t="shared" si="3"/>
        <v>3.0000000000000001E-3</v>
      </c>
      <c r="N14" s="272">
        <v>1E-3</v>
      </c>
      <c r="O14" s="272">
        <v>3.0000000000000001E-3</v>
      </c>
      <c r="P14" s="215">
        <f t="shared" si="4"/>
        <v>-2E-3</v>
      </c>
      <c r="Q14" s="272">
        <v>3.0000000000000001E-3</v>
      </c>
      <c r="R14" s="272">
        <v>2E-3</v>
      </c>
      <c r="S14" s="215">
        <f t="shared" si="5"/>
        <v>1E-3</v>
      </c>
      <c r="T14" s="272">
        <v>4.0000000000000001E-3</v>
      </c>
      <c r="U14" s="272">
        <v>-1E-3</v>
      </c>
      <c r="V14" s="215">
        <f t="shared" si="6"/>
        <v>5.0000000000000001E-3</v>
      </c>
      <c r="W14" s="272">
        <v>6.0000000000000001E-3</v>
      </c>
      <c r="X14" s="272">
        <v>5.0000000000000001E-3</v>
      </c>
      <c r="Y14" s="215">
        <f t="shared" si="7"/>
        <v>1E-3</v>
      </c>
      <c r="Z14" s="272">
        <v>2E-3</v>
      </c>
      <c r="AA14" s="270">
        <v>0</v>
      </c>
      <c r="AB14" s="215">
        <f t="shared" si="8"/>
        <v>2E-3</v>
      </c>
      <c r="AC14" s="272">
        <v>2E-3</v>
      </c>
      <c r="AD14" s="272">
        <v>-1E-3</v>
      </c>
      <c r="AE14" s="215">
        <f t="shared" si="9"/>
        <v>3.0000000000000001E-3</v>
      </c>
      <c r="AF14" s="272">
        <v>2E-3</v>
      </c>
      <c r="AG14" s="272">
        <v>-1E-3</v>
      </c>
      <c r="AH14" s="215">
        <f t="shared" si="10"/>
        <v>3.0000000000000001E-3</v>
      </c>
      <c r="AI14" s="272">
        <v>-1E-3</v>
      </c>
      <c r="AJ14" s="272">
        <v>2E-3</v>
      </c>
      <c r="AK14" s="215">
        <f t="shared" si="11"/>
        <v>-3.0000000000000001E-3</v>
      </c>
      <c r="AL14" s="272">
        <v>-1.2E-2</v>
      </c>
      <c r="AM14" s="272">
        <v>-1.2E-2</v>
      </c>
      <c r="AN14" s="215">
        <f t="shared" si="12"/>
        <v>0</v>
      </c>
      <c r="AO14" s="272">
        <v>2E-3</v>
      </c>
      <c r="AP14" s="272">
        <v>1E-3</v>
      </c>
      <c r="AQ14" s="215">
        <f t="shared" si="13"/>
        <v>1E-3</v>
      </c>
      <c r="AR14" s="273">
        <v>1E-3</v>
      </c>
      <c r="AS14" s="273">
        <v>1E-3</v>
      </c>
      <c r="AT14" s="215">
        <f t="shared" si="14"/>
        <v>0</v>
      </c>
      <c r="AU14" s="275">
        <v>5.0000000000000001E-3</v>
      </c>
      <c r="AV14" s="272">
        <v>2E-3</v>
      </c>
      <c r="AW14" s="215">
        <f t="shared" si="15"/>
        <v>3.0000000000000001E-3</v>
      </c>
    </row>
    <row r="15" spans="1:49" s="252" customFormat="1" x14ac:dyDescent="0.25">
      <c r="A15" s="269" t="s">
        <v>14</v>
      </c>
      <c r="B15" s="270"/>
      <c r="C15" s="270"/>
      <c r="D15" s="215" t="str">
        <f t="shared" ref="D15:D18" si="16">IF(ISBLANK(B15),"-",B15-C15)</f>
        <v>-</v>
      </c>
      <c r="E15" s="270"/>
      <c r="F15" s="270"/>
      <c r="G15" s="215" t="str">
        <f t="shared" ref="G15:G18" si="17">IF(ISBLANK(E15),"-",E15-F15)</f>
        <v>-</v>
      </c>
      <c r="H15" s="271">
        <v>4.0000000000000001E-3</v>
      </c>
      <c r="I15" s="271">
        <v>2E-3</v>
      </c>
      <c r="J15" s="215">
        <f t="shared" si="2"/>
        <v>2E-3</v>
      </c>
      <c r="K15" s="271">
        <v>2E-3</v>
      </c>
      <c r="L15" s="271">
        <v>-1E-3</v>
      </c>
      <c r="M15" s="215">
        <f t="shared" si="3"/>
        <v>3.0000000000000001E-3</v>
      </c>
      <c r="N15" s="272">
        <v>-2E-3</v>
      </c>
      <c r="O15" s="272">
        <v>1E-3</v>
      </c>
      <c r="P15" s="215">
        <f t="shared" si="4"/>
        <v>-3.0000000000000001E-3</v>
      </c>
      <c r="Q15" s="272">
        <v>1E-3</v>
      </c>
      <c r="R15" s="272">
        <v>2E-3</v>
      </c>
      <c r="S15" s="215">
        <f t="shared" si="5"/>
        <v>-1E-3</v>
      </c>
      <c r="T15" s="272">
        <v>2E-3</v>
      </c>
      <c r="U15" s="272">
        <v>-1E-3</v>
      </c>
      <c r="V15" s="215">
        <f t="shared" si="6"/>
        <v>3.0000000000000001E-3</v>
      </c>
      <c r="W15" s="272">
        <v>0</v>
      </c>
      <c r="X15" s="272">
        <v>1E-3</v>
      </c>
      <c r="Y15" s="215">
        <f t="shared" si="7"/>
        <v>-1E-3</v>
      </c>
      <c r="Z15" s="272">
        <v>4.0000000000000001E-3</v>
      </c>
      <c r="AA15" s="272">
        <v>2E-3</v>
      </c>
      <c r="AB15" s="215">
        <f t="shared" si="8"/>
        <v>2E-3</v>
      </c>
      <c r="AC15" s="272">
        <v>2E-3</v>
      </c>
      <c r="AD15" s="272">
        <v>1E-3</v>
      </c>
      <c r="AE15" s="215">
        <f t="shared" si="9"/>
        <v>1E-3</v>
      </c>
      <c r="AF15" s="272">
        <v>1E-3</v>
      </c>
      <c r="AG15" s="270">
        <v>0</v>
      </c>
      <c r="AH15" s="215">
        <f t="shared" si="10"/>
        <v>1E-3</v>
      </c>
      <c r="AI15" s="270">
        <v>0</v>
      </c>
      <c r="AJ15" s="272">
        <v>-2E-3</v>
      </c>
      <c r="AK15" s="215">
        <f t="shared" si="11"/>
        <v>2E-3</v>
      </c>
      <c r="AL15" s="272">
        <v>-2E-3</v>
      </c>
      <c r="AM15" s="272">
        <v>2E-3</v>
      </c>
      <c r="AN15" s="215">
        <f t="shared" si="12"/>
        <v>-4.0000000000000001E-3</v>
      </c>
      <c r="AO15" s="272">
        <v>2E-3</v>
      </c>
      <c r="AP15" s="272">
        <v>4.0000000000000001E-3</v>
      </c>
      <c r="AQ15" s="215">
        <f t="shared" si="13"/>
        <v>-2E-3</v>
      </c>
      <c r="AR15" s="272">
        <v>1E-3</v>
      </c>
      <c r="AS15" s="272">
        <v>2E-3</v>
      </c>
      <c r="AT15" s="215">
        <f t="shared" si="14"/>
        <v>-1E-3</v>
      </c>
      <c r="AU15" s="272">
        <v>2E-3</v>
      </c>
      <c r="AV15" s="272">
        <v>0</v>
      </c>
      <c r="AW15" s="215">
        <f t="shared" si="15"/>
        <v>2E-3</v>
      </c>
    </row>
    <row r="16" spans="1:49" s="252" customFormat="1" x14ac:dyDescent="0.25">
      <c r="A16" s="269" t="s">
        <v>15</v>
      </c>
      <c r="B16" s="270"/>
      <c r="C16" s="270"/>
      <c r="D16" s="215" t="str">
        <f t="shared" si="16"/>
        <v>-</v>
      </c>
      <c r="E16" s="270"/>
      <c r="F16" s="270"/>
      <c r="G16" s="215" t="str">
        <f t="shared" si="17"/>
        <v>-</v>
      </c>
      <c r="H16" s="271">
        <v>2.4E-2</v>
      </c>
      <c r="I16" s="271">
        <v>2.9000000000000001E-2</v>
      </c>
      <c r="J16" s="215">
        <f t="shared" si="2"/>
        <v>-5.000000000000001E-3</v>
      </c>
      <c r="K16" s="271">
        <v>1.0000000000000009E-3</v>
      </c>
      <c r="L16" s="271">
        <v>-1.9999999999999948E-3</v>
      </c>
      <c r="M16" s="215">
        <f t="shared" si="3"/>
        <v>2.9999999999999957E-3</v>
      </c>
      <c r="N16" s="272">
        <v>2.9000000000000001E-2</v>
      </c>
      <c r="O16" s="272">
        <v>2.7E-2</v>
      </c>
      <c r="P16" s="215">
        <f t="shared" si="4"/>
        <v>2.0000000000000018E-3</v>
      </c>
      <c r="Q16" s="272">
        <v>2.7E-2</v>
      </c>
      <c r="R16" s="272">
        <v>2.3E-2</v>
      </c>
      <c r="S16" s="215">
        <f t="shared" si="5"/>
        <v>4.0000000000000001E-3</v>
      </c>
      <c r="T16" s="272">
        <v>2.1999999999999999E-2</v>
      </c>
      <c r="U16" s="273">
        <v>0.02</v>
      </c>
      <c r="V16" s="215">
        <f t="shared" si="6"/>
        <v>1.9999999999999983E-3</v>
      </c>
      <c r="W16" s="272">
        <v>1.9E-2</v>
      </c>
      <c r="X16" s="272">
        <v>2.3E-2</v>
      </c>
      <c r="Y16" s="215">
        <f t="shared" si="7"/>
        <v>-4.0000000000000001E-3</v>
      </c>
      <c r="Z16" s="272">
        <v>2.3E-2</v>
      </c>
      <c r="AA16" s="273">
        <v>0.03</v>
      </c>
      <c r="AB16" s="215">
        <f t="shared" si="8"/>
        <v>-6.9999999999999993E-3</v>
      </c>
      <c r="AC16" s="273">
        <v>0.03</v>
      </c>
      <c r="AD16" s="272">
        <v>2.9000000000000001E-2</v>
      </c>
      <c r="AE16" s="215">
        <f t="shared" si="9"/>
        <v>9.9999999999999742E-4</v>
      </c>
      <c r="AF16" s="273">
        <v>0.03</v>
      </c>
      <c r="AG16" s="272">
        <v>2.8000000000000001E-2</v>
      </c>
      <c r="AH16" s="215">
        <f t="shared" si="10"/>
        <v>1.9999999999999983E-3</v>
      </c>
      <c r="AI16" s="272">
        <v>2.4E-2</v>
      </c>
      <c r="AJ16" s="272">
        <v>1.7999999999999999E-2</v>
      </c>
      <c r="AK16" s="215">
        <f t="shared" si="11"/>
        <v>6.0000000000000019E-3</v>
      </c>
      <c r="AL16" s="272">
        <v>1.4999999999999999E-2</v>
      </c>
      <c r="AM16" s="272">
        <v>2.3E-2</v>
      </c>
      <c r="AN16" s="215">
        <f t="shared" si="12"/>
        <v>-8.0000000000000002E-3</v>
      </c>
      <c r="AO16" s="272">
        <v>2.1999999999999999E-2</v>
      </c>
      <c r="AP16" s="272">
        <v>2.8000000000000001E-2</v>
      </c>
      <c r="AQ16" s="215">
        <f t="shared" si="13"/>
        <v>-6.0000000000000019E-3</v>
      </c>
      <c r="AR16" s="272">
        <v>3.4000000000000002E-2</v>
      </c>
      <c r="AS16" s="272">
        <v>3.5999999999999997E-2</v>
      </c>
      <c r="AT16" s="215">
        <f t="shared" si="14"/>
        <v>-1.9999999999999948E-3</v>
      </c>
      <c r="AU16" s="272">
        <v>3.3000000000000002E-2</v>
      </c>
      <c r="AV16" s="272">
        <v>3.2000000000000001E-2</v>
      </c>
      <c r="AW16" s="215">
        <f t="shared" si="15"/>
        <v>1.0000000000000009E-3</v>
      </c>
    </row>
    <row r="17" spans="1:49" s="252" customFormat="1" x14ac:dyDescent="0.25">
      <c r="A17" s="269" t="s">
        <v>16</v>
      </c>
      <c r="B17" s="270"/>
      <c r="C17" s="270"/>
      <c r="D17" s="215" t="str">
        <f t="shared" si="16"/>
        <v>-</v>
      </c>
      <c r="E17" s="270"/>
      <c r="F17" s="270"/>
      <c r="G17" s="215" t="str">
        <f t="shared" si="17"/>
        <v>-</v>
      </c>
      <c r="H17" s="271">
        <v>-1E-3</v>
      </c>
      <c r="I17" s="271">
        <v>5.0000000000000001E-3</v>
      </c>
      <c r="J17" s="215">
        <f t="shared" si="2"/>
        <v>-6.0000000000000001E-3</v>
      </c>
      <c r="K17" s="271">
        <v>6.0000000000000001E-3</v>
      </c>
      <c r="L17" s="271">
        <v>-7.0000000000000001E-3</v>
      </c>
      <c r="M17" s="215">
        <f t="shared" si="3"/>
        <v>1.3000000000000001E-2</v>
      </c>
      <c r="N17" s="272">
        <v>-5.0000000000000001E-3</v>
      </c>
      <c r="O17" s="272">
        <v>-4.0000000000000001E-3</v>
      </c>
      <c r="P17" s="215">
        <f t="shared" si="4"/>
        <v>-1E-3</v>
      </c>
      <c r="Q17" s="273">
        <v>-4.0000000000000001E-3</v>
      </c>
      <c r="R17" s="272">
        <v>-7.0000000000000001E-3</v>
      </c>
      <c r="S17" s="215">
        <f t="shared" si="5"/>
        <v>3.0000000000000001E-3</v>
      </c>
      <c r="T17" s="272">
        <v>-7.0000000000000001E-3</v>
      </c>
      <c r="U17" s="272">
        <v>-1.7000000000000001E-2</v>
      </c>
      <c r="V17" s="215">
        <f t="shared" si="6"/>
        <v>1.0000000000000002E-2</v>
      </c>
      <c r="W17" s="273">
        <v>-1.7000000000000001E-2</v>
      </c>
      <c r="X17" s="272">
        <v>3.0000000000000001E-3</v>
      </c>
      <c r="Y17" s="215">
        <f t="shared" si="7"/>
        <v>-0.02</v>
      </c>
      <c r="Z17" s="272">
        <v>3.0000000000000001E-3</v>
      </c>
      <c r="AA17" s="272">
        <v>1.0999999999999999E-2</v>
      </c>
      <c r="AB17" s="215">
        <f t="shared" si="8"/>
        <v>-8.0000000000000002E-3</v>
      </c>
      <c r="AC17" s="272">
        <v>1.0999999999999999E-2</v>
      </c>
      <c r="AD17" s="272">
        <v>4.0000000000000001E-3</v>
      </c>
      <c r="AE17" s="215">
        <f t="shared" si="9"/>
        <v>6.9999999999999993E-3</v>
      </c>
      <c r="AF17" s="272">
        <v>4.0000000000000001E-3</v>
      </c>
      <c r="AG17" s="272">
        <v>6.0000000000000001E-3</v>
      </c>
      <c r="AH17" s="215">
        <f t="shared" si="10"/>
        <v>-2E-3</v>
      </c>
      <c r="AI17" s="272">
        <v>-4.0000000000000001E-3</v>
      </c>
      <c r="AJ17" s="272">
        <v>-4.0000000000000001E-3</v>
      </c>
      <c r="AK17" s="215">
        <f t="shared" si="11"/>
        <v>0</v>
      </c>
      <c r="AL17" s="272">
        <v>-4.0000000000000001E-3</v>
      </c>
      <c r="AM17" s="272">
        <v>-4.0000000000000001E-3</v>
      </c>
      <c r="AN17" s="215">
        <f t="shared" si="12"/>
        <v>0</v>
      </c>
      <c r="AO17" s="272">
        <v>-4.0000000000000001E-3</v>
      </c>
      <c r="AP17" s="272">
        <v>4.0000000000000001E-3</v>
      </c>
      <c r="AQ17" s="215">
        <f t="shared" si="13"/>
        <v>-8.0000000000000002E-3</v>
      </c>
      <c r="AR17" s="270">
        <v>0</v>
      </c>
      <c r="AS17" s="272">
        <v>7.0000000000000001E-3</v>
      </c>
      <c r="AT17" s="215">
        <f t="shared" si="14"/>
        <v>-7.0000000000000001E-3</v>
      </c>
      <c r="AU17" s="272">
        <v>4.0000000000000001E-3</v>
      </c>
      <c r="AV17" s="272">
        <v>-2E-3</v>
      </c>
      <c r="AW17" s="215">
        <f t="shared" si="15"/>
        <v>6.0000000000000001E-3</v>
      </c>
    </row>
    <row r="18" spans="1:49" s="252" customFormat="1" x14ac:dyDescent="0.25">
      <c r="A18" s="269" t="s">
        <v>17</v>
      </c>
      <c r="B18" s="270"/>
      <c r="C18" s="270"/>
      <c r="D18" s="215" t="str">
        <f t="shared" si="16"/>
        <v>-</v>
      </c>
      <c r="E18" s="270"/>
      <c r="F18" s="270"/>
      <c r="G18" s="215" t="str">
        <f t="shared" si="17"/>
        <v>-</v>
      </c>
      <c r="H18" s="271">
        <v>2.8000000000000001E-2</v>
      </c>
      <c r="I18" s="271">
        <v>0.03</v>
      </c>
      <c r="J18" s="215">
        <f t="shared" si="2"/>
        <v>-1.9999999999999983E-3</v>
      </c>
      <c r="K18" s="271">
        <v>5.9999999999999993E-3</v>
      </c>
      <c r="L18" s="271">
        <v>3.0000000000000009E-3</v>
      </c>
      <c r="M18" s="215">
        <f t="shared" si="3"/>
        <v>2.9999999999999983E-3</v>
      </c>
      <c r="N18" s="270"/>
      <c r="O18" s="270"/>
      <c r="P18" s="215" t="str">
        <f t="shared" si="4"/>
        <v>-</v>
      </c>
      <c r="Q18" s="272">
        <v>3.4000000000000002E-2</v>
      </c>
      <c r="R18" s="272">
        <v>3.9E-2</v>
      </c>
      <c r="S18" s="215">
        <f t="shared" si="5"/>
        <v>-4.9999999999999975E-3</v>
      </c>
      <c r="T18" s="272">
        <v>3.9E-2</v>
      </c>
      <c r="U18" s="272">
        <v>3.9E-2</v>
      </c>
      <c r="V18" s="215">
        <f t="shared" si="6"/>
        <v>0</v>
      </c>
      <c r="W18" s="272">
        <v>3.9E-2</v>
      </c>
      <c r="X18" s="272">
        <v>3.9E-2</v>
      </c>
      <c r="Y18" s="215">
        <f t="shared" si="7"/>
        <v>0</v>
      </c>
      <c r="Z18" s="273">
        <v>0.04</v>
      </c>
      <c r="AA18" s="272">
        <v>3.7999999999999999E-2</v>
      </c>
      <c r="AB18" s="215">
        <f t="shared" si="8"/>
        <v>2.0000000000000018E-3</v>
      </c>
      <c r="AC18" s="273">
        <v>0.03</v>
      </c>
      <c r="AD18" s="272">
        <v>3.5000000000000003E-2</v>
      </c>
      <c r="AE18" s="215">
        <f t="shared" si="9"/>
        <v>-5.0000000000000044E-3</v>
      </c>
      <c r="AF18" s="272">
        <v>3.5000000000000003E-2</v>
      </c>
      <c r="AG18" s="272">
        <v>3.4000000000000002E-2</v>
      </c>
      <c r="AH18" s="215">
        <f t="shared" si="10"/>
        <v>1.0000000000000009E-3</v>
      </c>
      <c r="AI18" s="274">
        <v>3.4000000000000002E-2</v>
      </c>
      <c r="AJ18" s="272">
        <v>2.9000000000000001E-2</v>
      </c>
      <c r="AK18" s="215">
        <f t="shared" si="11"/>
        <v>5.000000000000001E-3</v>
      </c>
      <c r="AL18" s="272">
        <v>2.9000000000000001E-2</v>
      </c>
      <c r="AM18" s="272">
        <v>2.3E-2</v>
      </c>
      <c r="AN18" s="215">
        <f t="shared" si="12"/>
        <v>6.0000000000000019E-3</v>
      </c>
      <c r="AO18" s="272">
        <v>2.3E-2</v>
      </c>
      <c r="AP18" s="272">
        <v>2.3E-2</v>
      </c>
      <c r="AQ18" s="215">
        <f t="shared" si="13"/>
        <v>0</v>
      </c>
      <c r="AR18" s="272">
        <v>1.6E-2</v>
      </c>
      <c r="AS18" s="272">
        <v>1.2999999999999999E-2</v>
      </c>
      <c r="AT18" s="215">
        <f t="shared" si="14"/>
        <v>3.0000000000000009E-3</v>
      </c>
      <c r="AU18" s="272">
        <v>8.9999999999999993E-3</v>
      </c>
      <c r="AV18" s="272">
        <v>3.0000000000000001E-3</v>
      </c>
      <c r="AW18" s="215">
        <f t="shared" si="15"/>
        <v>5.9999999999999993E-3</v>
      </c>
    </row>
    <row r="19" spans="1:49" s="252" customFormat="1" x14ac:dyDescent="0.25">
      <c r="A19" s="241"/>
      <c r="B19" s="223"/>
      <c r="C19" s="223"/>
      <c r="D19" s="276"/>
      <c r="E19" s="223"/>
      <c r="F19" s="223"/>
      <c r="G19" s="276"/>
      <c r="H19" s="287"/>
      <c r="I19" s="287"/>
      <c r="J19" s="276"/>
      <c r="K19" s="223"/>
      <c r="L19" s="223"/>
      <c r="M19" s="276"/>
      <c r="N19" s="223"/>
      <c r="O19" s="223"/>
      <c r="P19" s="276"/>
      <c r="Q19" s="223"/>
      <c r="R19" s="223"/>
      <c r="S19" s="276"/>
      <c r="T19" s="223"/>
      <c r="U19" s="223"/>
      <c r="V19" s="276"/>
      <c r="W19" s="223"/>
      <c r="X19" s="223"/>
      <c r="Y19" s="276"/>
      <c r="Z19" s="223"/>
      <c r="AA19" s="223"/>
      <c r="AB19" s="276"/>
      <c r="AC19" s="223"/>
      <c r="AD19" s="223"/>
      <c r="AE19" s="276"/>
      <c r="AF19" s="223"/>
      <c r="AG19" s="223"/>
      <c r="AH19" s="276"/>
      <c r="AI19" s="223"/>
      <c r="AJ19" s="223"/>
      <c r="AK19" s="276"/>
      <c r="AL19" s="223"/>
      <c r="AM19" s="223"/>
      <c r="AN19" s="276"/>
      <c r="AO19" s="223"/>
      <c r="AP19" s="223"/>
      <c r="AQ19" s="276"/>
      <c r="AR19" s="223"/>
      <c r="AS19" s="223"/>
      <c r="AT19" s="276"/>
      <c r="AU19" s="223"/>
      <c r="AV19" s="223"/>
      <c r="AW19" s="276"/>
    </row>
    <row r="20" spans="1:49" s="252" customFormat="1" x14ac:dyDescent="0.25">
      <c r="A20" s="236" t="s">
        <v>18</v>
      </c>
      <c r="B20" s="349"/>
      <c r="C20" s="332"/>
      <c r="D20" s="332"/>
      <c r="E20" s="349" t="str">
        <f t="shared" ref="E20" si="18">IF(
    AND(G21="-", G22="-", G23="-", G24="-", G25="-", G26="-", G27="-", G28="-", G29="-", G30="-"),
    "",
    IF(
        SUM(
            IF(G21="-", 0, IF(G21&lt;0, -2, IF(G21&gt;0, 2, 0))),
            IF(G22="-", 0, IF(G22&lt;0, -2, IF(G22&gt;0, 2, 0))),
            IF(G23="-", 0, IF(G23&lt;0, -2, IF(G23&gt;0, 2, 0))),
            IF(G24="-", 0, IF(G24&lt;0, -2, IF(G24&gt;0, 2, 0))),
            IF(G25="-", 0, IF(G25&lt;0, -2, IF(G25&gt;0, 2, 0))),
            IF(G26="-", 0, IF(G26&lt;0, -2, IF(G26&gt;0, 2, 0))),
            IF(G27="-", 0, IF(G27&lt;0, -1, IF(G27&gt;0, 2, 0))),
            IF(G28="-", 0, IF(G28&lt;0, -1, IF(G28&gt;0, 1, 0))),
            IF(G29="-", 0, IF(G29&lt;0, -1, IF(G29&gt;0, 1, 0))),
            IF(G30="-", 0, IF(G30&lt;0, -1, IF(G30&gt;0, 1, 0)))
        )/16 &gt; 0.1,
        "BULLISH",
        IF(
            SUM(
                IF(G21="-", 0, IF(G21&lt;0, -2, IF(G21&gt;0, 2, 0))),
                IF(G22="-", 0, IF(G22&lt;0, -2, IF(G22&gt;0, 2, 0))),
                IF(G23="-", 0, IF(G23&lt;0, -2, IF(G23&gt;0, 2, 0))),
                IF(G24="-", 0, IF(G24&lt;0, -2, IF(G24&gt;0, 2, 0))),
                IF(G25="-", 0, IF(G25&lt;0, -2, IF(G25&gt;0, 2, 0))),
                IF(G26="-", 0, IF(G26&lt;0, -2, IF(G26&gt;0, 2, 0))),
                IF(G27="-", 0, IF(G27&lt;0, -1, IF(G27&gt;0, 2, 0))),
                IF(G28="-", 0, IF(G28&lt;0, -1, IF(G28&gt;0, 1, 0))),
                IF(G29="-", 0, IF(G29&lt;0, -1, IF(G29&gt;0, 1, 0))),
                IF(G30="-", 0, IF(G30&lt;0, -1, IF(G30&gt;0, 1, 0)))
            )/16 &lt; -0.1,
            "BEARISH",
            "NEUTRO"
        )
    )
)</f>
        <v/>
      </c>
      <c r="F20" s="332"/>
      <c r="G20" s="332"/>
      <c r="H20" s="349" t="str">
        <f>IF(
    AND(J21="-", J22="-", J23="-", J24="-", J25="-", J26="-", J27="-", J28="-", J29="-", J30="-"),
    "",
    IF(
        SUM(
            IF(J21="-", 0, IF(J21&lt;0, -2, IF(J21&gt;0, 2, 0))),
            IF(J22="-", 0, IF(J22&lt;0, -2, IF(J22&gt;0, 2, 0))),
            IF(J23="-", 0, IF(J23&lt;0, -2, IF(J23&gt;0, 2, 0))),
            IF(J24="-", 0, IF(J24&lt;0, -2, IF(J24&gt;0, 2, 0))),
            IF(J25="-", 0, IF(J25&lt;0, -2, IF(J25&gt;0, 2, 0))),
            IF(J26="-", 0, IF(J26&lt;0, -2, IF(J26&gt;0, 2, 0))),
            IF(J27="-", 0, IF(J27&lt;0, -1, IF(J27&gt;0, 2, 0))),
            IF(J28="-", 0, IF(J28&lt;0, -1, IF(J28&gt;0, 1, 0))),
            IF(J29="-", 0, IF(J29&lt;0, -1, IF(J29&gt;0, 1, 0))),
            IF(J30="-", 0, IF(J30&lt;0, -1, IF(J30&gt;0, 1, 0)))
        )/16 &gt; 0.1,
        "BULLISH",
        IF(
            SUM(
                IF(J21="-", 0, IF(J21&lt;0, -2, IF(J21&gt;0, 2, 0))),
                IF(J22="-", 0, IF(J22&lt;0, -2, IF(J22&gt;0, 2, 0))),
                IF(J23="-", 0, IF(J23&lt;0, -2, IF(J23&gt;0, 2, 0))),
                IF(J24="-", 0, IF(J24&lt;0, -2, IF(J24&gt;0, 2, 0))),
                IF(J25="-", 0, IF(J25&lt;0, -2, IF(J25&gt;0, 2, 0))),
                IF(J26="-", 0, IF(J26&lt;0, -2, IF(J26&gt;0, 2, 0))),
                IF(J27="-", 0, IF(J27&lt;0, -1, IF(J27&gt;0, 2, 0))),
                IF(J28="-", 0, IF(J28&lt;0, -1, IF(J28&gt;0, 1, 0))),
                IF(J29="-", 0, IF(J29&lt;0, -1, IF(J29&gt;0, 1, 0))),
                IF(J30="-", 0, IF(J30&lt;0, -1, IF(J30&gt;0, 1, 0)))
            )/16 &lt; -0.1,
            "BEARISH",
            "NEUTRO"
        )
    )
)</f>
        <v>BULLISH</v>
      </c>
      <c r="I20" s="332"/>
      <c r="J20" s="332"/>
      <c r="K20" s="349" t="str">
        <f>IF(
    AND(M21="-", M22="-", M23="-", M24="-", M25="-", M26="-", M27="-", M28="-", M29="-", M30="-"),
    "",
    IF(
        SUM(
            IF(M21="-", 0, IF(M21&lt;0, -2, IF(M21&gt;0, 2, 0))),
            IF(M22="-", 0, IF(M22&lt;0, -2, IF(M22&gt;0, 2, 0))),
            IF(M23="-", 0, IF(M23&lt;0, -2, IF(M23&gt;0, 2, 0))),
            IF(M24="-", 0, IF(M24&lt;0, -2, IF(M24&gt;0, 2, 0))),
            IF(M25="-", 0, IF(M25&lt;0, -2, IF(M25&gt;0, 2, 0))),
            IF(M26="-", 0, IF(M26&lt;0, -2, IF(M26&gt;0, 2, 0))),
            IF(M27="-", 0, IF(M27&lt;0, -1, IF(M27&gt;0, 2, 0))),
            IF(M28="-", 0, IF(M28&lt;0, -1, IF(M28&gt;0, 1, 0))),
            IF(M29="-", 0, IF(M29&lt;0, -1, IF(M29&gt;0, 1, 0))),
            IF(M30="-", 0, IF(M30&lt;0, -1, IF(M30&gt;0, 1, 0)))
        )/16 &gt; 0.1,
        "BULLISH",
        IF(
            SUM(
                IF(M21="-", 0, IF(M21&lt;0, -2, IF(M21&gt;0, 2, 0))),
                IF(M22="-", 0, IF(M22&lt;0, -2, IF(M22&gt;0, 2, 0))),
                IF(M23="-", 0, IF(M23&lt;0, -2, IF(M23&gt;0, 2, 0))),
                IF(M24="-", 0, IF(M24&lt;0, -2, IF(M24&gt;0, 2, 0))),
                IF(M25="-", 0, IF(M25&lt;0, -2, IF(M25&gt;0, 2, 0))),
                IF(M26="-", 0, IF(M26&lt;0, -2, IF(M26&gt;0, 2, 0))),
                IF(M27="-", 0, IF(M27&lt;0, -1, IF(M27&gt;0, 2, 0))),
                IF(M28="-", 0, IF(M28&lt;0, -1, IF(M28&gt;0, 1, 0))),
                IF(M29="-", 0, IF(M29&lt;0, -1, IF(M29&gt;0, 1, 0))),
                IF(M30="-", 0, IF(M30&lt;0, -1, IF(M30&gt;0, 1, 0)))
            )/16 &lt; -0.1,
            "BEARISH",
            "NEUTRO"
        )
    )
)</f>
        <v>BULLISH</v>
      </c>
      <c r="L20" s="332"/>
      <c r="M20" s="332"/>
      <c r="N20" s="349" t="str">
        <f>IF(
    AND(P21="-", P22="-", P23="-", P24="-", P25="-", P26="-", P27="-", P28="-", P29="-", P30="-"),
    "",
    IF(
        SUM(
            IF(P21="-", 0, IF(P21&lt;0, -2, IF(P21&gt;0, 2, 0))),
            IF(P22="-", 0, IF(P22&lt;0, -2, IF(P22&gt;0, 2, 0))),
            IF(P23="-", 0, IF(P23&lt;0, -2, IF(P23&gt;0, 2, 0))),
            IF(P24="-", 0, IF(P24&lt;0, -2, IF(P24&gt;0, 2, 0))),
            IF(P25="-", 0, IF(P25&lt;0, -2, IF(P25&gt;0, 2, 0))),
            IF(P26="-", 0, IF(P26&lt;0, -2, IF(P26&gt;0, 2, 0))),
            IF(P27="-", 0, IF(P27&lt;0, -1, IF(P27&gt;0, 2, 0))),
            IF(P28="-", 0, IF(P28&lt;0, -1, IF(P28&gt;0, 1, 0))),
            IF(P29="-", 0, IF(P29&lt;0, -1, IF(P29&gt;0, 1, 0))),
            IF(P30="-", 0, IF(P30&lt;0, -1, IF(P30&gt;0, 1, 0)))
        )/16 &gt; 0.1,
        "BULLISH",
        IF(
            SUM(
                IF(P21="-", 0, IF(P21&lt;0, -2, IF(P21&gt;0, 2, 0))),
                IF(P22="-", 0, IF(P22&lt;0, -2, IF(P22&gt;0, 2, 0))),
                IF(P23="-", 0, IF(P23&lt;0, -2, IF(P23&gt;0, 2, 0))),
                IF(P24="-", 0, IF(P24&lt;0, -2, IF(P24&gt;0, 2, 0))),
                IF(P25="-", 0, IF(P25&lt;0, -2, IF(P25&gt;0, 2, 0))),
                IF(P26="-", 0, IF(P26&lt;0, -2, IF(P26&gt;0, 2, 0))),
                IF(P27="-", 0, IF(P27&lt;0, -1, IF(P27&gt;0, 2, 0))),
                IF(P28="-", 0, IF(P28&lt;0, -1, IF(P28&gt;0, 1, 0))),
                IF(P29="-", 0, IF(P29&lt;0, -1, IF(P29&gt;0, 1, 0))),
                IF(P30="-", 0, IF(P30&lt;0, -1, IF(P30&gt;0, 1, 0)))
            )/16 &lt; -0.1,
            "BEARISH",
            "NEUTRO"
        )
    )
)</f>
        <v/>
      </c>
      <c r="O20" s="332"/>
      <c r="P20" s="332"/>
      <c r="Q20" s="349" t="str">
        <f>IF(
    AND(S21="-", S22="-", S23="-", S24="-", S25="-", S26="-", S27="-", S28="-", S29="-", S30="-"),
    "",
    IF(
        SUM(
            IF(S21="-", 0, IF(S21&lt;0, -2, IF(S21&gt;0, 2, 0))),
            IF(S22="-", 0, IF(S22&lt;0, -2, IF(S22&gt;0, 2, 0))),
            IF(S23="-", 0, IF(S23&lt;0, -2, IF(S23&gt;0, 2, 0))),
            IF(S24="-", 0, IF(S24&lt;0, -2, IF(S24&gt;0, 2, 0))),
            IF(S25="-", 0, IF(S25&lt;0, -2, IF(S25&gt;0, 2, 0))),
            IF(S26="-", 0, IF(S26&lt;0, -2, IF(S26&gt;0, 2, 0))),
            IF(S27="-", 0, IF(S27&lt;0, -1, IF(S27&gt;0, 2, 0))),
            IF(S28="-", 0, IF(S28&lt;0, -1, IF(S28&gt;0, 1, 0))),
            IF(S29="-", 0, IF(S29&lt;0, -1, IF(S29&gt;0, 1, 0))),
            IF(S30="-", 0, IF(S30&lt;0, -1, IF(S30&gt;0, 1, 0)))
        )/16 &gt; 0.1,
        "BULLISH",
        IF(
            SUM(
                IF(S21="-", 0, IF(S21&lt;0, -2, IF(S21&gt;0, 2, 0))),
                IF(S22="-", 0, IF(S22&lt;0, -2, IF(S22&gt;0, 2, 0))),
                IF(S23="-", 0, IF(S23&lt;0, -2, IF(S23&gt;0, 2, 0))),
                IF(S24="-", 0, IF(S24&lt;0, -2, IF(S24&gt;0, 2, 0))),
                IF(S25="-", 0, IF(S25&lt;0, -2, IF(S25&gt;0, 2, 0))),
                IF(S26="-", 0, IF(S26&lt;0, -2, IF(S26&gt;0, 2, 0))),
                IF(S27="-", 0, IF(S27&lt;0, -1, IF(S27&gt;0, 2, 0))),
                IF(S28="-", 0, IF(S28&lt;0, -1, IF(S28&gt;0, 1, 0))),
                IF(S29="-", 0, IF(S29&lt;0, -1, IF(S29&gt;0, 1, 0))),
                IF(S30="-", 0, IF(S30&lt;0, -1, IF(S30&gt;0, 1, 0)))
            )/16 &lt; -0.1,
            "BEARISH",
            "NEUTRO"
        )
    )
)</f>
        <v>BEARISH</v>
      </c>
      <c r="R20" s="332"/>
      <c r="S20" s="332"/>
      <c r="T20" s="349" t="str">
        <f>IF(
    AND(V21="-", V22="-", V23="-", V24="-", V25="-", V26="-", V27="-", V28="-", V29="-", V30="-"),
    "",
    IF(
        SUM(
            IF(V21="-", 0, IF(V21&lt;0, -2, IF(V21&gt;0, 2, 0))),
            IF(V22="-", 0, IF(V22&lt;0, -2, IF(V22&gt;0, 2, 0))),
            IF(V23="-", 0, IF(V23&lt;0, -2, IF(V23&gt;0, 2, 0))),
            IF(V24="-", 0, IF(V24&lt;0, -2, IF(V24&gt;0, 2, 0))),
            IF(V25="-", 0, IF(V25&lt;0, -2, IF(V25&gt;0, 2, 0))),
            IF(V26="-", 0, IF(V26&lt;0, -2, IF(V26&gt;0, 2, 0))),
            IF(V27="-", 0, IF(V27&lt;0, -1, IF(V27&gt;0, 2, 0))),
            IF(V28="-", 0, IF(V28&lt;0, -1, IF(V28&gt;0, 1, 0))),
            IF(V29="-", 0, IF(V29&lt;0, -1, IF(V29&gt;0, 1, 0))),
            IF(V30="-", 0, IF(V30&lt;0, -1, IF(V30&gt;0, 1, 0)))
        )/16 &gt; 0.1,
        "BULLISH",
        IF(
            SUM(
                IF(V21="-", 0, IF(V21&lt;0, -2, IF(V21&gt;0, 2, 0))),
                IF(V22="-", 0, IF(V22&lt;0, -2, IF(V22&gt;0, 2, 0))),
                IF(V23="-", 0, IF(V23&lt;0, -2, IF(V23&gt;0, 2, 0))),
                IF(V24="-", 0, IF(V24&lt;0, -2, IF(V24&gt;0, 2, 0))),
                IF(V25="-", 0, IF(V25&lt;0, -2, IF(V25&gt;0, 2, 0))),
                IF(V26="-", 0, IF(V26&lt;0, -2, IF(V26&gt;0, 2, 0))),
                IF(V27="-", 0, IF(V27&lt;0, -1, IF(V27&gt;0, 2, 0))),
                IF(V28="-", 0, IF(V28&lt;0, -1, IF(V28&gt;0, 1, 0))),
                IF(V29="-", 0, IF(V29&lt;0, -1, IF(V29&gt;0, 1, 0))),
                IF(V30="-", 0, IF(V30&lt;0, -1, IF(V30&gt;0, 1, 0)))
            )/16 &lt; -0.1,
            "BEARISH",
            "NEUTRO"
        )
    )
)</f>
        <v>BULLISH</v>
      </c>
      <c r="U20" s="332"/>
      <c r="V20" s="332"/>
      <c r="W20" s="349" t="str">
        <f>IF(
    AND(Y21="-", Y22="-", Y23="-", Y24="-", Y25="-", Y26="-", Y27="-", Y28="-", Y29="-", Y30="-"),
    "",
    IF(
        SUM(
            IF(Y21="-", 0, IF(Y21&lt;0, -2, IF(Y21&gt;0, 2, 0))),
            IF(Y22="-", 0, IF(Y22&lt;0, -2, IF(Y22&gt;0, 2, 0))),
            IF(Y23="-", 0, IF(Y23&lt;0, -2, IF(Y23&gt;0, 2, 0))),
            IF(Y24="-", 0, IF(Y24&lt;0, -2, IF(Y24&gt;0, 2, 0))),
            IF(Y25="-", 0, IF(Y25&lt;0, -2, IF(Y25&gt;0, 2, 0))),
            IF(Y26="-", 0, IF(Y26&lt;0, -2, IF(Y26&gt;0, 2, 0))),
            IF(Y27="-", 0, IF(Y27&lt;0, -1, IF(Y27&gt;0, 2, 0))),
            IF(Y28="-", 0, IF(Y28&lt;0, -1, IF(Y28&gt;0, 1, 0))),
            IF(Y29="-", 0, IF(Y29&lt;0, -1, IF(Y29&gt;0, 1, 0))),
            IF(Y30="-", 0, IF(Y30&lt;0, -1, IF(Y30&gt;0, 1, 0)))
        )/16 &gt; 0.1,
        "BULLISH",
        IF(
            SUM(
                IF(Y21="-", 0, IF(Y21&lt;0, -2, IF(Y21&gt;0, 2, 0))),
                IF(Y22="-", 0, IF(Y22&lt;0, -2, IF(Y22&gt;0, 2, 0))),
                IF(Y23="-", 0, IF(Y23&lt;0, -2, IF(Y23&gt;0, 2, 0))),
                IF(Y24="-", 0, IF(Y24&lt;0, -2, IF(Y24&gt;0, 2, 0))),
                IF(Y25="-", 0, IF(Y25&lt;0, -2, IF(Y25&gt;0, 2, 0))),
                IF(Y26="-", 0, IF(Y26&lt;0, -2, IF(Y26&gt;0, 2, 0))),
                IF(Y27="-", 0, IF(Y27&lt;0, -1, IF(Y27&gt;0, 2, 0))),
                IF(Y28="-", 0, IF(Y28&lt;0, -1, IF(Y28&gt;0, 1, 0))),
                IF(Y29="-", 0, IF(Y29&lt;0, -1, IF(Y29&gt;0, 1, 0))),
                IF(Y30="-", 0, IF(Y30&lt;0, -1, IF(Y30&gt;0, 1, 0)))
            )/16 &lt; -0.1,
            "BEARISH",
            "NEUTRO"
        )
    )
)</f>
        <v>BULLISH</v>
      </c>
      <c r="X20" s="332"/>
      <c r="Y20" s="332"/>
      <c r="Z20" s="349" t="str">
        <f>IF(
    AND(AB21="-", AB22="-", AB23="-", AB24="-", AB25="-", AB26="-", AB27="-", AB28="-", AB29="-", AB30="-"),
    "",
    IF(
        SUM(
            IF(AB21="-", 0, IF(AB21&lt;0, -2, IF(AB21&gt;0, 2, 0))),
            IF(AB22="-", 0, IF(AB22&lt;0, -2, IF(AB22&gt;0, 2, 0))),
            IF(AB23="-", 0, IF(AB23&lt;0, -2, IF(AB23&gt;0, 2, 0))),
            IF(AB24="-", 0, IF(AB24&lt;0, -2, IF(AB24&gt;0, 2, 0))),
            IF(AB25="-", 0, IF(AB25&lt;0, -2, IF(AB25&gt;0, 2, 0))),
            IF(AB26="-", 0, IF(AB26&lt;0, -2, IF(AB26&gt;0, 2, 0))),
            IF(AB27="-", 0, IF(AB27&lt;0, -1, IF(AB27&gt;0, 2, 0))),
            IF(AB28="-", 0, IF(AB28&lt;0, -1, IF(AB28&gt;0, 1, 0))),
            IF(AB29="-", 0, IF(AB29&lt;0, -1, IF(AB29&gt;0, 1, 0))),
            IF(AB30="-", 0, IF(AB30&lt;0, -1, IF(AB30&gt;0, 1, 0)))
        )/16 &gt; 0.1,
        "BULLISH",
        IF(
            SUM(
                IF(AB21="-", 0, IF(AB21&lt;0, -2, IF(AB21&gt;0, 2, 0))),
                IF(AB22="-", 0, IF(AB22&lt;0, -2, IF(AB22&gt;0, 2, 0))),
                IF(AB23="-", 0, IF(AB23&lt;0, -2, IF(AB23&gt;0, 2, 0))),
                IF(AB24="-", 0, IF(AB24&lt;0, -2, IF(AB24&gt;0, 2, 0))),
                IF(AB25="-", 0, IF(AB25&lt;0, -2, IF(AB25&gt;0, 2, 0))),
                IF(AB26="-", 0, IF(AB26&lt;0, -2, IF(AB26&gt;0, 2, 0))),
                IF(AB27="-", 0, IF(AB27&lt;0, -1, IF(AB27&gt;0, 2, 0))),
                IF(AB28="-", 0, IF(AB28&lt;0, -1, IF(AB28&gt;0, 1, 0))),
                IF(AB29="-", 0, IF(AB29&lt;0, -1, IF(AB29&gt;0, 1, 0))),
                IF(AB30="-", 0, IF(AB30&lt;0, -1, IF(AB30&gt;0, 1, 0)))
            )/16 &lt; -0.1,
            "BEARISH",
            "NEUTRO"
        )
    )
)</f>
        <v>BULLISH</v>
      </c>
      <c r="AA20" s="332"/>
      <c r="AB20" s="332"/>
      <c r="AC20" s="349" t="str">
        <f>IF(
    AND(AE21="-", AE22="-", AE23="-", AE24="-", AE25="-", AE26="-", AE27="-", AE28="-", AE29="-", AE30="-"),
    "",
    IF(
        SUM(
            IF(AE21="-", 0, IF(AE21&lt;0, -2, IF(AE21&gt;0, 2, 0))),
            IF(AE22="-", 0, IF(AE22&lt;0, -2, IF(AE22&gt;0, 2, 0))),
            IF(AE23="-", 0, IF(AE23&lt;0, -2, IF(AE23&gt;0, 2, 0))),
            IF(AE24="-", 0, IF(AE24&lt;0, -2, IF(AE24&gt;0, 2, 0))),
            IF(AE25="-", 0, IF(AE25&lt;0, -2, IF(AE25&gt;0, 2, 0))),
            IF(AE26="-", 0, IF(AE26&lt;0, -2, IF(AE26&gt;0, 2, 0))),
            IF(AE27="-", 0, IF(AE27&lt;0, -1, IF(AE27&gt;0, 2, 0))),
            IF(AE28="-", 0, IF(AE28&lt;0, -1, IF(AE28&gt;0, 1, 0))),
            IF(AE29="-", 0, IF(AE29&lt;0, -1, IF(AE29&gt;0, 1, 0))),
            IF(AE30="-", 0, IF(AE30&lt;0, -1, IF(AE30&gt;0, 1, 0)))
        )/16 &gt; 0.1,
        "BULLISH",
        IF(
            SUM(
                IF(AE21="-", 0, IF(AE21&lt;0, -2, IF(AE21&gt;0, 2, 0))),
                IF(AE22="-", 0, IF(AE22&lt;0, -2, IF(AE22&gt;0, 2, 0))),
                IF(AE23="-", 0, IF(AE23&lt;0, -2, IF(AE23&gt;0, 2, 0))),
                IF(AE24="-", 0, IF(AE24&lt;0, -2, IF(AE24&gt;0, 2, 0))),
                IF(AE25="-", 0, IF(AE25&lt;0, -2, IF(AE25&gt;0, 2, 0))),
                IF(AE26="-", 0, IF(AE26&lt;0, -2, IF(AE26&gt;0, 2, 0))),
                IF(AE27="-", 0, IF(AE27&lt;0, -1, IF(AE27&gt;0, 2, 0))),
                IF(AE28="-", 0, IF(AE28&lt;0, -1, IF(AE28&gt;0, 1, 0))),
                IF(AE29="-", 0, IF(AE29&lt;0, -1, IF(AE29&gt;0, 1, 0))),
                IF(AE30="-", 0, IF(AE30&lt;0, -1, IF(AE30&gt;0, 1, 0)))
            )/16 &lt; -0.1,
            "BEARISH",
            "NEUTRO"
        )
    )
)</f>
        <v>BULLISH</v>
      </c>
      <c r="AD20" s="332"/>
      <c r="AE20" s="332"/>
      <c r="AF20" s="349" t="str">
        <f>IF(
    AND(AH21="-", AH22="-", AH23="-", AH24="-", AH25="-", AH26="-", AH27="-", AH28="-", AH29="-", AH30="-"),
    "",
    IF(
        SUM(
            IF(AH21="-", 0, IF(AH21&lt;0, -2, IF(AH21&gt;0, 2, 0))),
            IF(AH22="-", 0, IF(AH22&lt;0, -2, IF(AH22&gt;0, 2, 0))),
            IF(AH23="-", 0, IF(AH23&lt;0, -2, IF(AH23&gt;0, 2, 0))),
            IF(AH24="-", 0, IF(AH24&lt;0, -2, IF(AH24&gt;0, 2, 0))),
            IF(AH25="-", 0, IF(AH25&lt;0, -2, IF(AH25&gt;0, 2, 0))),
            IF(AH26="-", 0, IF(AH26&lt;0, -2, IF(AH26&gt;0, 2, 0))),
            IF(AH27="-", 0, IF(AH27&lt;0, -1, IF(AH27&gt;0, 2, 0))),
            IF(AH28="-", 0, IF(AH28&lt;0, -1, IF(AH28&gt;0, 1, 0))),
            IF(AH29="-", 0, IF(AH29&lt;0, -1, IF(AH29&gt;0, 1, 0))),
            IF(AH30="-", 0, IF(AH30&lt;0, -1, IF(AH30&gt;0, 1, 0)))
        )/16 &gt; 0.1,
        "BULLISH",
        IF(
            SUM(
                IF(AH21="-", 0, IF(AH21&lt;0, -2, IF(AH21&gt;0, 2, 0))),
                IF(AH22="-", 0, IF(AH22&lt;0, -2, IF(AH22&gt;0, 2, 0))),
                IF(AH23="-", 0, IF(AH23&lt;0, -2, IF(AH23&gt;0, 2, 0))),
                IF(AH24="-", 0, IF(AH24&lt;0, -2, IF(AH24&gt;0, 2, 0))),
                IF(AH25="-", 0, IF(AH25&lt;0, -2, IF(AH25&gt;0, 2, 0))),
                IF(AH26="-", 0, IF(AH26&lt;0, -2, IF(AH26&gt;0, 2, 0))),
                IF(AH27="-", 0, IF(AH27&lt;0, -1, IF(AH27&gt;0, 2, 0))),
                IF(AH28="-", 0, IF(AH28&lt;0, -1, IF(AH28&gt;0, 1, 0))),
                IF(AH29="-", 0, IF(AH29&lt;0, -1, IF(AH29&gt;0, 1, 0))),
                IF(AH30="-", 0, IF(AH30&lt;0, -1, IF(AH30&gt;0, 1, 0)))
            )/16 &lt; -0.1,
            "BEARISH",
            "NEUTRO"
        )
    )
)</f>
        <v>BEARISH</v>
      </c>
      <c r="AG20" s="332"/>
      <c r="AH20" s="332"/>
      <c r="AI20" s="349" t="str">
        <f>IF(
    AND(AK21="-", AK22="-", AK23="-", AK24="-", AK25="-", AK26="-", AK27="-", AK28="-", AK29="-", AK30="-"),
    "",
    IF(
        SUM(
            IF(AK21="-", 0, IF(AK21&lt;0, -2, IF(AK21&gt;0, 2, 0))),
            IF(AK22="-", 0, IF(AK22&lt;0, -2, IF(AK22&gt;0, 2, 0))),
            IF(AK23="-", 0, IF(AK23&lt;0, -2, IF(AK23&gt;0, 2, 0))),
            IF(AK24="-", 0, IF(AK24&lt;0, -2, IF(AK24&gt;0, 2, 0))),
            IF(AK25="-", 0, IF(AK25&lt;0, -2, IF(AK25&gt;0, 2, 0))),
            IF(AK26="-", 0, IF(AK26&lt;0, -2, IF(AK26&gt;0, 2, 0))),
            IF(AK27="-", 0, IF(AK27&lt;0, -1, IF(AK27&gt;0, 2, 0))),
            IF(AK28="-", 0, IF(AK28&lt;0, -1, IF(AK28&gt;0, 1, 0))),
            IF(AK29="-", 0, IF(AK29&lt;0, -1, IF(AK29&gt;0, 1, 0))),
            IF(AK30="-", 0, IF(AK30&lt;0, -1, IF(AK30&gt;0, 1, 0)))
        )/16 &gt; 0.1,
        "BULLISH",
        IF(
            SUM(
                IF(AK21="-", 0, IF(AK21&lt;0, -2, IF(AK21&gt;0, 2, 0))),
                IF(AK22="-", 0, IF(AK22&lt;0, -2, IF(AK22&gt;0, 2, 0))),
                IF(AK23="-", 0, IF(AK23&lt;0, -2, IF(AK23&gt;0, 2, 0))),
                IF(AK24="-", 0, IF(AK24&lt;0, -2, IF(AK24&gt;0, 2, 0))),
                IF(AK25="-", 0, IF(AK25&lt;0, -2, IF(AK25&gt;0, 2, 0))),
                IF(AK26="-", 0, IF(AK26&lt;0, -2, IF(AK26&gt;0, 2, 0))),
                IF(AK27="-", 0, IF(AK27&lt;0, -1, IF(AK27&gt;0, 2, 0))),
                IF(AK28="-", 0, IF(AK28&lt;0, -1, IF(AK28&gt;0, 1, 0))),
                IF(AK29="-", 0, IF(AK29&lt;0, -1, IF(AK29&gt;0, 1, 0))),
                IF(AK30="-", 0, IF(AK30&lt;0, -1, IF(AK30&gt;0, 1, 0)))
            )/16 &lt; -0.1,
            "BEARISH",
            "NEUTRO"
        )
    )
)</f>
        <v>NEUTRO</v>
      </c>
      <c r="AJ20" s="332"/>
      <c r="AK20" s="332"/>
      <c r="AL20" s="349" t="str">
        <f>IF(
    AND(AN21="-", AN22="-", AN23="-", AN24="-", AN25="-", AN26="-", AN27="-", AN28="-", AN29="-", AN30="-"),
    "",
    IF(
        SUM(
            IF(AN21="-", 0, IF(AN21&lt;0, -2, IF(AN21&gt;0, 2, 0))),
            IF(AN22="-", 0, IF(AN22&lt;0, -2, IF(AN22&gt;0, 2, 0))),
            IF(AN23="-", 0, IF(AN23&lt;0, -2, IF(AN23&gt;0, 2, 0))),
            IF(AN24="-", 0, IF(AN24&lt;0, -2, IF(AN24&gt;0, 2, 0))),
            IF(AN25="-", 0, IF(AN25&lt;0, -2, IF(AN25&gt;0, 2, 0))),
            IF(AN26="-", 0, IF(AN26&lt;0, -2, IF(AN26&gt;0, 2, 0))),
            IF(AN27="-", 0, IF(AN27&lt;0, -1, IF(AN27&gt;0, 2, 0))),
            IF(AN28="-", 0, IF(AN28&lt;0, -1, IF(AN28&gt;0, 1, 0))),
            IF(AN29="-", 0, IF(AN29&lt;0, -1, IF(AN29&gt;0, 1, 0))),
            IF(AN30="-", 0, IF(AN30&lt;0, -1, IF(AN30&gt;0, 1, 0)))
        )/16 &gt; 0.1,
        "BULLISH",
        IF(
            SUM(
                IF(AN21="-", 0, IF(AN21&lt;0, -2, IF(AN21&gt;0, 2, 0))),
                IF(AN22="-", 0, IF(AN22&lt;0, -2, IF(AN22&gt;0, 2, 0))),
                IF(AN23="-", 0, IF(AN23&lt;0, -2, IF(AN23&gt;0, 2, 0))),
                IF(AN24="-", 0, IF(AN24&lt;0, -2, IF(AN24&gt;0, 2, 0))),
                IF(AN25="-", 0, IF(AN25&lt;0, -2, IF(AN25&gt;0, 2, 0))),
                IF(AN26="-", 0, IF(AN26&lt;0, -2, IF(AN26&gt;0, 2, 0))),
                IF(AN27="-", 0, IF(AN27&lt;0, -1, IF(AN27&gt;0, 2, 0))),
                IF(AN28="-", 0, IF(AN28&lt;0, -1, IF(AN28&gt;0, 1, 0))),
                IF(AN29="-", 0, IF(AN29&lt;0, -1, IF(AN29&gt;0, 1, 0))),
                IF(AN30="-", 0, IF(AN30&lt;0, -1, IF(AN30&gt;0, 1, 0)))
            )/16 &lt; -0.1,
            "BEARISH",
            "NEUTRO"
        )
    )
)</f>
        <v/>
      </c>
      <c r="AM20" s="332"/>
      <c r="AN20" s="332"/>
      <c r="AO20" s="349" t="str">
        <f>IF(
    AND(AQ21="-", AQ22="-", AQ23="-", AQ24="-", AQ25="-", AQ26="-", AQ27="-", AQ28="-", AQ29="-", AQ30="-"),
    "",
    IF(
        SUM(
            IF(AQ21="-", 0, IF(AQ21&lt;0, -2, IF(AQ21&gt;0, 2, 0))),
            IF(AQ22="-", 0, IF(AQ22&lt;0, -2, IF(AQ22&gt;0, 2, 0))),
            IF(AQ23="-", 0, IF(AQ23&lt;0, -2, IF(AQ23&gt;0, 2, 0))),
            IF(AQ24="-", 0, IF(AQ24&lt;0, -2, IF(AQ24&gt;0, 2, 0))),
            IF(AQ25="-", 0, IF(AQ25&lt;0, -2, IF(AQ25&gt;0, 2, 0))),
            IF(AQ26="-", 0, IF(AQ26&lt;0, -2, IF(AQ26&gt;0, 2, 0))),
            IF(AQ27="-", 0, IF(AQ27&lt;0, -1, IF(AQ27&gt;0, 2, 0))),
            IF(AQ28="-", 0, IF(AQ28&lt;0, -1, IF(AQ28&gt;0, 1, 0))),
            IF(AQ29="-", 0, IF(AQ29&lt;0, -1, IF(AQ29&gt;0, 1, 0))),
            IF(AQ30="-", 0, IF(AQ30&lt;0, -1, IF(AQ30&gt;0, 1, 0)))
        )/16 &gt; 0.1,
        "BULLISH",
        IF(
            SUM(
                IF(AQ21="-", 0, IF(AQ21&lt;0, -2, IF(AQ21&gt;0, 2, 0))),
                IF(AQ22="-", 0, IF(AQ22&lt;0, -2, IF(AQ22&gt;0, 2, 0))),
                IF(AQ23="-", 0, IF(AQ23&lt;0, -2, IF(AQ23&gt;0, 2, 0))),
                IF(AQ24="-", 0, IF(AQ24&lt;0, -2, IF(AQ24&gt;0, 2, 0))),
                IF(AQ25="-", 0, IF(AQ25&lt;0, -2, IF(AQ25&gt;0, 2, 0))),
                IF(AQ26="-", 0, IF(AQ26&lt;0, -2, IF(AQ26&gt;0, 2, 0))),
                IF(AQ27="-", 0, IF(AQ27&lt;0, -1, IF(AQ27&gt;0, 2, 0))),
                IF(AQ28="-", 0, IF(AQ28&lt;0, -1, IF(AQ28&gt;0, 1, 0))),
                IF(AQ29="-", 0, IF(AQ29&lt;0, -1, IF(AQ29&gt;0, 1, 0))),
                IF(AQ30="-", 0, IF(AQ30&lt;0, -1, IF(AQ30&gt;0, 1, 0)))
            )/16 &lt; -0.1,
            "BEARISH",
            "NEUTRO"
        )
    )
)</f>
        <v>BEARISH</v>
      </c>
      <c r="AP20" s="332"/>
      <c r="AQ20" s="332"/>
      <c r="AR20" s="349" t="str">
        <f>IF(
    AND(AT21="-", AT22="-", AT23="-", AT24="-", AT25="-", AT26="-", AT27="-", AT28="-", AT29="-", AT30="-"),
    "",
    IF(
        SUM(
            IF(AT21="-", 0, IF(AT21&lt;0, -2, IF(AT21&gt;0, 2, 0))),
            IF(AT22="-", 0, IF(AT22&lt;0, -2, IF(AT22&gt;0, 2, 0))),
            IF(AT23="-", 0, IF(AT23&lt;0, -2, IF(AT23&gt;0, 2, 0))),
            IF(AT24="-", 0, IF(AT24&lt;0, -2, IF(AT24&gt;0, 2, 0))),
            IF(AT25="-", 0, IF(AT25&lt;0, -2, IF(AT25&gt;0, 2, 0))),
            IF(AT26="-", 0, IF(AT26&lt;0, -2, IF(AT26&gt;0, 2, 0))),
            IF(AT27="-", 0, IF(AT27&lt;0, -1, IF(AT27&gt;0, 2, 0))),
            IF(AT28="-", 0, IF(AT28&lt;0, -1, IF(AT28&gt;0, 1, 0))),
            IF(AT29="-", 0, IF(AT29&lt;0, -1, IF(AT29&gt;0, 1, 0))),
            IF(AT30="-", 0, IF(AT30&lt;0, -1, IF(AT30&gt;0, 1, 0)))
        )/16 &gt; 0.1,
        "BULLISH",
        IF(
            SUM(
                IF(AT21="-", 0, IF(AT21&lt;0, -2, IF(AT21&gt;0, 2, 0))),
                IF(AT22="-", 0, IF(AT22&lt;0, -2, IF(AT22&gt;0, 2, 0))),
                IF(AT23="-", 0, IF(AT23&lt;0, -2, IF(AT23&gt;0, 2, 0))),
                IF(AT24="-", 0, IF(AT24&lt;0, -2, IF(AT24&gt;0, 2, 0))),
                IF(AT25="-", 0, IF(AT25&lt;0, -2, IF(AT25&gt;0, 2, 0))),
                IF(AT26="-", 0, IF(AT26&lt;0, -2, IF(AT26&gt;0, 2, 0))),
                IF(AT27="-", 0, IF(AT27&lt;0, -1, IF(AT27&gt;0, 2, 0))),
                IF(AT28="-", 0, IF(AT28&lt;0, -1, IF(AT28&gt;0, 1, 0))),
                IF(AT29="-", 0, IF(AT29&lt;0, -1, IF(AT29&gt;0, 1, 0))),
                IF(AT30="-", 0, IF(AT30&lt;0, -1, IF(AT30&gt;0, 1, 0)))
            )/16 &lt; -0.1,
            "BEARISH",
            "NEUTRO"
        )
    )
)</f>
        <v>NEUTRO</v>
      </c>
      <c r="AS20" s="332"/>
      <c r="AT20" s="332"/>
      <c r="AU20" s="349" t="str">
        <f>IF(
    AND(AW21="-", AW22="-", AW23="-", AW24="-", AW25="-", AW26="-", AW27="-", AW28="-", AW29="-", AW30="-"),
    "",
    IF(
        SUM(
            IF(AW21="-", 0, IF(AW21&lt;0, -2, IF(AW21&gt;0, 2, 0))),
            IF(AW22="-", 0, IF(AW22&lt;0, -2, IF(AW22&gt;0, 2, 0))),
            IF(AW23="-", 0, IF(AW23&lt;0, -2, IF(AW23&gt;0, 2, 0))),
            IF(AW24="-", 0, IF(AW24&lt;0, -2, IF(AW24&gt;0, 2, 0))),
            IF(AW25="-", 0, IF(AW25&lt;0, -2, IF(AW25&gt;0, 2, 0))),
            IF(AW26="-", 0, IF(AW26&lt;0, -2, IF(AW26&gt;0, 2, 0))),
            IF(AW27="-", 0, IF(AW27&lt;0, -1, IF(AW27&gt;0, 2, 0))),
            IF(AW28="-", 0, IF(AW28&lt;0, -1, IF(AW28&gt;0, 1, 0))),
            IF(AW29="-", 0, IF(AW29&lt;0, -1, IF(AW29&gt;0, 1, 0))),
            IF(AW30="-", 0, IF(AW30&lt;0, -1, IF(AW30&gt;0, 1, 0)))
        )/16 &gt; 0.1,
        "BULLISH",
        IF(
            SUM(
                IF(AW21="-", 0, IF(AW21&lt;0, -2, IF(AW21&gt;0, 2, 0))),
                IF(AW22="-", 0, IF(AW22&lt;0, -2, IF(AW22&gt;0, 2, 0))),
                IF(AW23="-", 0, IF(AW23&lt;0, -2, IF(AW23&gt;0, 2, 0))),
                IF(AW24="-", 0, IF(AW24&lt;0, -2, IF(AW24&gt;0, 2, 0))),
                IF(AW25="-", 0, IF(AW25&lt;0, -2, IF(AW25&gt;0, 2, 0))),
                IF(AW26="-", 0, IF(AW26&lt;0, -2, IF(AW26&gt;0, 2, 0))),
                IF(AW27="-", 0, IF(AW27&lt;0, -1, IF(AW27&gt;0, 2, 0))),
                IF(AW28="-", 0, IF(AW28&lt;0, -1, IF(AW28&gt;0, 1, 0))),
                IF(AW29="-", 0, IF(AW29&lt;0, -1, IF(AW29&gt;0, 1, 0))),
                IF(AW30="-", 0, IF(AW30&lt;0, -1, IF(AW30&gt;0, 1, 0)))
            )/16 &lt; -0.1,
            "BEARISH",
            "NEUTRO"
        )
    )
)</f>
        <v>BULLISH</v>
      </c>
      <c r="AV20" s="332"/>
      <c r="AW20" s="332"/>
    </row>
    <row r="21" spans="1:49" s="252" customFormat="1" x14ac:dyDescent="0.25">
      <c r="A21" s="262" t="s">
        <v>19</v>
      </c>
      <c r="B21" s="264"/>
      <c r="C21" s="264"/>
      <c r="D21" s="212" t="str">
        <f t="shared" ref="D21:D30" si="19">IF(ISBLANK(B21),"-",B21-C21)</f>
        <v>-</v>
      </c>
      <c r="E21" s="264"/>
      <c r="F21" s="264"/>
      <c r="G21" s="212" t="str">
        <f t="shared" ref="G21:G30" si="20">IF(ISBLANK(E21),"-",E21-F21)</f>
        <v>-</v>
      </c>
      <c r="H21" s="265"/>
      <c r="I21" s="265"/>
      <c r="J21" s="212" t="str">
        <f t="shared" ref="J21:J30" si="21">IF(ISBLANK(H21),"-",H21-I21)</f>
        <v>-</v>
      </c>
      <c r="K21" s="285">
        <v>-4.0000000000000001E-3</v>
      </c>
      <c r="L21" s="264"/>
      <c r="M21" s="212">
        <f t="shared" ref="M21:M30" si="22">IF(ISBLANK(K21),"-",K21-L21)</f>
        <v>-4.0000000000000001E-3</v>
      </c>
      <c r="N21" s="264"/>
      <c r="O21" s="264"/>
      <c r="P21" s="212" t="str">
        <f t="shared" ref="P21:P30" si="23">IF(ISBLANK(N21),"-",N21-O21)</f>
        <v>-</v>
      </c>
      <c r="Q21" s="264"/>
      <c r="R21" s="264"/>
      <c r="S21" s="212" t="str">
        <f t="shared" ref="S21:S30" si="24">IF(ISBLANK(Q21),"-",Q21-R21)</f>
        <v>-</v>
      </c>
      <c r="T21" s="264"/>
      <c r="U21" s="264"/>
      <c r="V21" s="212" t="str">
        <f t="shared" ref="V21:V30" si="25">IF(ISBLANK(T21),"-",T21-U21)</f>
        <v>-</v>
      </c>
      <c r="W21" s="264"/>
      <c r="X21" s="264"/>
      <c r="Y21" s="212" t="str">
        <f t="shared" ref="Y21:Y30" si="26">IF(ISBLANK(W21),"-",W21-X21)</f>
        <v>-</v>
      </c>
      <c r="Z21" s="264"/>
      <c r="AA21" s="264"/>
      <c r="AB21" s="212" t="str">
        <f t="shared" ref="AB21:AB30" si="27">IF(ISBLANK(Z21),"-",Z21-AA21)</f>
        <v>-</v>
      </c>
      <c r="AC21" s="264"/>
      <c r="AD21" s="264"/>
      <c r="AE21" s="212" t="str">
        <f t="shared" ref="AE21:AE30" si="28">IF(ISBLANK(AC21),"-",AC21-AD21)</f>
        <v>-</v>
      </c>
      <c r="AF21" s="264">
        <v>0</v>
      </c>
      <c r="AG21" s="263">
        <v>4.0000000000000001E-3</v>
      </c>
      <c r="AH21" s="212">
        <f t="shared" ref="AH21:AH30" si="29">IF(ISBLANK(AF21),"-",AF21-AG21)</f>
        <v>-4.0000000000000001E-3</v>
      </c>
      <c r="AI21" s="264"/>
      <c r="AJ21" s="264"/>
      <c r="AK21" s="212" t="str">
        <f t="shared" ref="AK21:AK30" si="30">IF(ISBLANK(AI21),"-",AI21-AJ21)</f>
        <v>-</v>
      </c>
      <c r="AL21" s="264"/>
      <c r="AM21" s="264"/>
      <c r="AN21" s="212" t="str">
        <f t="shared" ref="AN21:AN30" si="31">IF(ISBLANK(AL21),"-",AL21-AM21)</f>
        <v>-</v>
      </c>
      <c r="AO21" s="264"/>
      <c r="AP21" s="264"/>
      <c r="AQ21" s="212" t="str">
        <f t="shared" ref="AQ21:AQ30" si="32">IF(ISBLANK(AO21),"-",AO21-AP21)</f>
        <v>-</v>
      </c>
      <c r="AR21" s="264"/>
      <c r="AS21" s="264"/>
      <c r="AT21" s="212" t="str">
        <f t="shared" ref="AT21:AT30" si="33">IF(ISBLANK(AR21),"-",AR21-AS21)</f>
        <v>-</v>
      </c>
      <c r="AU21" s="264"/>
      <c r="AV21" s="264"/>
      <c r="AW21" s="212" t="str">
        <f t="shared" ref="AW21:AW30" si="34">IF(ISBLANK(AU21),"-",AU21-AV21)</f>
        <v>-</v>
      </c>
    </row>
    <row r="22" spans="1:49" s="252" customFormat="1" x14ac:dyDescent="0.25">
      <c r="A22" s="262" t="s">
        <v>20</v>
      </c>
      <c r="B22" s="264"/>
      <c r="C22" s="264"/>
      <c r="D22" s="212" t="str">
        <f t="shared" si="19"/>
        <v>-</v>
      </c>
      <c r="E22" s="264"/>
      <c r="F22" s="264"/>
      <c r="G22" s="212" t="str">
        <f t="shared" si="20"/>
        <v>-</v>
      </c>
      <c r="H22" s="265"/>
      <c r="I22" s="265"/>
      <c r="J22" s="212" t="str">
        <f t="shared" si="21"/>
        <v>-</v>
      </c>
      <c r="K22" s="285">
        <v>0</v>
      </c>
      <c r="L22" s="264">
        <v>0</v>
      </c>
      <c r="M22" s="212">
        <f t="shared" si="22"/>
        <v>0</v>
      </c>
      <c r="N22" s="264"/>
      <c r="O22" s="263">
        <v>-3.0000000000000001E-3</v>
      </c>
      <c r="P22" s="212" t="str">
        <f t="shared" si="23"/>
        <v>-</v>
      </c>
      <c r="Q22" s="263">
        <v>-3.0000000000000001E-3</v>
      </c>
      <c r="R22" s="263">
        <v>-1E-3</v>
      </c>
      <c r="S22" s="212">
        <f t="shared" si="24"/>
        <v>-2E-3</v>
      </c>
      <c r="T22" s="263">
        <v>4.0000000000000001E-3</v>
      </c>
      <c r="U22" s="263">
        <v>2E-3</v>
      </c>
      <c r="V22" s="212">
        <f t="shared" si="25"/>
        <v>2E-3</v>
      </c>
      <c r="W22" s="263">
        <v>4.0000000000000001E-3</v>
      </c>
      <c r="X22" s="263">
        <v>2E-3</v>
      </c>
      <c r="Y22" s="212">
        <f t="shared" si="26"/>
        <v>2E-3</v>
      </c>
      <c r="Z22" s="264"/>
      <c r="AA22" s="264"/>
      <c r="AB22" s="212" t="str">
        <f t="shared" si="27"/>
        <v>-</v>
      </c>
      <c r="AC22" s="263">
        <v>-2E-3</v>
      </c>
      <c r="AD22" s="263">
        <v>-2E-3</v>
      </c>
      <c r="AE22" s="212">
        <f t="shared" si="28"/>
        <v>0</v>
      </c>
      <c r="AF22" s="264"/>
      <c r="AG22" s="264"/>
      <c r="AH22" s="212" t="str">
        <f t="shared" si="29"/>
        <v>-</v>
      </c>
      <c r="AI22" s="264"/>
      <c r="AJ22" s="264"/>
      <c r="AK22" s="212" t="str">
        <f t="shared" si="30"/>
        <v>-</v>
      </c>
      <c r="AL22" s="264"/>
      <c r="AM22" s="264"/>
      <c r="AN22" s="212" t="str">
        <f t="shared" si="31"/>
        <v>-</v>
      </c>
      <c r="AO22" s="263">
        <v>-1E-3</v>
      </c>
      <c r="AP22" s="263">
        <v>-1E-3</v>
      </c>
      <c r="AQ22" s="212">
        <f t="shared" si="32"/>
        <v>0</v>
      </c>
      <c r="AR22" s="264"/>
      <c r="AS22" s="264"/>
      <c r="AT22" s="212" t="str">
        <f t="shared" si="33"/>
        <v>-</v>
      </c>
      <c r="AU22" s="264"/>
      <c r="AV22" s="264"/>
      <c r="AW22" s="212" t="str">
        <f t="shared" si="34"/>
        <v>-</v>
      </c>
    </row>
    <row r="23" spans="1:49" s="252" customFormat="1" x14ac:dyDescent="0.25">
      <c r="A23" s="262" t="s">
        <v>21</v>
      </c>
      <c r="B23" s="264"/>
      <c r="C23" s="264"/>
      <c r="D23" s="212" t="str">
        <f>IF(ISBLANK(B23),"-",B23-C23)</f>
        <v>-</v>
      </c>
      <c r="E23" s="264"/>
      <c r="F23" s="264"/>
      <c r="G23" s="212" t="str">
        <f>IF(ISBLANK(E23),"-",E23-F23)</f>
        <v>-</v>
      </c>
      <c r="H23" s="265">
        <v>3.0000000000000001E-3</v>
      </c>
      <c r="I23" s="265">
        <v>0</v>
      </c>
      <c r="J23" s="212">
        <f>IF(ISBLANK(H23),"-",H23-I23)</f>
        <v>3.0000000000000001E-3</v>
      </c>
      <c r="K23" s="285">
        <v>7.0000000000000001E-3</v>
      </c>
      <c r="L23" s="264">
        <v>-3.0000000000000001E-3</v>
      </c>
      <c r="M23" s="212">
        <f>IF(ISBLANK(K23),"-",K23-L23)</f>
        <v>0.01</v>
      </c>
      <c r="N23" s="264"/>
      <c r="O23" s="263">
        <v>-1E-3</v>
      </c>
      <c r="P23" s="212" t="str">
        <f>IF(ISBLANK(N23),"-",N23-O23)</f>
        <v>-</v>
      </c>
      <c r="Q23" s="263">
        <v>-1E-3</v>
      </c>
      <c r="R23" s="263">
        <v>4.0000000000000001E-3</v>
      </c>
      <c r="S23" s="212">
        <f>IF(ISBLANK(Q23),"-",Q23-R23)</f>
        <v>-5.0000000000000001E-3</v>
      </c>
      <c r="T23" s="264"/>
      <c r="U23" s="264"/>
      <c r="V23" s="212" t="str">
        <f>IF(ISBLANK(T23),"-",T23-U23)</f>
        <v>-</v>
      </c>
      <c r="W23" s="264"/>
      <c r="X23" s="264"/>
      <c r="Y23" s="212" t="str">
        <f>IF(ISBLANK(W23),"-",W23-X23)</f>
        <v>-</v>
      </c>
      <c r="Z23" s="264"/>
      <c r="AA23" s="264"/>
      <c r="AB23" s="212" t="str">
        <f>IF(ISBLANK(Z23),"-",Z23-AA23)</f>
        <v>-</v>
      </c>
      <c r="AC23" s="264"/>
      <c r="AD23" s="264"/>
      <c r="AE23" s="212" t="str">
        <f>IF(ISBLANK(AC23),"-",AC23-AD23)</f>
        <v>-</v>
      </c>
      <c r="AF23" s="263">
        <v>-2E-3</v>
      </c>
      <c r="AG23" s="263">
        <v>1E-3</v>
      </c>
      <c r="AH23" s="212">
        <f>IF(ISBLANK(AF23),"-",AF23-AG23)</f>
        <v>-3.0000000000000001E-3</v>
      </c>
      <c r="AI23" s="263">
        <v>4.0000000000000001E-3</v>
      </c>
      <c r="AJ23" s="263">
        <v>4.0000000000000001E-3</v>
      </c>
      <c r="AK23" s="212">
        <f>IF(ISBLANK(AI23),"-",AI23-AJ23)</f>
        <v>0</v>
      </c>
      <c r="AL23" s="264"/>
      <c r="AM23" s="264"/>
      <c r="AN23" s="212" t="str">
        <f>IF(ISBLANK(AL23),"-",AL23-AM23)</f>
        <v>-</v>
      </c>
      <c r="AO23" s="263">
        <v>-1E-3</v>
      </c>
      <c r="AP23" s="263">
        <v>2E-3</v>
      </c>
      <c r="AQ23" s="212">
        <f>IF(ISBLANK(AO23),"-",AO23-AP23)</f>
        <v>-3.0000000000000001E-3</v>
      </c>
      <c r="AR23" s="264"/>
      <c r="AS23" s="264"/>
      <c r="AT23" s="212" t="str">
        <f t="shared" si="33"/>
        <v>-</v>
      </c>
      <c r="AU23" s="263">
        <v>2E-3</v>
      </c>
      <c r="AV23" s="263">
        <v>-5.0000000000000001E-3</v>
      </c>
      <c r="AW23" s="212">
        <f t="shared" si="34"/>
        <v>7.0000000000000001E-3</v>
      </c>
    </row>
    <row r="24" spans="1:49" s="252" customFormat="1" x14ac:dyDescent="0.25">
      <c r="A24" s="262" t="s">
        <v>22</v>
      </c>
      <c r="B24" s="264"/>
      <c r="C24" s="264"/>
      <c r="D24" s="212" t="str">
        <f t="shared" si="19"/>
        <v>-</v>
      </c>
      <c r="E24" s="264"/>
      <c r="F24" s="264"/>
      <c r="G24" s="212" t="str">
        <f t="shared" si="20"/>
        <v>-</v>
      </c>
      <c r="H24" s="265">
        <v>3.0000000000000001E-3</v>
      </c>
      <c r="I24" s="265">
        <v>3.0000000000000001E-3</v>
      </c>
      <c r="J24" s="212">
        <f t="shared" si="21"/>
        <v>0</v>
      </c>
      <c r="K24" s="285">
        <v>3.0000000000000001E-3</v>
      </c>
      <c r="L24" s="264">
        <v>0</v>
      </c>
      <c r="M24" s="212">
        <f t="shared" si="22"/>
        <v>3.0000000000000001E-3</v>
      </c>
      <c r="N24" s="264"/>
      <c r="O24" s="263">
        <v>1E-3</v>
      </c>
      <c r="P24" s="212" t="str">
        <f t="shared" si="23"/>
        <v>-</v>
      </c>
      <c r="Q24" s="263">
        <v>1E-3</v>
      </c>
      <c r="R24" s="263">
        <v>6.0000000000000001E-3</v>
      </c>
      <c r="S24" s="212">
        <f t="shared" si="24"/>
        <v>-5.0000000000000001E-3</v>
      </c>
      <c r="T24" s="263">
        <v>4.0000000000000001E-3</v>
      </c>
      <c r="U24" s="263">
        <v>2E-3</v>
      </c>
      <c r="V24" s="212">
        <f t="shared" si="25"/>
        <v>2E-3</v>
      </c>
      <c r="W24" s="263">
        <v>4.0000000000000001E-3</v>
      </c>
      <c r="X24" s="263">
        <v>2E-3</v>
      </c>
      <c r="Y24" s="212">
        <f t="shared" si="26"/>
        <v>2E-3</v>
      </c>
      <c r="Z24" s="264"/>
      <c r="AA24" s="264"/>
      <c r="AB24" s="212" t="str">
        <f t="shared" si="27"/>
        <v>-</v>
      </c>
      <c r="AC24" s="264"/>
      <c r="AD24" s="264"/>
      <c r="AE24" s="212" t="str">
        <f t="shared" si="28"/>
        <v>-</v>
      </c>
      <c r="AF24" s="264"/>
      <c r="AG24" s="264"/>
      <c r="AH24" s="212" t="str">
        <f t="shared" si="29"/>
        <v>-</v>
      </c>
      <c r="AI24" s="264"/>
      <c r="AJ24" s="264"/>
      <c r="AK24" s="212" t="str">
        <f t="shared" si="30"/>
        <v>-</v>
      </c>
      <c r="AL24" s="264"/>
      <c r="AM24" s="264"/>
      <c r="AN24" s="212" t="str">
        <f t="shared" si="31"/>
        <v>-</v>
      </c>
      <c r="AO24" s="263">
        <v>3.0000000000000001E-3</v>
      </c>
      <c r="AP24" s="263">
        <v>3.0000000000000001E-3</v>
      </c>
      <c r="AQ24" s="212">
        <f t="shared" si="32"/>
        <v>0</v>
      </c>
      <c r="AR24" s="264"/>
      <c r="AS24" s="264"/>
      <c r="AT24" s="212" t="str">
        <f t="shared" si="33"/>
        <v>-</v>
      </c>
      <c r="AU24" s="263">
        <v>3.0000000000000001E-3</v>
      </c>
      <c r="AV24" s="263">
        <v>0</v>
      </c>
      <c r="AW24" s="212">
        <f t="shared" si="34"/>
        <v>3.0000000000000001E-3</v>
      </c>
    </row>
    <row r="25" spans="1:49" s="252" customFormat="1" x14ac:dyDescent="0.25">
      <c r="A25" s="262" t="s">
        <v>23</v>
      </c>
      <c r="B25" s="264"/>
      <c r="C25" s="264"/>
      <c r="D25" s="212" t="str">
        <f t="shared" si="19"/>
        <v>-</v>
      </c>
      <c r="E25" s="264"/>
      <c r="F25" s="264"/>
      <c r="G25" s="212" t="str">
        <f t="shared" si="20"/>
        <v>-</v>
      </c>
      <c r="H25" s="265"/>
      <c r="I25" s="265"/>
      <c r="J25" s="212" t="str">
        <f t="shared" si="21"/>
        <v>-</v>
      </c>
      <c r="K25" s="285">
        <v>0</v>
      </c>
      <c r="L25" s="264">
        <v>0</v>
      </c>
      <c r="M25" s="212">
        <f t="shared" si="22"/>
        <v>0</v>
      </c>
      <c r="N25" s="264"/>
      <c r="O25" s="263">
        <v>1E-3</v>
      </c>
      <c r="P25" s="212" t="str">
        <f t="shared" si="23"/>
        <v>-</v>
      </c>
      <c r="Q25" s="263">
        <v>1E-3</v>
      </c>
      <c r="R25" s="263">
        <v>1E-3</v>
      </c>
      <c r="S25" s="212">
        <f t="shared" si="24"/>
        <v>0</v>
      </c>
      <c r="T25" s="263">
        <v>3.0000000000000001E-3</v>
      </c>
      <c r="U25" s="263">
        <v>4.0000000000000001E-3</v>
      </c>
      <c r="V25" s="212">
        <f t="shared" si="25"/>
        <v>-1E-3</v>
      </c>
      <c r="W25" s="263">
        <v>3.0000000000000001E-3</v>
      </c>
      <c r="X25" s="263">
        <v>4.0000000000000001E-3</v>
      </c>
      <c r="Y25" s="212">
        <f t="shared" si="26"/>
        <v>-1E-3</v>
      </c>
      <c r="Z25" s="264"/>
      <c r="AA25" s="264"/>
      <c r="AB25" s="212" t="str">
        <f t="shared" si="27"/>
        <v>-</v>
      </c>
      <c r="AC25" s="263">
        <v>1E-3</v>
      </c>
      <c r="AD25" s="264">
        <v>0</v>
      </c>
      <c r="AE25" s="212">
        <f t="shared" si="28"/>
        <v>1E-3</v>
      </c>
      <c r="AF25" s="264"/>
      <c r="AG25" s="264"/>
      <c r="AH25" s="212" t="str">
        <f t="shared" si="29"/>
        <v>-</v>
      </c>
      <c r="AI25" s="263">
        <v>4.0000000000000001E-3</v>
      </c>
      <c r="AJ25" s="263">
        <v>4.0000000000000001E-3</v>
      </c>
      <c r="AK25" s="212">
        <f t="shared" si="30"/>
        <v>0</v>
      </c>
      <c r="AL25" s="264"/>
      <c r="AM25" s="264"/>
      <c r="AN25" s="212" t="str">
        <f t="shared" si="31"/>
        <v>-</v>
      </c>
      <c r="AO25" s="263">
        <v>3.0000000000000001E-3</v>
      </c>
      <c r="AP25" s="263">
        <v>3.0000000000000001E-3</v>
      </c>
      <c r="AQ25" s="212">
        <f t="shared" si="32"/>
        <v>0</v>
      </c>
      <c r="AR25" s="264"/>
      <c r="AS25" s="264"/>
      <c r="AT25" s="212" t="str">
        <f t="shared" si="33"/>
        <v>-</v>
      </c>
      <c r="AU25" s="264"/>
      <c r="AV25" s="263">
        <v>3.0000000000000001E-3</v>
      </c>
      <c r="AW25" s="212" t="str">
        <f t="shared" si="34"/>
        <v>-</v>
      </c>
    </row>
    <row r="26" spans="1:49" s="252" customFormat="1" x14ac:dyDescent="0.25">
      <c r="A26" s="262" t="s">
        <v>24</v>
      </c>
      <c r="B26" s="264"/>
      <c r="C26" s="264"/>
      <c r="D26" s="212" t="str">
        <f t="shared" si="19"/>
        <v>-</v>
      </c>
      <c r="E26" s="264"/>
      <c r="F26" s="264"/>
      <c r="G26" s="212" t="str">
        <f t="shared" si="20"/>
        <v>-</v>
      </c>
      <c r="H26" s="265"/>
      <c r="I26" s="265"/>
      <c r="J26" s="212" t="str">
        <f t="shared" si="21"/>
        <v>-</v>
      </c>
      <c r="K26" s="285">
        <v>0</v>
      </c>
      <c r="L26" s="264">
        <v>-1E-3</v>
      </c>
      <c r="M26" s="212">
        <f t="shared" si="22"/>
        <v>1E-3</v>
      </c>
      <c r="N26" s="264"/>
      <c r="O26" s="263">
        <v>1E-3</v>
      </c>
      <c r="P26" s="212" t="str">
        <f t="shared" si="23"/>
        <v>-</v>
      </c>
      <c r="Q26" s="263">
        <v>1E-3</v>
      </c>
      <c r="R26" s="263">
        <v>1E-3</v>
      </c>
      <c r="S26" s="212">
        <f t="shared" si="24"/>
        <v>0</v>
      </c>
      <c r="T26" s="263">
        <v>6.0000000000000001E-3</v>
      </c>
      <c r="U26" s="263">
        <v>3.0000000000000001E-3</v>
      </c>
      <c r="V26" s="212">
        <f t="shared" si="25"/>
        <v>3.0000000000000001E-3</v>
      </c>
      <c r="W26" s="264"/>
      <c r="X26" s="264"/>
      <c r="Y26" s="212" t="str">
        <f t="shared" si="26"/>
        <v>-</v>
      </c>
      <c r="Z26" s="263">
        <v>2E-3</v>
      </c>
      <c r="AA26" s="263">
        <v>1E-3</v>
      </c>
      <c r="AB26" s="212">
        <f t="shared" si="27"/>
        <v>1E-3</v>
      </c>
      <c r="AC26" s="264"/>
      <c r="AD26" s="264"/>
      <c r="AE26" s="212" t="str">
        <f t="shared" si="28"/>
        <v>-</v>
      </c>
      <c r="AF26" s="264"/>
      <c r="AG26" s="264"/>
      <c r="AH26" s="212" t="str">
        <f t="shared" si="29"/>
        <v>-</v>
      </c>
      <c r="AI26" s="263">
        <v>4.0000000000000001E-3</v>
      </c>
      <c r="AJ26" s="263">
        <v>4.0000000000000001E-3</v>
      </c>
      <c r="AK26" s="212">
        <f t="shared" si="30"/>
        <v>0</v>
      </c>
      <c r="AL26" s="264"/>
      <c r="AM26" s="264"/>
      <c r="AN26" s="212" t="str">
        <f t="shared" si="31"/>
        <v>-</v>
      </c>
      <c r="AO26" s="263">
        <v>2E-3</v>
      </c>
      <c r="AP26" s="263">
        <v>3.0000000000000001E-3</v>
      </c>
      <c r="AQ26" s="212">
        <f t="shared" si="32"/>
        <v>-1E-3</v>
      </c>
      <c r="AR26" s="263">
        <v>3.0000000000000001E-3</v>
      </c>
      <c r="AS26" s="263">
        <v>3.0000000000000001E-3</v>
      </c>
      <c r="AT26" s="212">
        <f t="shared" si="33"/>
        <v>0</v>
      </c>
      <c r="AU26" s="264"/>
      <c r="AV26" s="264"/>
      <c r="AW26" s="212" t="str">
        <f t="shared" si="34"/>
        <v>-</v>
      </c>
    </row>
    <row r="27" spans="1:49" s="252" customFormat="1" x14ac:dyDescent="0.25">
      <c r="A27" s="269" t="s">
        <v>25</v>
      </c>
      <c r="B27" s="270"/>
      <c r="C27" s="270"/>
      <c r="D27" s="215" t="str">
        <f t="shared" si="19"/>
        <v>-</v>
      </c>
      <c r="E27" s="270"/>
      <c r="F27" s="270"/>
      <c r="G27" s="215" t="str">
        <f t="shared" si="20"/>
        <v>-</v>
      </c>
      <c r="H27" s="271"/>
      <c r="I27" s="271"/>
      <c r="J27" s="215" t="str">
        <f t="shared" si="21"/>
        <v>-</v>
      </c>
      <c r="K27" s="286">
        <v>-1E-3</v>
      </c>
      <c r="L27" s="270">
        <v>0</v>
      </c>
      <c r="M27" s="215">
        <f t="shared" si="22"/>
        <v>-1E-3</v>
      </c>
      <c r="N27" s="270"/>
      <c r="O27" s="272">
        <v>3.0000000000000001E-3</v>
      </c>
      <c r="P27" s="215" t="str">
        <f t="shared" si="23"/>
        <v>-</v>
      </c>
      <c r="Q27" s="272">
        <v>3.0000000000000001E-3</v>
      </c>
      <c r="R27" s="272">
        <v>3.0000000000000001E-3</v>
      </c>
      <c r="S27" s="215">
        <f t="shared" si="24"/>
        <v>0</v>
      </c>
      <c r="T27" s="272">
        <v>1E-3</v>
      </c>
      <c r="U27" s="272">
        <v>1E-3</v>
      </c>
      <c r="V27" s="215">
        <f t="shared" si="25"/>
        <v>0</v>
      </c>
      <c r="W27" s="272">
        <v>1E-3</v>
      </c>
      <c r="X27" s="272">
        <v>1E-3</v>
      </c>
      <c r="Y27" s="215">
        <f t="shared" si="26"/>
        <v>0</v>
      </c>
      <c r="Z27" s="270"/>
      <c r="AA27" s="270"/>
      <c r="AB27" s="215" t="str">
        <f t="shared" si="27"/>
        <v>-</v>
      </c>
      <c r="AC27" s="272">
        <v>-1E-3</v>
      </c>
      <c r="AD27" s="272">
        <v>-1E-3</v>
      </c>
      <c r="AE27" s="215">
        <f t="shared" si="28"/>
        <v>0</v>
      </c>
      <c r="AF27" s="270"/>
      <c r="AG27" s="270"/>
      <c r="AH27" s="215" t="str">
        <f t="shared" si="29"/>
        <v>-</v>
      </c>
      <c r="AI27" s="270"/>
      <c r="AJ27" s="270"/>
      <c r="AK27" s="215" t="str">
        <f t="shared" si="30"/>
        <v>-</v>
      </c>
      <c r="AL27" s="270"/>
      <c r="AM27" s="270"/>
      <c r="AN27" s="215" t="str">
        <f t="shared" si="31"/>
        <v>-</v>
      </c>
      <c r="AO27" s="272">
        <v>2E-3</v>
      </c>
      <c r="AP27" s="272">
        <v>3.0000000000000001E-3</v>
      </c>
      <c r="AQ27" s="215">
        <f t="shared" si="32"/>
        <v>-1E-3</v>
      </c>
      <c r="AR27" s="270"/>
      <c r="AS27" s="270"/>
      <c r="AT27" s="215" t="str">
        <f t="shared" si="33"/>
        <v>-</v>
      </c>
      <c r="AU27" s="270"/>
      <c r="AV27" s="270"/>
      <c r="AW27" s="215" t="str">
        <f t="shared" si="34"/>
        <v>-</v>
      </c>
    </row>
    <row r="28" spans="1:49" s="252" customFormat="1" x14ac:dyDescent="0.25">
      <c r="A28" s="269" t="s">
        <v>26</v>
      </c>
      <c r="B28" s="270"/>
      <c r="C28" s="270"/>
      <c r="D28" s="215" t="str">
        <f t="shared" si="19"/>
        <v>-</v>
      </c>
      <c r="E28" s="270"/>
      <c r="F28" s="270"/>
      <c r="G28" s="215" t="str">
        <f t="shared" si="20"/>
        <v>-</v>
      </c>
      <c r="H28" s="271">
        <v>2E-3</v>
      </c>
      <c r="I28" s="271">
        <v>5.0000000000000001E-3</v>
      </c>
      <c r="J28" s="215">
        <f t="shared" si="21"/>
        <v>-3.0000000000000001E-3</v>
      </c>
      <c r="K28" s="286">
        <v>1E-3</v>
      </c>
      <c r="L28" s="270">
        <v>0</v>
      </c>
      <c r="M28" s="215">
        <f t="shared" si="22"/>
        <v>1E-3</v>
      </c>
      <c r="N28" s="270"/>
      <c r="O28" s="272">
        <v>3.0000000000000001E-3</v>
      </c>
      <c r="P28" s="215" t="str">
        <f t="shared" si="23"/>
        <v>-</v>
      </c>
      <c r="Q28" s="272">
        <v>3.0000000000000001E-3</v>
      </c>
      <c r="R28" s="272">
        <v>1E-3</v>
      </c>
      <c r="S28" s="215">
        <f t="shared" si="24"/>
        <v>2E-3</v>
      </c>
      <c r="T28" s="272">
        <v>1E-3</v>
      </c>
      <c r="U28" s="272">
        <v>-1E-3</v>
      </c>
      <c r="V28" s="215">
        <f t="shared" si="25"/>
        <v>2E-3</v>
      </c>
      <c r="W28" s="272">
        <v>1E-3</v>
      </c>
      <c r="X28" s="272">
        <v>-1E-3</v>
      </c>
      <c r="Y28" s="215">
        <f t="shared" si="26"/>
        <v>2E-3</v>
      </c>
      <c r="Z28" s="270"/>
      <c r="AA28" s="270"/>
      <c r="AB28" s="215" t="str">
        <f t="shared" si="27"/>
        <v>-</v>
      </c>
      <c r="AC28" s="270"/>
      <c r="AD28" s="270"/>
      <c r="AE28" s="215" t="str">
        <f t="shared" si="28"/>
        <v>-</v>
      </c>
      <c r="AF28" s="272">
        <v>-1E-3</v>
      </c>
      <c r="AG28" s="272">
        <v>4.0000000000000001E-3</v>
      </c>
      <c r="AH28" s="215">
        <f t="shared" si="29"/>
        <v>-5.0000000000000001E-3</v>
      </c>
      <c r="AI28" s="272">
        <v>4.0000000000000001E-3</v>
      </c>
      <c r="AJ28" s="272">
        <v>2E-3</v>
      </c>
      <c r="AK28" s="215">
        <f t="shared" si="30"/>
        <v>2E-3</v>
      </c>
      <c r="AL28" s="270"/>
      <c r="AM28" s="270"/>
      <c r="AN28" s="215" t="str">
        <f t="shared" si="31"/>
        <v>-</v>
      </c>
      <c r="AO28" s="272">
        <v>3.0000000000000001E-3</v>
      </c>
      <c r="AP28" s="272">
        <v>3.0000000000000001E-3</v>
      </c>
      <c r="AQ28" s="215">
        <f t="shared" si="32"/>
        <v>0</v>
      </c>
      <c r="AR28" s="270"/>
      <c r="AS28" s="270"/>
      <c r="AT28" s="215" t="str">
        <f t="shared" si="33"/>
        <v>-</v>
      </c>
      <c r="AU28" s="272">
        <v>2E-3</v>
      </c>
      <c r="AV28" s="272">
        <v>1E-3</v>
      </c>
      <c r="AW28" s="215">
        <f t="shared" si="34"/>
        <v>1E-3</v>
      </c>
    </row>
    <row r="29" spans="1:49" s="252" customFormat="1" x14ac:dyDescent="0.25">
      <c r="A29" s="269" t="s">
        <v>27</v>
      </c>
      <c r="B29" s="270"/>
      <c r="C29" s="270"/>
      <c r="D29" s="215" t="str">
        <f t="shared" si="19"/>
        <v>-</v>
      </c>
      <c r="E29" s="270"/>
      <c r="F29" s="270"/>
      <c r="G29" s="215" t="str">
        <f t="shared" si="20"/>
        <v>-</v>
      </c>
      <c r="H29" s="271">
        <v>8.0000000000000002E-3</v>
      </c>
      <c r="I29" s="271">
        <v>6.0000000000000001E-3</v>
      </c>
      <c r="J29" s="215">
        <f t="shared" si="21"/>
        <v>2E-3</v>
      </c>
      <c r="K29" s="286">
        <v>0</v>
      </c>
      <c r="L29" s="270">
        <v>0</v>
      </c>
      <c r="M29" s="215">
        <f t="shared" si="22"/>
        <v>0</v>
      </c>
      <c r="N29" s="270"/>
      <c r="O29" s="272">
        <v>7.0000000000000001E-3</v>
      </c>
      <c r="P29" s="215" t="str">
        <f t="shared" si="23"/>
        <v>-</v>
      </c>
      <c r="Q29" s="272">
        <v>7.0000000000000001E-3</v>
      </c>
      <c r="R29" s="272">
        <v>6.0000000000000001E-3</v>
      </c>
      <c r="S29" s="215">
        <f t="shared" si="24"/>
        <v>1E-3</v>
      </c>
      <c r="T29" s="272">
        <v>6.0000000000000001E-3</v>
      </c>
      <c r="U29" s="272">
        <v>7.0000000000000001E-3</v>
      </c>
      <c r="V29" s="215">
        <f t="shared" si="25"/>
        <v>-1E-3</v>
      </c>
      <c r="W29" s="272">
        <v>6.0000000000000001E-3</v>
      </c>
      <c r="X29" s="272">
        <v>7.0000000000000001E-3</v>
      </c>
      <c r="Y29" s="215">
        <f t="shared" si="26"/>
        <v>-1E-3</v>
      </c>
      <c r="Z29" s="270"/>
      <c r="AA29" s="270"/>
      <c r="AB29" s="215" t="str">
        <f t="shared" si="27"/>
        <v>-</v>
      </c>
      <c r="AC29" s="270"/>
      <c r="AD29" s="270"/>
      <c r="AE29" s="215" t="str">
        <f t="shared" si="28"/>
        <v>-</v>
      </c>
      <c r="AF29" s="272">
        <v>8.0000000000000002E-3</v>
      </c>
      <c r="AG29" s="272">
        <v>8.0000000000000002E-3</v>
      </c>
      <c r="AH29" s="215">
        <f t="shared" si="29"/>
        <v>0</v>
      </c>
      <c r="AI29" s="272">
        <v>8.0000000000000002E-3</v>
      </c>
      <c r="AJ29" s="272">
        <v>8.0000000000000002E-3</v>
      </c>
      <c r="AK29" s="215">
        <f t="shared" si="30"/>
        <v>0</v>
      </c>
      <c r="AL29" s="270"/>
      <c r="AM29" s="270"/>
      <c r="AN29" s="215" t="str">
        <f t="shared" si="31"/>
        <v>-</v>
      </c>
      <c r="AO29" s="270"/>
      <c r="AP29" s="270"/>
      <c r="AQ29" s="215" t="str">
        <f t="shared" si="32"/>
        <v>-</v>
      </c>
      <c r="AR29" s="270"/>
      <c r="AS29" s="270"/>
      <c r="AT29" s="215" t="str">
        <f t="shared" si="33"/>
        <v>-</v>
      </c>
      <c r="AU29" s="272">
        <v>7.0000000000000001E-3</v>
      </c>
      <c r="AV29" s="272">
        <v>7.0000000000000001E-3</v>
      </c>
      <c r="AW29" s="215">
        <f t="shared" si="34"/>
        <v>0</v>
      </c>
    </row>
    <row r="30" spans="1:49" s="252" customFormat="1" x14ac:dyDescent="0.25">
      <c r="A30" s="269" t="s">
        <v>28</v>
      </c>
      <c r="B30" s="270"/>
      <c r="C30" s="270"/>
      <c r="D30" s="215" t="str">
        <f t="shared" si="19"/>
        <v>-</v>
      </c>
      <c r="E30" s="270"/>
      <c r="F30" s="270"/>
      <c r="G30" s="215" t="str">
        <f t="shared" si="20"/>
        <v>-</v>
      </c>
      <c r="H30" s="271">
        <v>3.0000000000000001E-3</v>
      </c>
      <c r="I30" s="271">
        <v>1E-3</v>
      </c>
      <c r="J30" s="215">
        <f t="shared" si="21"/>
        <v>2E-3</v>
      </c>
      <c r="K30" s="286">
        <v>-1E-3</v>
      </c>
      <c r="L30" s="270">
        <v>-2E-3</v>
      </c>
      <c r="M30" s="215">
        <f t="shared" si="22"/>
        <v>1E-3</v>
      </c>
      <c r="N30" s="270"/>
      <c r="O30" s="272">
        <v>-1E-3</v>
      </c>
      <c r="P30" s="215" t="str">
        <f t="shared" si="23"/>
        <v>-</v>
      </c>
      <c r="Q30" s="272">
        <v>-1E-3</v>
      </c>
      <c r="R30" s="272">
        <v>3.0000000000000001E-3</v>
      </c>
      <c r="S30" s="215">
        <f t="shared" si="24"/>
        <v>-4.0000000000000001E-3</v>
      </c>
      <c r="T30" s="270"/>
      <c r="U30" s="270"/>
      <c r="V30" s="215" t="str">
        <f t="shared" si="25"/>
        <v>-</v>
      </c>
      <c r="W30" s="270"/>
      <c r="X30" s="270"/>
      <c r="Y30" s="215" t="str">
        <f t="shared" si="26"/>
        <v>-</v>
      </c>
      <c r="Z30" s="270"/>
      <c r="AA30" s="270"/>
      <c r="AB30" s="215" t="str">
        <f t="shared" si="27"/>
        <v>-</v>
      </c>
      <c r="AC30" s="270"/>
      <c r="AD30" s="270"/>
      <c r="AE30" s="215" t="str">
        <f t="shared" si="28"/>
        <v>-</v>
      </c>
      <c r="AF30" s="270">
        <v>0</v>
      </c>
      <c r="AG30" s="270">
        <v>0</v>
      </c>
      <c r="AH30" s="215">
        <f t="shared" si="29"/>
        <v>0</v>
      </c>
      <c r="AI30" s="270">
        <v>0</v>
      </c>
      <c r="AJ30" s="272">
        <v>2E-3</v>
      </c>
      <c r="AK30" s="215">
        <f t="shared" si="30"/>
        <v>-2E-3</v>
      </c>
      <c r="AL30" s="270"/>
      <c r="AM30" s="270"/>
      <c r="AN30" s="215" t="str">
        <f t="shared" si="31"/>
        <v>-</v>
      </c>
      <c r="AO30" s="272">
        <v>2E-3</v>
      </c>
      <c r="AP30" s="272">
        <v>3.0000000000000001E-3</v>
      </c>
      <c r="AQ30" s="215">
        <f t="shared" si="32"/>
        <v>-1E-3</v>
      </c>
      <c r="AR30" s="270"/>
      <c r="AS30" s="270"/>
      <c r="AT30" s="215" t="str">
        <f t="shared" si="33"/>
        <v>-</v>
      </c>
      <c r="AU30" s="270"/>
      <c r="AV30" s="270"/>
      <c r="AW30" s="215" t="str">
        <f t="shared" si="34"/>
        <v>-</v>
      </c>
    </row>
    <row r="31" spans="1:49" s="252" customFormat="1" x14ac:dyDescent="0.25">
      <c r="A31" s="241"/>
      <c r="B31" s="223"/>
      <c r="C31" s="223"/>
      <c r="D31" s="277"/>
      <c r="E31" s="223"/>
      <c r="F31" s="223"/>
      <c r="G31" s="277"/>
      <c r="H31" s="287"/>
      <c r="I31" s="287"/>
      <c r="J31" s="277"/>
      <c r="K31" s="223"/>
      <c r="L31" s="223"/>
      <c r="M31" s="277"/>
      <c r="N31" s="223"/>
      <c r="O31" s="223"/>
      <c r="P31" s="277"/>
      <c r="Q31" s="223"/>
      <c r="R31" s="223"/>
      <c r="S31" s="277"/>
      <c r="T31" s="223"/>
      <c r="U31" s="223"/>
      <c r="V31" s="277"/>
      <c r="W31" s="223"/>
      <c r="X31" s="223"/>
      <c r="Y31" s="277"/>
      <c r="Z31" s="223"/>
      <c r="AA31" s="223"/>
      <c r="AB31" s="277"/>
      <c r="AC31" s="223"/>
      <c r="AD31" s="223"/>
      <c r="AE31" s="277"/>
      <c r="AF31" s="223"/>
      <c r="AG31" s="223"/>
      <c r="AH31" s="277"/>
      <c r="AI31" s="223"/>
      <c r="AJ31" s="223"/>
      <c r="AK31" s="277"/>
      <c r="AL31" s="223"/>
      <c r="AM31" s="223"/>
      <c r="AN31" s="277"/>
      <c r="AO31" s="223"/>
      <c r="AP31" s="223"/>
      <c r="AQ31" s="277"/>
      <c r="AR31" s="223"/>
      <c r="AS31" s="223"/>
      <c r="AT31" s="277"/>
      <c r="AU31" s="223"/>
      <c r="AV31" s="223"/>
      <c r="AW31" s="277"/>
    </row>
    <row r="32" spans="1:49" s="252" customFormat="1" x14ac:dyDescent="0.25">
      <c r="A32" s="236" t="s">
        <v>29</v>
      </c>
      <c r="B32" s="332" t="str">
        <f>IF(
    AND(D33="-", D34="-", D35="-", D36="-", D37="-", D38="-", D39="-", D40="-", D41="-", D42="-", D43="-", D44="-"),
    "",
    IF(
        SUM(
            IF(D33="-", 0, IF(D33&lt;0, -2, IF(D33&gt;0, 2, 0))),
            IF(D34="-", 0, IF(D34&lt;0, -2, IF(D34&gt;0, 2, 0))),
            IF(D35="-", 0, IF(D35&lt;0, -2, IF(D35&gt;0, 2, 0))),
            IF(D36="-", 0, IF(D36&lt;0, -2, IF(D36&gt;0, 2, 0))),
            IF(D37="-", 0, IF(D37&lt;0, -1, IF(D37&gt;0, 1, 0))),
            IF(D38="-", 0, IF(D38&lt;0, -1, IF(D38&gt;0, 1, 0))),
            IF(D39="-", 0, IF(D39&lt;0, -1, IF(D39&gt;0, 2, 0))),
            IF(D40="-", 0, IF(D40&lt;0, -1, IF(D40&gt;0, 1, 0))),
            IF(D41="-", 0, IF(D41&lt;0, -1, IF(D41&gt;0, 1, 0))),
            IF(D42="-", 0, IF(D42&lt;0, -1, IF(D42&gt;0, 1, 0))),
            IF(D43="-", 0, IF(D43&lt;0, -1, IF(D43&gt;0, 1, 0))),
            IF(D44="-", 0, IF(D44&lt;0, -1, IF(D44&gt;0, 1, 0)))
        )/16 &gt; 0.1,
        "BULLISH",
        IF(
            SUM(
                IF(D33="-", 0, IF(D33&lt;0, -2, IF(D33&gt;0, 2, 0))),
                IF(D34="-", 0, IF(D34&lt;0, -2, IF(D34&gt;0, 2, 0))),
                IF(D35="-", 0, IF(D35&lt;0, -2, IF(D35&gt;0, 2, 0))),
                IF(D36="-", 0, IF(D36&lt;0, -2, IF(D36&gt;0, 2, 0))),
                IF(D37="-", 0, IF(D37&lt;0, -1, IF(D37&gt;0, 1, 0))),
                IF(D38="-", 0, IF(D38&lt;0, -1, IF(D38&gt;0, 1, 0))),
                IF(D39="-", 0, IF(D39&lt;0, -1, IF(D39&gt;0, 2, 0))),
                IF(D40="-", 0, IF(D40&lt;0, -1, IF(D40&gt;0, 1, 0))),
                IF(D41="-", 0, IF(D41&lt;0, -1, IF(D41&gt;0, 1, 0))),
                IF(D42="-", 0, IF(D42&lt;0, -1, IF(D42&gt;0, 1, 0))),
                IF(D43="-", 0, IF(D43&lt;0, -1, IF(D43&gt;0, 1, 0))),
                IF(D44="-", 0, IF(D44&lt;0, -1, IF(D44&gt;0, 1, 0)))
            )/16 &lt; -0.1,
            "BEARISH",
            "NEUTRO"
        )
    )
)</f>
        <v/>
      </c>
      <c r="C32" s="332"/>
      <c r="D32" s="332"/>
      <c r="E32" s="332" t="str">
        <f>IF(
    AND(G33="-", G34="-", G35="-", G36="-", G37="-", G38="-", G39="-", G40="-", G41="-", G42="-", G43="-", G44="-"),
    "",
    IF(
        SUM(
            IF(G33="-", 0, IF(G33&lt;0, -2, IF(G33&gt;0, 2, 0))),
            IF(G34="-", 0, IF(G34&lt;0, -2, IF(G34&gt;0, 2, 0))),
            IF(G35="-", 0, IF(G35&lt;0, -2, IF(G35&gt;0, 2, 0))),
            IF(G36="-", 0, IF(G36&lt;0, -2, IF(G36&gt;0, 2, 0))),
            IF(G37="-", 0, IF(G37&lt;0, -1, IF(G37&gt;0, 1, 0))),
            IF(G38="-", 0, IF(G38&lt;0, -1, IF(G38&gt;0, 1, 0))),
            IF(G39="-", 0, IF(G39&lt;0, -1, IF(G39&gt;0, 2, 0))),
            IF(G40="-", 0, IF(G40&lt;0, -1, IF(G40&gt;0, 1, 0))),
            IF(G41="-", 0, IF(G41&lt;0, -1, IF(G41&gt;0, 1, 0))),
            IF(G42="-", 0, IF(G42&lt;0, -1, IF(G42&gt;0, 1, 0))),
            IF(G43="-", 0, IF(G43&lt;0, -1, IF(G43&gt;0, 1, 0))),
            IF(G44="-", 0, IF(G44&lt;0, -1, IF(G44&gt;0, 1, 0)))
        )/16 &gt; 0.1,
        "BULLISH",
        IF(
            SUM(
                IF(G33="-", 0, IF(G33&lt;0, -2, IF(G33&gt;0, 2, 0))),
                IF(G34="-", 0, IF(G34&lt;0, -2, IF(G34&gt;0, 2, 0))),
                IF(G35="-", 0, IF(G35&lt;0, -2, IF(G35&gt;0, 2, 0))),
                IF(G36="-", 0, IF(G36&lt;0, -2, IF(G36&gt;0, 2, 0))),
                IF(G37="-", 0, IF(G37&lt;0, -1, IF(G37&gt;0, 1, 0))),
                IF(G38="-", 0, IF(G38&lt;0, -1, IF(G38&gt;0, 1, 0))),
                IF(G39="-", 0, IF(G39&lt;0, -1, IF(G39&gt;0, 2, 0))),
                IF(G40="-", 0, IF(G40&lt;0, -1, IF(G40&gt;0, 1, 0))),
                IF(G41="-", 0, IF(G41&lt;0, -1, IF(G41&gt;0, 1, 0))),
                IF(G42="-", 0, IF(G42&lt;0, -1, IF(G42&gt;0, 1, 0))),
                IF(G43="-", 0, IF(G43&lt;0, -1, IF(G43&gt;0, 1, 0))),
                IF(G44="-", 0, IF(G44&lt;0, -1, IF(G44&gt;0, 1, 0)))
            )/16 &lt; -0.1,
            "BEARISH",
            "NEUTRO"
        )
    )
)</f>
        <v/>
      </c>
      <c r="F32" s="332"/>
      <c r="G32" s="332"/>
      <c r="H32" s="332" t="str">
        <f>IF(
    AND(J33="-", J34="-", J35="-", J36="-", J37="-", J38="-", J39="-", J40="-", J41="-", J42="-", J43="-", J44="-"),
    "",
    IF(
        SUM(
            IF(J33="-", 0, IF(J33&lt;0, -2, IF(J33&gt;0, 2, 0))),
            IF(J34="-", 0, IF(J34&lt;0, -2, IF(J34&gt;0, 2, 0))),
            IF(J35="-", 0, IF(J35&lt;0, -2, IF(J35&gt;0, 2, 0))),
            IF(J36="-", 0, IF(J36&lt;0, -2, IF(J36&gt;0, 2, 0))),
            IF(J37="-", 0, IF(J37&lt;0, -1, IF(J37&gt;0, 1, 0))),
            IF(J38="-", 0, IF(J38&lt;0, -1, IF(J38&gt;0, 1, 0))),
            IF(J39="-", 0, IF(J39&lt;0, -1, IF(J39&gt;0, 2, 0))),
            IF(J40="-", 0, IF(J40&lt;0, -1, IF(J40&gt;0, 1, 0))),
            IF(J41="-", 0, IF(J41&lt;0, -1, IF(J41&gt;0, 1, 0))),
            IF(J42="-", 0, IF(J42&lt;0, -1, IF(J42&gt;0, 1, 0))),
            IF(J43="-", 0, IF(J43&lt;0, -1, IF(J43&gt;0, 1, 0))),
            IF(J44="-", 0, IF(J44&lt;0, -1, IF(J44&gt;0, 1, 0)))
        )/16 &gt; 0.1,
        "BULLISH",
        IF(
            SUM(
                IF(J33="-", 0, IF(J33&lt;0, -2, IF(J33&gt;0, 2, 0))),
                IF(J34="-", 0, IF(J34&lt;0, -2, IF(J34&gt;0, 2, 0))),
                IF(J35="-", 0, IF(J35&lt;0, -2, IF(J35&gt;0, 2, 0))),
                IF(J36="-", 0, IF(J36&lt;0, -2, IF(J36&gt;0, 2, 0))),
                IF(J37="-", 0, IF(J37&lt;0, -1, IF(J37&gt;0, 1, 0))),
                IF(J38="-", 0, IF(J38&lt;0, -1, IF(J38&gt;0, 1, 0))),
                IF(J39="-", 0, IF(J39&lt;0, -1, IF(J39&gt;0, 2, 0))),
                IF(J40="-", 0, IF(J40&lt;0, -1, IF(J40&gt;0, 1, 0))),
                IF(J41="-", 0, IF(J41&lt;0, -1, IF(J41&gt;0, 1, 0))),
                IF(J42="-", 0, IF(J42&lt;0, -1, IF(J42&gt;0, 1, 0))),
                IF(J43="-", 0, IF(J43&lt;0, -1, IF(J43&gt;0, 1, 0))),
                IF(J44="-", 0, IF(J44&lt;0, -1, IF(J44&gt;0, 1, 0)))
            )/16 &lt; -0.1,
            "BEARISH",
            "NEUTRO"
        )
    )
)</f>
        <v>BULLISH</v>
      </c>
      <c r="I32" s="332"/>
      <c r="J32" s="332"/>
      <c r="K32" s="332" t="str">
        <f>IF(
    AND(M33="-", M34="-", M35="-", M36="-", M37="-", M38="-", M39="-", M40="-", M41="-", M42="-", M43="-", M44="-"),
    "",
    IF(
        SUM(
            IF(M33="-", 0, IF(M33&lt;0, -2, IF(M33&gt;0, 2, 0))),
            IF(M34="-", 0, IF(M34&lt;0, -2, IF(M34&gt;0, 2, 0))),
            IF(M35="-", 0, IF(M35&lt;0, -2, IF(M35&gt;0, 2, 0))),
            IF(M36="-", 0, IF(M36&lt;0, -2, IF(M36&gt;0, 2, 0))),
            IF(M37="-", 0, IF(M37&lt;0, -1, IF(M37&gt;0, 1, 0))),
            IF(M38="-", 0, IF(M38&lt;0, -1, IF(M38&gt;0, 1, 0))),
            IF(M39="-", 0, IF(M39&lt;0, -1, IF(M39&gt;0, 2, 0))),
            IF(M40="-", 0, IF(M40&lt;0, -1, IF(M40&gt;0, 1, 0))),
            IF(M41="-", 0, IF(M41&lt;0, -1, IF(M41&gt;0, 1, 0))),
            IF(M42="-", 0, IF(M42&lt;0, -1, IF(M42&gt;0, 1, 0))),
            IF(M43="-", 0, IF(M43&lt;0, -1, IF(M43&gt;0, 1, 0))),
            IF(M44="-", 0, IF(M44&lt;0, -1, IF(M44&gt;0, 1, 0)))
        )/16 &gt; 0.1,
        "BULLISH",
        IF(
            SUM(
                IF(M33="-", 0, IF(M33&lt;0, -2, IF(M33&gt;0, 2, 0))),
                IF(M34="-", 0, IF(M34&lt;0, -2, IF(M34&gt;0, 2, 0))),
                IF(M35="-", 0, IF(M35&lt;0, -2, IF(M35&gt;0, 2, 0))),
                IF(M36="-", 0, IF(M36&lt;0, -2, IF(M36&gt;0, 2, 0))),
                IF(M37="-", 0, IF(M37&lt;0, -1, IF(M37&gt;0, 1, 0))),
                IF(M38="-", 0, IF(M38&lt;0, -1, IF(M38&gt;0, 1, 0))),
                IF(M39="-", 0, IF(M39&lt;0, -1, IF(M39&gt;0, 2, 0))),
                IF(M40="-", 0, IF(M40&lt;0, -1, IF(M40&gt;0, 1, 0))),
                IF(M41="-", 0, IF(M41&lt;0, -1, IF(M41&gt;0, 1, 0))),
                IF(M42="-", 0, IF(M42&lt;0, -1, IF(M42&gt;0, 1, 0))),
                IF(M43="-", 0, IF(M43&lt;0, -1, IF(M43&gt;0, 1, 0))),
                IF(M44="-", 0, IF(M44&lt;0, -1, IF(M44&gt;0, 1, 0)))
            )/16 &lt; -0.1,
            "BEARISH",
            "NEUTRO"
        )
    )
)</f>
        <v>NEUTRO</v>
      </c>
      <c r="L32" s="332"/>
      <c r="M32" s="332"/>
      <c r="N32" s="332" t="str">
        <f>IF(
    AND(P33="-", P34="-", P35="-", P36="-", P37="-", P38="-", P39="-", P40="-", P41="-", P42="-", P43="-", P44="-"),
    "",
    IF(
        SUM(
            IF(P33="-", 0, IF(P33&lt;0, -2, IF(P33&gt;0, 2, 0))),
            IF(P34="-", 0, IF(P34&lt;0, -2, IF(P34&gt;0, 2, 0))),
            IF(P35="-", 0, IF(P35&lt;0, -2, IF(P35&gt;0, 2, 0))),
            IF(P36="-", 0, IF(P36&lt;0, -2, IF(P36&gt;0, 2, 0))),
            IF(P37="-", 0, IF(P37&lt;0, -1, IF(P37&gt;0, 1, 0))),
            IF(P38="-", 0, IF(P38&lt;0, -1, IF(P38&gt;0, 1, 0))),
            IF(P39="-", 0, IF(P39&lt;0, -1, IF(P39&gt;0, 2, 0))),
            IF(P40="-", 0, IF(P40&lt;0, -1, IF(P40&gt;0, 1, 0))),
            IF(P41="-", 0, IF(P41&lt;0, -1, IF(P41&gt;0, 1, 0))),
            IF(P42="-", 0, IF(P42&lt;0, -1, IF(P42&gt;0, 1, 0))),
            IF(P43="-", 0, IF(P43&lt;0, -1, IF(P43&gt;0, 1, 0))),
            IF(P44="-", 0, IF(P44&lt;0, -1, IF(P44&gt;0, 1, 0)))
        )/16 &gt; 0.1,
        "BULLISH",
        IF(
            SUM(
                IF(P33="-", 0, IF(P33&lt;0, -2, IF(P33&gt;0, 2, 0))),
                IF(P34="-", 0, IF(P34&lt;0, -2, IF(P34&gt;0, 2, 0))),
                IF(P35="-", 0, IF(P35&lt;0, -2, IF(P35&gt;0, 2, 0))),
                IF(P36="-", 0, IF(P36&lt;0, -2, IF(P36&gt;0, 2, 0))),
                IF(P37="-", 0, IF(P37&lt;0, -1, IF(P37&gt;0, 1, 0))),
                IF(P38="-", 0, IF(P38&lt;0, -1, IF(P38&gt;0, 1, 0))),
                IF(P39="-", 0, IF(P39&lt;0, -1, IF(P39&gt;0, 2, 0))),
                IF(P40="-", 0, IF(P40&lt;0, -1, IF(P40&gt;0, 1, 0))),
                IF(P41="-", 0, IF(P41&lt;0, -1, IF(P41&gt;0, 1, 0))),
                IF(P42="-", 0, IF(P42&lt;0, -1, IF(P42&gt;0, 1, 0))),
                IF(P43="-", 0, IF(P43&lt;0, -1, IF(P43&gt;0, 1, 0))),
                IF(P44="-", 0, IF(P44&lt;0, -1, IF(P44&gt;0, 1, 0)))
            )/16 &lt; -0.1,
            "BEARISH",
            "NEUTRO"
        )
    )
)</f>
        <v>BEARISH</v>
      </c>
      <c r="O32" s="332"/>
      <c r="P32" s="332"/>
      <c r="Q32" s="332" t="str">
        <f>IF(
    AND(S33="-", S34="-", S35="-", S36="-", S37="-", S38="-", S39="-", S40="-", S41="-", S42="-", S43="-", S44="-"),
    "",
    IF(
        SUM(
            IF(S33="-", 0, IF(S33&lt;0, -2, IF(S33&gt;0, 2, 0))),
            IF(S34="-", 0, IF(S34&lt;0, -2, IF(S34&gt;0, 2, 0))),
            IF(S35="-", 0, IF(S35&lt;0, -2, IF(S35&gt;0, 2, 0))),
            IF(S36="-", 0, IF(S36&lt;0, -2, IF(S36&gt;0, 2, 0))),
            IF(S37="-", 0, IF(S37&lt;0, -1, IF(S37&gt;0, 1, 0))),
            IF(S38="-", 0, IF(S38&lt;0, -1, IF(S38&gt;0, 1, 0))),
            IF(S39="-", 0, IF(S39&lt;0, -1, IF(S39&gt;0, 2, 0))),
            IF(S40="-", 0, IF(S40&lt;0, -1, IF(S40&gt;0, 1, 0))),
            IF(S41="-", 0, IF(S41&lt;0, -1, IF(S41&gt;0, 1, 0))),
            IF(S42="-", 0, IF(S42&lt;0, -1, IF(S42&gt;0, 1, 0))),
            IF(S43="-", 0, IF(S43&lt;0, -1, IF(S43&gt;0, 1, 0))),
            IF(S44="-", 0, IF(S44&lt;0, -1, IF(S44&gt;0, 1, 0)))
        )/16 &gt; 0.1,
        "BULLISH",
        IF(
            SUM(
                IF(S33="-", 0, IF(S33&lt;0, -2, IF(S33&gt;0, 2, 0))),
                IF(S34="-", 0, IF(S34&lt;0, -2, IF(S34&gt;0, 2, 0))),
                IF(S35="-", 0, IF(S35&lt;0, -2, IF(S35&gt;0, 2, 0))),
                IF(S36="-", 0, IF(S36&lt;0, -2, IF(S36&gt;0, 2, 0))),
                IF(S37="-", 0, IF(S37&lt;0, -1, IF(S37&gt;0, 1, 0))),
                IF(S38="-", 0, IF(S38&lt;0, -1, IF(S38&gt;0, 1, 0))),
                IF(S39="-", 0, IF(S39&lt;0, -1, IF(S39&gt;0, 2, 0))),
                IF(S40="-", 0, IF(S40&lt;0, -1, IF(S40&gt;0, 1, 0))),
                IF(S41="-", 0, IF(S41&lt;0, -1, IF(S41&gt;0, 1, 0))),
                IF(S42="-", 0, IF(S42&lt;0, -1, IF(S42&gt;0, 1, 0))),
                IF(S43="-", 0, IF(S43&lt;0, -1, IF(S43&gt;0, 1, 0))),
                IF(S44="-", 0, IF(S44&lt;0, -1, IF(S44&gt;0, 1, 0)))
            )/16 &lt; -0.1,
            "BEARISH",
            "NEUTRO"
        )
    )
)</f>
        <v>BULLISH</v>
      </c>
      <c r="R32" s="332"/>
      <c r="S32" s="332"/>
      <c r="T32" s="332" t="str">
        <f>IF(
    AND(V33="-", V34="-", V35="-", V36="-", V37="-", V38="-", V39="-", V40="-", V41="-", V42="-", V43="-", V44="-"),
    "",
    IF(
        SUM(
            IF(V33="-", 0, IF(V33&lt;0, -2, IF(V33&gt;0, 2, 0))),
            IF(V34="-", 0, IF(V34&lt;0, -2, IF(V34&gt;0, 2, 0))),
            IF(V35="-", 0, IF(V35&lt;0, -2, IF(V35&gt;0, 2, 0))),
            IF(V36="-", 0, IF(V36&lt;0, -2, IF(V36&gt;0, 2, 0))),
            IF(V37="-", 0, IF(V37&lt;0, -1, IF(V37&gt;0, 1, 0))),
            IF(V38="-", 0, IF(V38&lt;0, -1, IF(V38&gt;0, 1, 0))),
            IF(V39="-", 0, IF(V39&lt;0, -1, IF(V39&gt;0, 2, 0))),
            IF(V40="-", 0, IF(V40&lt;0, -1, IF(V40&gt;0, 1, 0))),
            IF(V41="-", 0, IF(V41&lt;0, -1, IF(V41&gt;0, 1, 0))),
            IF(V42="-", 0, IF(V42&lt;0, -1, IF(V42&gt;0, 1, 0))),
            IF(V43="-", 0, IF(V43&lt;0, -1, IF(V43&gt;0, 1, 0))),
            IF(V44="-", 0, IF(V44&lt;0, -1, IF(V44&gt;0, 1, 0)))
        )/16 &gt; 0.1,
        "BULLISH",
        IF(
            SUM(
                IF(V33="-", 0, IF(V33&lt;0, -2, IF(V33&gt;0, 2, 0))),
                IF(V34="-", 0, IF(V34&lt;0, -2, IF(V34&gt;0, 2, 0))),
                IF(V35="-", 0, IF(V35&lt;0, -2, IF(V35&gt;0, 2, 0))),
                IF(V36="-", 0, IF(V36&lt;0, -2, IF(V36&gt;0, 2, 0))),
                IF(V37="-", 0, IF(V37&lt;0, -1, IF(V37&gt;0, 1, 0))),
                IF(V38="-", 0, IF(V38&lt;0, -1, IF(V38&gt;0, 1, 0))),
                IF(V39="-", 0, IF(V39&lt;0, -1, IF(V39&gt;0, 2, 0))),
                IF(V40="-", 0, IF(V40&lt;0, -1, IF(V40&gt;0, 1, 0))),
                IF(V41="-", 0, IF(V41&lt;0, -1, IF(V41&gt;0, 1, 0))),
                IF(V42="-", 0, IF(V42&lt;0, -1, IF(V42&gt;0, 1, 0))),
                IF(V43="-", 0, IF(V43&lt;0, -1, IF(V43&gt;0, 1, 0))),
                IF(V44="-", 0, IF(V44&lt;0, -1, IF(V44&gt;0, 1, 0)))
            )/16 &lt; -0.1,
            "BEARISH",
            "NEUTRO"
        )
    )
)</f>
        <v>NEUTRO</v>
      </c>
      <c r="U32" s="332"/>
      <c r="V32" s="332"/>
      <c r="W32" s="332" t="str">
        <f>IF(
    AND(Y33="-", Y34="-", Y35="-", Y36="-", Y37="-", Y38="-", Y39="-", Y40="-", Y41="-", Y42="-", Y43="-", Y44="-"),
    "",
    IF(
        SUM(
            IF(Y33="-", 0, IF(Y33&lt;0, -2, IF(Y33&gt;0, 2, 0))),
            IF(Y34="-", 0, IF(Y34&lt;0, -2, IF(Y34&gt;0, 2, 0))),
            IF(Y35="-", 0, IF(Y35&lt;0, -2, IF(Y35&gt;0, 2, 0))),
            IF(Y36="-", 0, IF(Y36&lt;0, -2, IF(Y36&gt;0, 2, 0))),
            IF(Y37="-", 0, IF(Y37&lt;0, -1, IF(Y37&gt;0, 1, 0))),
            IF(Y38="-", 0, IF(Y38&lt;0, -1, IF(Y38&gt;0, 1, 0))),
            IF(Y39="-", 0, IF(Y39&lt;0, -1, IF(Y39&gt;0, 2, 0))),
            IF(Y40="-", 0, IF(Y40&lt;0, -1, IF(Y40&gt;0, 1, 0))),
            IF(Y41="-", 0, IF(Y41&lt;0, -1, IF(Y41&gt;0, 1, 0))),
            IF(Y42="-", 0, IF(Y42&lt;0, -1, IF(Y42&gt;0, 1, 0))),
            IF(Y43="-", 0, IF(Y43&lt;0, -1, IF(Y43&gt;0, 1, 0))),
            IF(Y44="-", 0, IF(Y44&lt;0, -1, IF(Y44&gt;0, 1, 0)))
        )/16 &gt; 0.1,
        "BULLISH",
        IF(
            SUM(
                IF(Y33="-", 0, IF(Y33&lt;0, -2, IF(Y33&gt;0, 2, 0))),
                IF(Y34="-", 0, IF(Y34&lt;0, -2, IF(Y34&gt;0, 2, 0))),
                IF(Y35="-", 0, IF(Y35&lt;0, -2, IF(Y35&gt;0, 2, 0))),
                IF(Y36="-", 0, IF(Y36&lt;0, -2, IF(Y36&gt;0, 2, 0))),
                IF(Y37="-", 0, IF(Y37&lt;0, -1, IF(Y37&gt;0, 1, 0))),
                IF(Y38="-", 0, IF(Y38&lt;0, -1, IF(Y38&gt;0, 1, 0))),
                IF(Y39="-", 0, IF(Y39&lt;0, -1, IF(Y39&gt;0, 2, 0))),
                IF(Y40="-", 0, IF(Y40&lt;0, -1, IF(Y40&gt;0, 1, 0))),
                IF(Y41="-", 0, IF(Y41&lt;0, -1, IF(Y41&gt;0, 1, 0))),
                IF(Y42="-", 0, IF(Y42&lt;0, -1, IF(Y42&gt;0, 1, 0))),
                IF(Y43="-", 0, IF(Y43&lt;0, -1, IF(Y43&gt;0, 1, 0))),
                IF(Y44="-", 0, IF(Y44&lt;0, -1, IF(Y44&gt;0, 1, 0)))
            )/16 &lt; -0.1,
            "BEARISH",
            "NEUTRO"
        )
    )
)</f>
        <v>NEUTRO</v>
      </c>
      <c r="X32" s="332"/>
      <c r="Y32" s="332"/>
      <c r="Z32" s="332" t="str">
        <f>IF(
    AND(AB33="-", AB34="-", AB35="-", AB36="-", AB37="-", AB38="-", AB39="-", AB40="-", AB41="-", AB42="-", AB43="-", AB44="-"),
    "",
    IF(
        SUM(
            IF(AB33="-", 0, IF(AB33&lt;0, -2, IF(AB33&gt;0, 2, 0))),
            IF(AB34="-", 0, IF(AB34&lt;0, -2, IF(AB34&gt;0, 2, 0))),
            IF(AB35="-", 0, IF(AB35&lt;0, -2, IF(AB35&gt;0, 2, 0))),
            IF(AB36="-", 0, IF(AB36&lt;0, -2, IF(AB36&gt;0, 2, 0))),
            IF(AB37="-", 0, IF(AB37&lt;0, -1, IF(AB37&gt;0, 1, 0))),
            IF(AB38="-", 0, IF(AB38&lt;0, -1, IF(AB38&gt;0, 1, 0))),
            IF(AB39="-", 0, IF(AB39&lt;0, -1, IF(AB39&gt;0, 2, 0))),
            IF(AB40="-", 0, IF(AB40&lt;0, -1, IF(AB40&gt;0, 1, 0))),
            IF(AB41="-", 0, IF(AB41&lt;0, -1, IF(AB41&gt;0, 1, 0))),
            IF(AB42="-", 0, IF(AB42&lt;0, -1, IF(AB42&gt;0, 1, 0))),
            IF(AB43="-", 0, IF(AB43&lt;0, -1, IF(AB43&gt;0, 1, 0))),
            IF(AB44="-", 0, IF(AB44&lt;0, -1, IF(AB44&gt;0, 1, 0)))
        )/16 &gt; 0.1,
        "BULLISH",
        IF(
            SUM(
                IF(AB33="-", 0, IF(AB33&lt;0, -2, IF(AB33&gt;0, 2, 0))),
                IF(AB34="-", 0, IF(AB34&lt;0, -2, IF(AB34&gt;0, 2, 0))),
                IF(AB35="-", 0, IF(AB35&lt;0, -2, IF(AB35&gt;0, 2, 0))),
                IF(AB36="-", 0, IF(AB36&lt;0, -2, IF(AB36&gt;0, 2, 0))),
                IF(AB37="-", 0, IF(AB37&lt;0, -1, IF(AB37&gt;0, 1, 0))),
                IF(AB38="-", 0, IF(AB38&lt;0, -1, IF(AB38&gt;0, 1, 0))),
                IF(AB39="-", 0, IF(AB39&lt;0, -1, IF(AB39&gt;0, 2, 0))),
                IF(AB40="-", 0, IF(AB40&lt;0, -1, IF(AB40&gt;0, 1, 0))),
                IF(AB41="-", 0, IF(AB41&lt;0, -1, IF(AB41&gt;0, 1, 0))),
                IF(AB42="-", 0, IF(AB42&lt;0, -1, IF(AB42&gt;0, 1, 0))),
                IF(AB43="-", 0, IF(AB43&lt;0, -1, IF(AB43&gt;0, 1, 0))),
                IF(AB44="-", 0, IF(AB44&lt;0, -1, IF(AB44&gt;0, 1, 0)))
            )/16 &lt; -0.1,
            "BEARISH",
            "NEUTRO"
        )
    )
)</f>
        <v>NEUTRO</v>
      </c>
      <c r="AA32" s="332"/>
      <c r="AB32" s="332"/>
      <c r="AC32" s="332" t="str">
        <f>IF(
    AND(AE33="-", AE34="-", AE35="-", AE36="-", AE37="-", AE38="-", AE39="-", AE40="-", AE41="-", AE42="-", AE43="-", AE44="-"),
    "",
    IF(
        SUM(
            IF(AE33="-", 0, IF(AE33&lt;0, -2, IF(AE33&gt;0, 2, 0))),
            IF(AE34="-", 0, IF(AE34&lt;0, -2, IF(AE34&gt;0, 2, 0))),
            IF(AE35="-", 0, IF(AE35&lt;0, -2, IF(AE35&gt;0, 2, 0))),
            IF(AE36="-", 0, IF(AE36&lt;0, -2, IF(AE36&gt;0, 2, 0))),
            IF(AE37="-", 0, IF(AE37&lt;0, -1, IF(AE37&gt;0, 1, 0))),
            IF(AE38="-", 0, IF(AE38&lt;0, -1, IF(AE38&gt;0, 1, 0))),
            IF(AE39="-", 0, IF(AE39&lt;0, -1, IF(AE39&gt;0, 2, 0))),
            IF(AE40="-", 0, IF(AE40&lt;0, -1, IF(AE40&gt;0, 1, 0))),
            IF(AE41="-", 0, IF(AE41&lt;0, -1, IF(AE41&gt;0, 1, 0))),
            IF(AE42="-", 0, IF(AE42&lt;0, -1, IF(AE42&gt;0, 1, 0))),
            IF(AE43="-", 0, IF(AE43&lt;0, -1, IF(AE43&gt;0, 1, 0))),
            IF(AE44="-", 0, IF(AE44&lt;0, -1, IF(AE44&gt;0, 1, 0)))
        )/16 &gt; 0.1,
        "BULLISH",
        IF(
            SUM(
                IF(AE33="-", 0, IF(AE33&lt;0, -2, IF(AE33&gt;0, 2, 0))),
                IF(AE34="-", 0, IF(AE34&lt;0, -2, IF(AE34&gt;0, 2, 0))),
                IF(AE35="-", 0, IF(AE35&lt;0, -2, IF(AE35&gt;0, 2, 0))),
                IF(AE36="-", 0, IF(AE36&lt;0, -2, IF(AE36&gt;0, 2, 0))),
                IF(AE37="-", 0, IF(AE37&lt;0, -1, IF(AE37&gt;0, 1, 0))),
                IF(AE38="-", 0, IF(AE38&lt;0, -1, IF(AE38&gt;0, 1, 0))),
                IF(AE39="-", 0, IF(AE39&lt;0, -1, IF(AE39&gt;0, 2, 0))),
                IF(AE40="-", 0, IF(AE40&lt;0, -1, IF(AE40&gt;0, 1, 0))),
                IF(AE41="-", 0, IF(AE41&lt;0, -1, IF(AE41&gt;0, 1, 0))),
                IF(AE42="-", 0, IF(AE42&lt;0, -1, IF(AE42&gt;0, 1, 0))),
                IF(AE43="-", 0, IF(AE43&lt;0, -1, IF(AE43&gt;0, 1, 0))),
                IF(AE44="-", 0, IF(AE44&lt;0, -1, IF(AE44&gt;0, 1, 0)))
            )/16 &lt; -0.1,
            "BEARISH",
            "NEUTRO"
        )
    )
)</f>
        <v>BULLISH</v>
      </c>
      <c r="AD32" s="332"/>
      <c r="AE32" s="332"/>
      <c r="AF32" s="332" t="str">
        <f>IF(
    AND(AH33="-", AH34="-", AH35="-", AH36="-", AH37="-", AH38="-", AH39="-", AH40="-", AH41="-", AH42="-", AH43="-", AH44="-"),
    "",
    IF(
        SUM(
            IF(AH33="-", 0, IF(AH33&lt;0, -2, IF(AH33&gt;0, 2, 0))),
            IF(AH34="-", 0, IF(AH34&lt;0, -2, IF(AH34&gt;0, 2, 0))),
            IF(AH35="-", 0, IF(AH35&lt;0, -2, IF(AH35&gt;0, 2, 0))),
            IF(AH36="-", 0, IF(AH36&lt;0, -2, IF(AH36&gt;0, 2, 0))),
            IF(AH37="-", 0, IF(AH37&lt;0, -1, IF(AH37&gt;0, 1, 0))),
            IF(AH38="-", 0, IF(AH38&lt;0, -1, IF(AH38&gt;0, 1, 0))),
            IF(AH39="-", 0, IF(AH39&lt;0, -1, IF(AH39&gt;0, 2, 0))),
            IF(AH40="-", 0, IF(AH40&lt;0, -1, IF(AH40&gt;0, 1, 0))),
            IF(AH41="-", 0, IF(AH41&lt;0, -1, IF(AH41&gt;0, 1, 0))),
            IF(AH42="-", 0, IF(AH42&lt;0, -1, IF(AH42&gt;0, 1, 0))),
            IF(AH43="-", 0, IF(AH43&lt;0, -1, IF(AH43&gt;0, 1, 0))),
            IF(AH44="-", 0, IF(AH44&lt;0, -1, IF(AH44&gt;0, 1, 0)))
        )/16 &gt; 0.1,
        "BULLISH",
        IF(
            SUM(
                IF(AH33="-", 0, IF(AH33&lt;0, -2, IF(AH33&gt;0, 2, 0))),
                IF(AH34="-", 0, IF(AH34&lt;0, -2, IF(AH34&gt;0, 2, 0))),
                IF(AH35="-", 0, IF(AH35&lt;0, -2, IF(AH35&gt;0, 2, 0))),
                IF(AH36="-", 0, IF(AH36&lt;0, -2, IF(AH36&gt;0, 2, 0))),
                IF(AH37="-", 0, IF(AH37&lt;0, -1, IF(AH37&gt;0, 1, 0))),
                IF(AH38="-", 0, IF(AH38&lt;0, -1, IF(AH38&gt;0, 1, 0))),
                IF(AH39="-", 0, IF(AH39&lt;0, -1, IF(AH39&gt;0, 2, 0))),
                IF(AH40="-", 0, IF(AH40&lt;0, -1, IF(AH40&gt;0, 1, 0))),
                IF(AH41="-", 0, IF(AH41&lt;0, -1, IF(AH41&gt;0, 1, 0))),
                IF(AH42="-", 0, IF(AH42&lt;0, -1, IF(AH42&gt;0, 1, 0))),
                IF(AH43="-", 0, IF(AH43&lt;0, -1, IF(AH43&gt;0, 1, 0))),
                IF(AH44="-", 0, IF(AH44&lt;0, -1, IF(AH44&gt;0, 1, 0)))
            )/16 &lt; -0.1,
            "BEARISH",
            "NEUTRO"
        )
    )
)</f>
        <v>BEARISH</v>
      </c>
      <c r="AG32" s="332"/>
      <c r="AH32" s="332"/>
      <c r="AI32" s="332" t="str">
        <f>IF(
    AND(AK33="-", AK34="-", AK35="-", AK36="-", AK37="-", AK38="-", AK39="-", AK40="-", AK41="-", AK42="-", AK43="-", AK44="-"),
    "",
    IF(
        SUM(
            IF(AK33="-", 0, IF(AK33&lt;0, -2, IF(AK33&gt;0, 2, 0))),
            IF(AK34="-", 0, IF(AK34&lt;0, -2, IF(AK34&gt;0, 2, 0))),
            IF(AK35="-", 0, IF(AK35&lt;0, -2, IF(AK35&gt;0, 2, 0))),
            IF(AK36="-", 0, IF(AK36&lt;0, -2, IF(AK36&gt;0, 2, 0))),
            IF(AK37="-", 0, IF(AK37&lt;0, -1, IF(AK37&gt;0, 1, 0))),
            IF(AK38="-", 0, IF(AK38&lt;0, -1, IF(AK38&gt;0, 1, 0))),
            IF(AK39="-", 0, IF(AK39&lt;0, -1, IF(AK39&gt;0, 2, 0))),
            IF(AK40="-", 0, IF(AK40&lt;0, -1, IF(AK40&gt;0, 1, 0))),
            IF(AK41="-", 0, IF(AK41&lt;0, -1, IF(AK41&gt;0, 1, 0))),
            IF(AK42="-", 0, IF(AK42&lt;0, -1, IF(AK42&gt;0, 1, 0))),
            IF(AK43="-", 0, IF(AK43&lt;0, -1, IF(AK43&gt;0, 1, 0))),
            IF(AK44="-", 0, IF(AK44&lt;0, -1, IF(AK44&gt;0, 1, 0)))
        )/16 &gt; 0.1,
        "BULLISH",
        IF(
            SUM(
                IF(AK33="-", 0, IF(AK33&lt;0, -2, IF(AK33&gt;0, 2, 0))),
                IF(AK34="-", 0, IF(AK34&lt;0, -2, IF(AK34&gt;0, 2, 0))),
                IF(AK35="-", 0, IF(AK35&lt;0, -2, IF(AK35&gt;0, 2, 0))),
                IF(AK36="-", 0, IF(AK36&lt;0, -2, IF(AK36&gt;0, 2, 0))),
                IF(AK37="-", 0, IF(AK37&lt;0, -1, IF(AK37&gt;0, 1, 0))),
                IF(AK38="-", 0, IF(AK38&lt;0, -1, IF(AK38&gt;0, 1, 0))),
                IF(AK39="-", 0, IF(AK39&lt;0, -1, IF(AK39&gt;0, 2, 0))),
                IF(AK40="-", 0, IF(AK40&lt;0, -1, IF(AK40&gt;0, 1, 0))),
                IF(AK41="-", 0, IF(AK41&lt;0, -1, IF(AK41&gt;0, 1, 0))),
                IF(AK42="-", 0, IF(AK42&lt;0, -1, IF(AK42&gt;0, 1, 0))),
                IF(AK43="-", 0, IF(AK43&lt;0, -1, IF(AK43&gt;0, 1, 0))),
                IF(AK44="-", 0, IF(AK44&lt;0, -1, IF(AK44&gt;0, 1, 0)))
            )/16 &lt; -0.1,
            "BEARISH",
            "NEUTRO"
        )
    )
)</f>
        <v>BULLISH</v>
      </c>
      <c r="AJ32" s="332"/>
      <c r="AK32" s="332"/>
      <c r="AL32" s="332" t="str">
        <f>IF(
    AND(AN33="-", AN34="-", AN35="-", AN36="-", AN37="-", AN38="-", AN39="-", AN40="-", AN41="-", AN42="-", AN43="-", AN44="-"),
    "",
    IF(
        SUM(
            IF(AN33="-", 0, IF(AN33&lt;0, -2, IF(AN33&gt;0, 2, 0))),
            IF(AN34="-", 0, IF(AN34&lt;0, -2, IF(AN34&gt;0, 2, 0))),
            IF(AN35="-", 0, IF(AN35&lt;0, -2, IF(AN35&gt;0, 2, 0))),
            IF(AN36="-", 0, IF(AN36&lt;0, -2, IF(AN36&gt;0, 2, 0))),
            IF(AN37="-", 0, IF(AN37&lt;0, -1, IF(AN37&gt;0, 1, 0))),
            IF(AN38="-", 0, IF(AN38&lt;0, -1, IF(AN38&gt;0, 1, 0))),
            IF(AN39="-", 0, IF(AN39&lt;0, -1, IF(AN39&gt;0, 2, 0))),
            IF(AN40="-", 0, IF(AN40&lt;0, -1, IF(AN40&gt;0, 1, 0))),
            IF(AN41="-", 0, IF(AN41&lt;0, -1, IF(AN41&gt;0, 1, 0))),
            IF(AN42="-", 0, IF(AN42&lt;0, -1, IF(AN42&gt;0, 1, 0))),
            IF(AN43="-", 0, IF(AN43&lt;0, -1, IF(AN43&gt;0, 1, 0))),
            IF(AN44="-", 0, IF(AN44&lt;0, -1, IF(AN44&gt;0, 1, 0)))
        )/16 &gt; 0.1,
        "BULLISH",
        IF(
            SUM(
                IF(AN33="-", 0, IF(AN33&lt;0, -2, IF(AN33&gt;0, 2, 0))),
                IF(AN34="-", 0, IF(AN34&lt;0, -2, IF(AN34&gt;0, 2, 0))),
                IF(AN35="-", 0, IF(AN35&lt;0, -2, IF(AN35&gt;0, 2, 0))),
                IF(AN36="-", 0, IF(AN36&lt;0, -2, IF(AN36&gt;0, 2, 0))),
                IF(AN37="-", 0, IF(AN37&lt;0, -1, IF(AN37&gt;0, 1, 0))),
                IF(AN38="-", 0, IF(AN38&lt;0, -1, IF(AN38&gt;0, 1, 0))),
                IF(AN39="-", 0, IF(AN39&lt;0, -1, IF(AN39&gt;0, 2, 0))),
                IF(AN40="-", 0, IF(AN40&lt;0, -1, IF(AN40&gt;0, 1, 0))),
                IF(AN41="-", 0, IF(AN41&lt;0, -1, IF(AN41&gt;0, 1, 0))),
                IF(AN42="-", 0, IF(AN42&lt;0, -1, IF(AN42&gt;0, 1, 0))),
                IF(AN43="-", 0, IF(AN43&lt;0, -1, IF(AN43&gt;0, 1, 0))),
                IF(AN44="-", 0, IF(AN44&lt;0, -1, IF(AN44&gt;0, 1, 0)))
            )/16 &lt; -0.1,
            "BEARISH",
            "NEUTRO"
        )
    )
)</f>
        <v>BEARISH</v>
      </c>
      <c r="AM32" s="332"/>
      <c r="AN32" s="332"/>
      <c r="AO32" s="332" t="str">
        <f>IF(
    AND(AQ33="-", AQ34="-", AQ35="-", AQ36="-", AQ37="-", AQ38="-", AQ39="-", AQ40="-", AQ41="-", AQ42="-", AQ43="-", AQ44="-"),
    "",
    IF(
        SUM(
            IF(AQ33="-", 0, IF(AQ33&lt;0, -2, IF(AQ33&gt;0, 2, 0))),
            IF(AQ34="-", 0, IF(AQ34&lt;0, -2, IF(AQ34&gt;0, 2, 0))),
            IF(AQ35="-", 0, IF(AQ35&lt;0, -2, IF(AQ35&gt;0, 2, 0))),
            IF(AQ36="-", 0, IF(AQ36&lt;0, -2, IF(AQ36&gt;0, 2, 0))),
            IF(AQ37="-", 0, IF(AQ37&lt;0, -1, IF(AQ37&gt;0, 1, 0))),
            IF(AQ38="-", 0, IF(AQ38&lt;0, -1, IF(AQ38&gt;0, 1, 0))),
            IF(AQ39="-", 0, IF(AQ39&lt;0, -1, IF(AQ39&gt;0, 2, 0))),
            IF(AQ40="-", 0, IF(AQ40&lt;0, -1, IF(AQ40&gt;0, 1, 0))),
            IF(AQ41="-", 0, IF(AQ41&lt;0, -1, IF(AQ41&gt;0, 1, 0))),
            IF(AQ42="-", 0, IF(AQ42&lt;0, -1, IF(AQ42&gt;0, 1, 0))),
            IF(AQ43="-", 0, IF(AQ43&lt;0, -1, IF(AQ43&gt;0, 1, 0))),
            IF(AQ44="-", 0, IF(AQ44&lt;0, -1, IF(AQ44&gt;0, 1, 0)))
        )/16 &gt; 0.1,
        "BULLISH",
        IF(
            SUM(
                IF(AQ33="-", 0, IF(AQ33&lt;0, -2, IF(AQ33&gt;0, 2, 0))),
                IF(AQ34="-", 0, IF(AQ34&lt;0, -2, IF(AQ34&gt;0, 2, 0))),
                IF(AQ35="-", 0, IF(AQ35&lt;0, -2, IF(AQ35&gt;0, 2, 0))),
                IF(AQ36="-", 0, IF(AQ36&lt;0, -2, IF(AQ36&gt;0, 2, 0))),
                IF(AQ37="-", 0, IF(AQ37&lt;0, -1, IF(AQ37&gt;0, 1, 0))),
                IF(AQ38="-", 0, IF(AQ38&lt;0, -1, IF(AQ38&gt;0, 1, 0))),
                IF(AQ39="-", 0, IF(AQ39&lt;0, -1, IF(AQ39&gt;0, 2, 0))),
                IF(AQ40="-", 0, IF(AQ40&lt;0, -1, IF(AQ40&gt;0, 1, 0))),
                IF(AQ41="-", 0, IF(AQ41&lt;0, -1, IF(AQ41&gt;0, 1, 0))),
                IF(AQ42="-", 0, IF(AQ42&lt;0, -1, IF(AQ42&gt;0, 1, 0))),
                IF(AQ43="-", 0, IF(AQ43&lt;0, -1, IF(AQ43&gt;0, 1, 0))),
                IF(AQ44="-", 0, IF(AQ44&lt;0, -1, IF(AQ44&gt;0, 1, 0)))
            )/16 &lt; -0.1,
            "BEARISH",
            "NEUTRO"
        )
    )
)</f>
        <v>BULLISH</v>
      </c>
      <c r="AP32" s="332"/>
      <c r="AQ32" s="332"/>
      <c r="AR32" s="332" t="str">
        <f>IF(
    AND(AT33="-", AT34="-", AT35="-", AT36="-", AT37="-", AT38="-", AT39="-", AT40="-", AT41="-", AT42="-", AT43="-", AT44="-"),
    "",
    IF(
        SUM(
            IF(AT33="-", 0, IF(AT33&lt;0, -2, IF(AT33&gt;0, 2, 0))),
            IF(AT34="-", 0, IF(AT34&lt;0, -2, IF(AT34&gt;0, 2, 0))),
            IF(AT35="-", 0, IF(AT35&lt;0, -2, IF(AT35&gt;0, 2, 0))),
            IF(AT36="-", 0, IF(AT36&lt;0, -2, IF(AT36&gt;0, 2, 0))),
            IF(AT37="-", 0, IF(AT37&lt;0, -1, IF(AT37&gt;0, 1, 0))),
            IF(AT38="-", 0, IF(AT38&lt;0, -1, IF(AT38&gt;0, 1, 0))),
            IF(AT39="-", 0, IF(AT39&lt;0, -1, IF(AT39&gt;0, 2, 0))),
            IF(AT40="-", 0, IF(AT40&lt;0, -1, IF(AT40&gt;0, 1, 0))),
            IF(AT41="-", 0, IF(AT41&lt;0, -1, IF(AT41&gt;0, 1, 0))),
            IF(AT42="-", 0, IF(AT42&lt;0, -1, IF(AT42&gt;0, 1, 0))),
            IF(AT43="-", 0, IF(AT43&lt;0, -1, IF(AT43&gt;0, 1, 0))),
            IF(AT44="-", 0, IF(AT44&lt;0, -1, IF(AT44&gt;0, 1, 0)))
        )/16 &gt; 0.1,
        "BULLISH",
        IF(
            SUM(
                IF(AT33="-", 0, IF(AT33&lt;0, -2, IF(AT33&gt;0, 2, 0))),
                IF(AT34="-", 0, IF(AT34&lt;0, -2, IF(AT34&gt;0, 2, 0))),
                IF(AT35="-", 0, IF(AT35&lt;0, -2, IF(AT35&gt;0, 2, 0))),
                IF(AT36="-", 0, IF(AT36&lt;0, -2, IF(AT36&gt;0, 2, 0))),
                IF(AT37="-", 0, IF(AT37&lt;0, -1, IF(AT37&gt;0, 1, 0))),
                IF(AT38="-", 0, IF(AT38&lt;0, -1, IF(AT38&gt;0, 1, 0))),
                IF(AT39="-", 0, IF(AT39&lt;0, -1, IF(AT39&gt;0, 2, 0))),
                IF(AT40="-", 0, IF(AT40&lt;0, -1, IF(AT40&gt;0, 1, 0))),
                IF(AT41="-", 0, IF(AT41&lt;0, -1, IF(AT41&gt;0, 1, 0))),
                IF(AT42="-", 0, IF(AT42&lt;0, -1, IF(AT42&gt;0, 1, 0))),
                IF(AT43="-", 0, IF(AT43&lt;0, -1, IF(AT43&gt;0, 1, 0))),
                IF(AT44="-", 0, IF(AT44&lt;0, -1, IF(AT44&gt;0, 1, 0)))
            )/16 &lt; -0.1,
            "BEARISH",
            "NEUTRO"
        )
    )
)</f>
        <v>BULLISH</v>
      </c>
      <c r="AS32" s="332"/>
      <c r="AT32" s="332"/>
      <c r="AU32" s="332" t="str">
        <f>IF(
    AND(AW33="-", AW34="-", AW35="-", AW36="-", AW37="-", AW38="-", AW39="-", AW40="-", AW41="-", AW42="-", AW43="-", AW44="-"),
    "",
    IF(
        SUM(
            IF(AW33="-", 0, IF(AW33&lt;0, -2, IF(AW33&gt;0, 2, 0))),
            IF(AW34="-", 0, IF(AW34&lt;0, -2, IF(AW34&gt;0, 2, 0))),
            IF(AW35="-", 0, IF(AW35&lt;0, -2, IF(AW35&gt;0, 2, 0))),
            IF(AW36="-", 0, IF(AW36&lt;0, -2, IF(AW36&gt;0, 2, 0))),
            IF(AW37="-", 0, IF(AW37&lt;0, -1, IF(AW37&gt;0, 1, 0))),
            IF(AW38="-", 0, IF(AW38&lt;0, -1, IF(AW38&gt;0, 1, 0))),
            IF(AW39="-", 0, IF(AW39&lt;0, -1, IF(AW39&gt;0, 2, 0))),
            IF(AW40="-", 0, IF(AW40&lt;0, -1, IF(AW40&gt;0, 1, 0))),
            IF(AW41="-", 0, IF(AW41&lt;0, -1, IF(AW41&gt;0, 1, 0))),
            IF(AW42="-", 0, IF(AW42&lt;0, -1, IF(AW42&gt;0, 1, 0))),
            IF(AW43="-", 0, IF(AW43&lt;0, -1, IF(AW43&gt;0, 1, 0))),
            IF(AW44="-", 0, IF(AW44&lt;0, -1, IF(AW44&gt;0, 1, 0)))
        )/16 &gt; 0.1,
        "BULLISH",
        IF(
            SUM(
                IF(AW33="-", 0, IF(AW33&lt;0, -2, IF(AW33&gt;0, 2, 0))),
                IF(AW34="-", 0, IF(AW34&lt;0, -2, IF(AW34&gt;0, 2, 0))),
                IF(AW35="-", 0, IF(AW35&lt;0, -2, IF(AW35&gt;0, 2, 0))),
                IF(AW36="-", 0, IF(AW36&lt;0, -2, IF(AW36&gt;0, 2, 0))),
                IF(AW37="-", 0, IF(AW37&lt;0, -1, IF(AW37&gt;0, 1, 0))),
                IF(AW38="-", 0, IF(AW38&lt;0, -1, IF(AW38&gt;0, 1, 0))),
                IF(AW39="-", 0, IF(AW39&lt;0, -1, IF(AW39&gt;0, 2, 0))),
                IF(AW40="-", 0, IF(AW40&lt;0, -1, IF(AW40&gt;0, 1, 0))),
                IF(AW41="-", 0, IF(AW41&lt;0, -1, IF(AW41&gt;0, 1, 0))),
                IF(AW42="-", 0, IF(AW42&lt;0, -1, IF(AW42&gt;0, 1, 0))),
                IF(AW43="-", 0, IF(AW43&lt;0, -1, IF(AW43&gt;0, 1, 0))),
                IF(AW44="-", 0, IF(AW44&lt;0, -1, IF(AW44&gt;0, 1, 0)))
            )/16 &lt; -0.1,
            "BEARISH",
            "NEUTRO"
        )
    )
)</f>
        <v>BEARISH</v>
      </c>
      <c r="AV32" s="332"/>
      <c r="AW32" s="332"/>
    </row>
    <row r="33" spans="1:49" s="293" customFormat="1" x14ac:dyDescent="0.25">
      <c r="A33" s="289" t="s">
        <v>30</v>
      </c>
      <c r="B33" s="291"/>
      <c r="C33" s="291"/>
      <c r="D33" s="313" t="str">
        <f>IF(ISBLANK(B33),"-",C33-B33)</f>
        <v>-</v>
      </c>
      <c r="E33" s="291"/>
      <c r="F33" s="291"/>
      <c r="G33" s="313" t="str">
        <f>IF(ISBLANK(E33),"-",F33-E33)</f>
        <v>-</v>
      </c>
      <c r="H33" s="290">
        <v>0</v>
      </c>
      <c r="I33" s="290">
        <v>3</v>
      </c>
      <c r="J33" s="313">
        <f>IF(ISBLANK(H33),"-",I33-H33)</f>
        <v>3</v>
      </c>
      <c r="K33" s="291">
        <v>-4</v>
      </c>
      <c r="L33" s="291">
        <v>6</v>
      </c>
      <c r="M33" s="313">
        <f>IF(ISBLANK(K33),"-",L33-K33)</f>
        <v>10</v>
      </c>
      <c r="N33" s="291">
        <v>14</v>
      </c>
      <c r="O33" s="291">
        <v>-7</v>
      </c>
      <c r="P33" s="313">
        <f>IF(ISBLANK(N33),"-",O33-N33)</f>
        <v>-21</v>
      </c>
      <c r="Q33" s="291">
        <v>-9</v>
      </c>
      <c r="R33" s="291">
        <v>10</v>
      </c>
      <c r="S33" s="313">
        <f>IF(ISBLANK(Q33),"-",R33-Q33)</f>
        <v>19</v>
      </c>
      <c r="T33" s="291">
        <v>11</v>
      </c>
      <c r="U33" s="291">
        <v>33</v>
      </c>
      <c r="V33" s="313">
        <f>IF(ISBLANK(T33),"-",U33-T33)</f>
        <v>22</v>
      </c>
      <c r="W33" s="291">
        <v>34</v>
      </c>
      <c r="X33" s="291">
        <v>25</v>
      </c>
      <c r="Y33" s="313">
        <f>IF(ISBLANK(W33),"-",X33-W33)</f>
        <v>-9</v>
      </c>
      <c r="Z33" s="291">
        <v>26</v>
      </c>
      <c r="AA33" s="291">
        <v>9</v>
      </c>
      <c r="AB33" s="313">
        <f>IF(ISBLANK(Z33),"-",AA33-Z33)</f>
        <v>-17</v>
      </c>
      <c r="AC33" s="291">
        <v>5</v>
      </c>
      <c r="AD33" s="291">
        <v>11</v>
      </c>
      <c r="AE33" s="313">
        <f>IF(ISBLANK(AC33),"-",AD33-AC33)</f>
        <v>6</v>
      </c>
      <c r="AF33" s="291">
        <v>10</v>
      </c>
      <c r="AG33" s="291">
        <v>6</v>
      </c>
      <c r="AH33" s="313">
        <f>IF(ISBLANK(AF33),"-",AG33-AF33)</f>
        <v>-4</v>
      </c>
      <c r="AI33" s="291">
        <v>7</v>
      </c>
      <c r="AJ33" s="291">
        <v>19</v>
      </c>
      <c r="AK33" s="313">
        <f>IF(ISBLANK(AI33),"-",AJ33-AI33)</f>
        <v>12</v>
      </c>
      <c r="AL33" s="291">
        <v>17</v>
      </c>
      <c r="AM33" s="291">
        <v>4</v>
      </c>
      <c r="AN33" s="313">
        <f>IF(ISBLANK(AL33),"-",AM33-AL33)</f>
        <v>-13</v>
      </c>
      <c r="AO33" s="291">
        <v>2</v>
      </c>
      <c r="AP33" s="291">
        <v>17</v>
      </c>
      <c r="AQ33" s="313">
        <f>IF(ISBLANK(AO33),"-",AP33-AO33)</f>
        <v>15</v>
      </c>
      <c r="AR33" s="291">
        <v>19</v>
      </c>
      <c r="AS33" s="291">
        <v>25</v>
      </c>
      <c r="AT33" s="313">
        <f>IF(ISBLANK(AR33),"-",AS33-AR33)</f>
        <v>6</v>
      </c>
      <c r="AU33" s="291">
        <v>10</v>
      </c>
      <c r="AV33" s="291">
        <v>6</v>
      </c>
      <c r="AW33" s="313">
        <f>IF(ISBLANK(AU33),"-",AV33-AU33)</f>
        <v>-4</v>
      </c>
    </row>
    <row r="34" spans="1:49" s="252" customFormat="1" x14ac:dyDescent="0.25">
      <c r="A34" s="262" t="s">
        <v>31</v>
      </c>
      <c r="B34" s="264"/>
      <c r="C34" s="264"/>
      <c r="D34" s="212" t="str">
        <f>IF(ISBLANK(B34),"-",B34-C34)</f>
        <v>-</v>
      </c>
      <c r="E34" s="264"/>
      <c r="F34" s="264"/>
      <c r="G34" s="212" t="str">
        <f>IF(ISBLANK(E34),"-",E34-F34)</f>
        <v>-</v>
      </c>
      <c r="H34" s="265"/>
      <c r="I34" s="265"/>
      <c r="J34" s="212" t="str">
        <f>IF(ISBLANK(H34),"-",H34-I34)</f>
        <v>-</v>
      </c>
      <c r="K34" s="285">
        <v>-1E-3</v>
      </c>
      <c r="L34" s="264">
        <v>0</v>
      </c>
      <c r="M34" s="212">
        <f>IF(ISBLANK(K34),"-",K34-L34)</f>
        <v>-1E-3</v>
      </c>
      <c r="N34" s="264"/>
      <c r="O34" s="264"/>
      <c r="P34" s="212" t="str">
        <f>IF(ISBLANK(N34),"-",N34-O34)</f>
        <v>-</v>
      </c>
      <c r="Q34" s="263">
        <v>1E-3</v>
      </c>
      <c r="R34" s="263">
        <v>2E-3</v>
      </c>
      <c r="S34" s="212">
        <f>IF(ISBLANK(Q34),"-",Q34-R34)</f>
        <v>-1E-3</v>
      </c>
      <c r="T34" s="264"/>
      <c r="U34" s="264"/>
      <c r="V34" s="212" t="str">
        <f>IF(ISBLANK(T34),"-",T34-U34)</f>
        <v>-</v>
      </c>
      <c r="W34" s="263">
        <v>3.0000000000000001E-3</v>
      </c>
      <c r="X34" s="263">
        <v>1E-3</v>
      </c>
      <c r="Y34" s="212">
        <f>IF(ISBLANK(W34),"-",W34-X34)</f>
        <v>2E-3</v>
      </c>
      <c r="Z34" s="264"/>
      <c r="AA34" s="264"/>
      <c r="AB34" s="212" t="str">
        <f>IF(ISBLANK(Z34),"-",Z34-AA34)</f>
        <v>-</v>
      </c>
      <c r="AC34" s="263">
        <v>1E-3</v>
      </c>
      <c r="AD34" s="263">
        <v>2E-3</v>
      </c>
      <c r="AE34" s="212">
        <f>IF(ISBLANK(AC34),"-",AC34-AD34)</f>
        <v>-1E-3</v>
      </c>
      <c r="AF34" s="264"/>
      <c r="AG34" s="264"/>
      <c r="AH34" s="212" t="str">
        <f>IF(ISBLANK(AF34),"-",AF34-AG34)</f>
        <v>-</v>
      </c>
      <c r="AI34" s="263">
        <v>2E-3</v>
      </c>
      <c r="AJ34" s="263">
        <v>2E-3</v>
      </c>
      <c r="AK34" s="212">
        <f>IF(ISBLANK(AI34),"-",AI34-AJ34)</f>
        <v>0</v>
      </c>
      <c r="AL34" s="264"/>
      <c r="AM34" s="264"/>
      <c r="AN34" s="212" t="str">
        <f>IF(ISBLANK(AL34),"-",AL34-AM34)</f>
        <v>-</v>
      </c>
      <c r="AO34" s="263">
        <v>2E-3</v>
      </c>
      <c r="AP34" s="263">
        <v>3.0000000000000001E-3</v>
      </c>
      <c r="AQ34" s="212">
        <f>IF(ISBLANK(AO34),"-",AO34-AP34)</f>
        <v>-1E-3</v>
      </c>
      <c r="AR34" s="264"/>
      <c r="AS34" s="264"/>
      <c r="AT34" s="212" t="str">
        <f>IF(ISBLANK(AR34),"-",AR34-AS34)</f>
        <v>-</v>
      </c>
      <c r="AU34" s="264"/>
      <c r="AV34" s="264"/>
      <c r="AW34" s="212" t="str">
        <f>IF(ISBLANK(AU34),"-",AU34-AV34)</f>
        <v>-</v>
      </c>
    </row>
    <row r="35" spans="1:49" s="252" customFormat="1" x14ac:dyDescent="0.25">
      <c r="A35" s="262" t="s">
        <v>32</v>
      </c>
      <c r="B35" s="264"/>
      <c r="C35" s="264"/>
      <c r="D35" s="212" t="str">
        <f>IF(ISBLANK(B35),"-",B35-C35)</f>
        <v>-</v>
      </c>
      <c r="E35" s="264"/>
      <c r="F35" s="264"/>
      <c r="G35" s="212" t="str">
        <f>IF(ISBLANK(E35),"-",E35-F35)</f>
        <v>-</v>
      </c>
      <c r="H35" s="265"/>
      <c r="I35" s="265"/>
      <c r="J35" s="212" t="str">
        <f>IF(ISBLANK(H35),"-",H35-I35)</f>
        <v>-</v>
      </c>
      <c r="K35" s="264">
        <v>0</v>
      </c>
      <c r="L35" s="264">
        <v>0</v>
      </c>
      <c r="M35" s="212">
        <f>IF(ISBLANK(K35),"-",K35-L35)</f>
        <v>0</v>
      </c>
      <c r="N35" s="264"/>
      <c r="O35" s="264"/>
      <c r="P35" s="212" t="str">
        <f>IF(ISBLANK(N35),"-",N35-O35)</f>
        <v>-</v>
      </c>
      <c r="Q35" s="263">
        <v>1E-3</v>
      </c>
      <c r="R35" s="263">
        <v>1E-3</v>
      </c>
      <c r="S35" s="212">
        <f>IF(ISBLANK(Q35),"-",Q35-R35)</f>
        <v>0</v>
      </c>
      <c r="T35" s="263">
        <v>2E-3</v>
      </c>
      <c r="U35" s="263">
        <v>3.0000000000000001E-3</v>
      </c>
      <c r="V35" s="212">
        <f>IF(ISBLANK(T35),"-",T35-U35)</f>
        <v>-1E-3</v>
      </c>
      <c r="W35" s="264"/>
      <c r="X35" s="264"/>
      <c r="Y35" s="212" t="str">
        <f>IF(ISBLANK(W35),"-",W35-X35)</f>
        <v>-</v>
      </c>
      <c r="Z35" s="263">
        <v>1E-3</v>
      </c>
      <c r="AA35" s="263">
        <v>1E-3</v>
      </c>
      <c r="AB35" s="212">
        <f>IF(ISBLANK(Z35),"-",Z35-AA35)</f>
        <v>0</v>
      </c>
      <c r="AC35" s="264"/>
      <c r="AD35" s="264"/>
      <c r="AE35" s="212" t="str">
        <f>IF(ISBLANK(AC35),"-",AC35-AD35)</f>
        <v>-</v>
      </c>
      <c r="AF35" s="264"/>
      <c r="AG35" s="264"/>
      <c r="AH35" s="212" t="str">
        <f>IF(ISBLANK(AF35),"-",AF35-AG35)</f>
        <v>-</v>
      </c>
      <c r="AI35" s="263">
        <v>2E-3</v>
      </c>
      <c r="AJ35" s="263">
        <v>2E-3</v>
      </c>
      <c r="AK35" s="212">
        <f>IF(ISBLANK(AI35),"-",AI35-AJ35)</f>
        <v>0</v>
      </c>
      <c r="AL35" s="264"/>
      <c r="AM35" s="264"/>
      <c r="AN35" s="212" t="str">
        <f>IF(ISBLANK(AL35),"-",AL35-AM35)</f>
        <v>-</v>
      </c>
      <c r="AO35" s="263">
        <v>2E-3</v>
      </c>
      <c r="AP35" s="263">
        <v>2E-3</v>
      </c>
      <c r="AQ35" s="212">
        <f>IF(ISBLANK(AO35),"-",AO35-AP35)</f>
        <v>0</v>
      </c>
      <c r="AR35" s="263">
        <v>3.0000000000000001E-3</v>
      </c>
      <c r="AS35" s="263">
        <v>3.0000000000000001E-3</v>
      </c>
      <c r="AT35" s="212">
        <f>IF(ISBLANK(AR35),"-",AR35-AS35)</f>
        <v>0</v>
      </c>
      <c r="AU35" s="264"/>
      <c r="AV35" s="264"/>
      <c r="AW35" s="212" t="str">
        <f>IF(ISBLANK(AU35),"-",AU35-AV35)</f>
        <v>-</v>
      </c>
    </row>
    <row r="36" spans="1:49" s="252" customFormat="1" x14ac:dyDescent="0.25">
      <c r="A36" s="262" t="s">
        <v>33</v>
      </c>
      <c r="B36" s="264"/>
      <c r="C36" s="264"/>
      <c r="D36" s="278" t="str">
        <f>IF(ISBLANK(B36),"-",C36-B36)</f>
        <v>-</v>
      </c>
      <c r="E36" s="264"/>
      <c r="F36" s="264"/>
      <c r="G36" s="278" t="str">
        <f>IF(ISBLANK(E36),"-",F36-E36)</f>
        <v>-</v>
      </c>
      <c r="H36" s="265">
        <v>6.2E-2</v>
      </c>
      <c r="I36" s="265">
        <v>6.3E-2</v>
      </c>
      <c r="J36" s="278">
        <f>IF(ISBLANK(H36),"-",I36-H36)</f>
        <v>1.0000000000000009E-3</v>
      </c>
      <c r="K36" s="264">
        <v>0</v>
      </c>
      <c r="L36" s="264">
        <v>0</v>
      </c>
      <c r="M36" s="278">
        <f>IF(ISBLANK(K36),"-",L36-K36)</f>
        <v>0</v>
      </c>
      <c r="N36" s="263">
        <v>6.3E-2</v>
      </c>
      <c r="O36" s="263">
        <v>6.2E-2</v>
      </c>
      <c r="P36" s="278">
        <f>IF(ISBLANK(N36),"-",O36-N36)</f>
        <v>-1.0000000000000009E-3</v>
      </c>
      <c r="Q36" s="263">
        <v>6.2E-2</v>
      </c>
      <c r="R36" s="263">
        <v>6.3E-2</v>
      </c>
      <c r="S36" s="278">
        <f>IF(ISBLANK(Q36),"-",R36-Q36)</f>
        <v>1.0000000000000009E-3</v>
      </c>
      <c r="T36" s="263">
        <v>6.3E-2</v>
      </c>
      <c r="U36" s="263">
        <v>6.2E-2</v>
      </c>
      <c r="V36" s="278">
        <f>IF(ISBLANK(T36),"-",U36-T36)</f>
        <v>-1.0000000000000009E-3</v>
      </c>
      <c r="W36" s="263">
        <v>6.2E-2</v>
      </c>
      <c r="X36" s="263">
        <v>6.3E-2</v>
      </c>
      <c r="Y36" s="278">
        <f>IF(ISBLANK(W36),"-",X36-W36)</f>
        <v>1.0000000000000009E-3</v>
      </c>
      <c r="Z36" s="263">
        <v>6.0999999999999999E-2</v>
      </c>
      <c r="AA36" s="263">
        <v>6.2E-2</v>
      </c>
      <c r="AB36" s="278">
        <f>IF(ISBLANK(Z36),"-",AA36-Z36)</f>
        <v>1.0000000000000009E-3</v>
      </c>
      <c r="AC36" s="263">
        <v>6.2E-2</v>
      </c>
      <c r="AD36" s="263">
        <v>6.3E-2</v>
      </c>
      <c r="AE36" s="278">
        <f>IF(ISBLANK(AC36),"-",AD36-AC36)</f>
        <v>1.0000000000000009E-3</v>
      </c>
      <c r="AF36" s="263">
        <v>6.3E-2</v>
      </c>
      <c r="AG36" s="263">
        <v>6.3E-2</v>
      </c>
      <c r="AH36" s="278">
        <f>IF(ISBLANK(AF36),"-",AG36-AF36)</f>
        <v>0</v>
      </c>
      <c r="AI36" s="263">
        <v>6.3E-2</v>
      </c>
      <c r="AJ36" s="263">
        <v>6.3E-2</v>
      </c>
      <c r="AK36" s="278">
        <f>IF(ISBLANK(AI36),"-",AJ36-AI36)</f>
        <v>0</v>
      </c>
      <c r="AL36" s="263">
        <v>6.4000000000000001E-2</v>
      </c>
      <c r="AM36" s="263">
        <v>6.4000000000000001E-2</v>
      </c>
      <c r="AN36" s="278">
        <f>IF(ISBLANK(AL36),"-",AM36-AL36)</f>
        <v>0</v>
      </c>
      <c r="AO36" s="263">
        <v>6.4000000000000001E-2</v>
      </c>
      <c r="AP36" s="263">
        <v>6.5000000000000002E-2</v>
      </c>
      <c r="AQ36" s="278">
        <f>IF(ISBLANK(AO36),"-",AP36-AO36)</f>
        <v>1.0000000000000009E-3</v>
      </c>
      <c r="AR36" s="263">
        <v>6.4000000000000001E-2</v>
      </c>
      <c r="AS36" s="263">
        <v>6.4000000000000001E-2</v>
      </c>
      <c r="AT36" s="278">
        <f>IF(ISBLANK(AR36),"-",AS36-AR36)</f>
        <v>0</v>
      </c>
      <c r="AU36" s="263">
        <v>6.5000000000000002E-2</v>
      </c>
      <c r="AV36" s="263">
        <v>6.5000000000000002E-2</v>
      </c>
      <c r="AW36" s="278">
        <f>IF(ISBLANK(AU36),"-",AV36-AU36)</f>
        <v>0</v>
      </c>
    </row>
    <row r="37" spans="1:49" s="252" customFormat="1" x14ac:dyDescent="0.25">
      <c r="A37" s="269" t="s">
        <v>34</v>
      </c>
      <c r="B37" s="270"/>
      <c r="C37" s="270"/>
      <c r="D37" s="226" t="str">
        <f>IF(ISBLANK(B37),"-",B37-C37)</f>
        <v>-</v>
      </c>
      <c r="E37" s="270"/>
      <c r="F37" s="270"/>
      <c r="G37" s="226" t="str">
        <f>IF(ISBLANK(E37),"-",E37-F37)</f>
        <v>-</v>
      </c>
      <c r="H37" s="271">
        <v>-1E-3</v>
      </c>
      <c r="I37" s="271">
        <v>-1E-3</v>
      </c>
      <c r="J37" s="226">
        <f>IF(ISBLANK(H37),"-",H37-I37)</f>
        <v>0</v>
      </c>
      <c r="K37" s="286">
        <v>3.0000000000000001E-3</v>
      </c>
      <c r="L37" s="270">
        <v>-3.0000000000000001E-3</v>
      </c>
      <c r="M37" s="226">
        <f>IF(ISBLANK(K37),"-",K37-L37)</f>
        <v>6.0000000000000001E-3</v>
      </c>
      <c r="N37" s="270"/>
      <c r="O37" s="270"/>
      <c r="P37" s="226" t="str">
        <f>IF(ISBLANK(N37),"-",N37-O37)</f>
        <v>-</v>
      </c>
      <c r="Q37" s="270">
        <v>0</v>
      </c>
      <c r="R37" s="272">
        <v>-1E-3</v>
      </c>
      <c r="S37" s="226">
        <f>IF(ISBLANK(Q37),"-",Q37-R37)</f>
        <v>1E-3</v>
      </c>
      <c r="T37" s="270"/>
      <c r="U37" s="270"/>
      <c r="V37" s="226" t="str">
        <f>IF(ISBLANK(T37),"-",T37-U37)</f>
        <v>-</v>
      </c>
      <c r="W37" s="270">
        <v>0</v>
      </c>
      <c r="X37" s="272">
        <v>-3.0000000000000001E-3</v>
      </c>
      <c r="Y37" s="226">
        <f>IF(ISBLANK(W37),"-",W37-X37)</f>
        <v>3.0000000000000001E-3</v>
      </c>
      <c r="Z37" s="270"/>
      <c r="AA37" s="270"/>
      <c r="AB37" s="226" t="str">
        <f>IF(ISBLANK(Z37),"-",Z37-AA37)</f>
        <v>-</v>
      </c>
      <c r="AC37" s="272">
        <v>2E-3</v>
      </c>
      <c r="AD37" s="272">
        <v>1E-3</v>
      </c>
      <c r="AE37" s="226">
        <f>IF(ISBLANK(AC37),"-",AC37-AD37)</f>
        <v>1E-3</v>
      </c>
      <c r="AF37" s="270"/>
      <c r="AG37" s="270"/>
      <c r="AH37" s="226" t="str">
        <f>IF(ISBLANK(AF37),"-",AF37-AG37)</f>
        <v>-</v>
      </c>
      <c r="AI37" s="272">
        <v>-1E-3</v>
      </c>
      <c r="AJ37" s="272">
        <v>-1E-3</v>
      </c>
      <c r="AK37" s="226">
        <f>IF(ISBLANK(AI37),"-",AI37-AJ37)</f>
        <v>0</v>
      </c>
      <c r="AL37" s="270"/>
      <c r="AM37" s="270"/>
      <c r="AN37" s="226" t="str">
        <f>IF(ISBLANK(AL37),"-",AL37-AM37)</f>
        <v>-</v>
      </c>
      <c r="AO37" s="270">
        <v>0</v>
      </c>
      <c r="AP37" s="272">
        <v>3.0000000000000001E-3</v>
      </c>
      <c r="AQ37" s="226">
        <f>IF(ISBLANK(AO37),"-",AO37-AP37)</f>
        <v>-3.0000000000000001E-3</v>
      </c>
      <c r="AR37" s="270"/>
      <c r="AS37" s="270"/>
      <c r="AT37" s="226" t="str">
        <f>IF(ISBLANK(AR37),"-",AR37-AS37)</f>
        <v>-</v>
      </c>
      <c r="AU37" s="272">
        <v>2E-3</v>
      </c>
      <c r="AV37" s="272">
        <v>-1E-3</v>
      </c>
      <c r="AW37" s="226">
        <f>IF(ISBLANK(AU37),"-",AU37-AV37)</f>
        <v>3.0000000000000001E-3</v>
      </c>
    </row>
    <row r="38" spans="1:49" s="252" customFormat="1" x14ac:dyDescent="0.25">
      <c r="A38" s="269" t="s">
        <v>35</v>
      </c>
      <c r="B38" s="270"/>
      <c r="C38" s="270"/>
      <c r="D38" s="226" t="str">
        <f>IF(ISBLANK(B38),"-",B38-C38)</f>
        <v>-</v>
      </c>
      <c r="E38" s="270"/>
      <c r="F38" s="270"/>
      <c r="G38" s="226" t="str">
        <f>IF(ISBLANK(E38),"-",E38-F38)</f>
        <v>-</v>
      </c>
      <c r="H38" s="271"/>
      <c r="I38" s="271"/>
      <c r="J38" s="226" t="str">
        <f>IF(ISBLANK(H38),"-",H38-I38)</f>
        <v>-</v>
      </c>
      <c r="K38" s="286">
        <v>-1E-3</v>
      </c>
      <c r="L38" s="270">
        <v>2E-3</v>
      </c>
      <c r="M38" s="226">
        <f>IF(ISBLANK(K38),"-",K38-L38)</f>
        <v>-3.0000000000000001E-3</v>
      </c>
      <c r="N38" s="270"/>
      <c r="O38" s="270"/>
      <c r="P38" s="226" t="str">
        <f>IF(ISBLANK(N38),"-",N38-O38)</f>
        <v>-</v>
      </c>
      <c r="Q38" s="272">
        <v>2E-3</v>
      </c>
      <c r="R38" s="270">
        <v>0</v>
      </c>
      <c r="S38" s="226">
        <f>IF(ISBLANK(Q38),"-",Q38-R38)</f>
        <v>2E-3</v>
      </c>
      <c r="T38" s="270"/>
      <c r="U38" s="270"/>
      <c r="V38" s="226" t="str">
        <f>IF(ISBLANK(T38),"-",T38-U38)</f>
        <v>-</v>
      </c>
      <c r="W38" s="272">
        <v>-1E-3</v>
      </c>
      <c r="X38" s="270">
        <v>0</v>
      </c>
      <c r="Y38" s="226">
        <f>IF(ISBLANK(W38),"-",W38-X38)</f>
        <v>-1E-3</v>
      </c>
      <c r="Z38" s="270"/>
      <c r="AA38" s="270"/>
      <c r="AB38" s="226" t="str">
        <f>IF(ISBLANK(Z38),"-",Z38-AA38)</f>
        <v>-</v>
      </c>
      <c r="AC38" s="272">
        <v>-3.0000000000000001E-3</v>
      </c>
      <c r="AD38" s="272">
        <v>-2E-3</v>
      </c>
      <c r="AE38" s="226">
        <f>IF(ISBLANK(AC38),"-",AC38-AD38)</f>
        <v>-1E-3</v>
      </c>
      <c r="AF38" s="270"/>
      <c r="AG38" s="270"/>
      <c r="AH38" s="226" t="str">
        <f>IF(ISBLANK(AF38),"-",AF38-AG38)</f>
        <v>-</v>
      </c>
      <c r="AI38" s="272">
        <v>1E-3</v>
      </c>
      <c r="AJ38" s="272">
        <v>-1E-3</v>
      </c>
      <c r="AK38" s="226">
        <f>IF(ISBLANK(AI38),"-",AI38-AJ38)</f>
        <v>2E-3</v>
      </c>
      <c r="AL38" s="270"/>
      <c r="AM38" s="270"/>
      <c r="AN38" s="226" t="str">
        <f>IF(ISBLANK(AL38),"-",AL38-AM38)</f>
        <v>-</v>
      </c>
      <c r="AO38" s="272">
        <v>-1E-3</v>
      </c>
      <c r="AP38" s="270">
        <v>0</v>
      </c>
      <c r="AQ38" s="226">
        <f>IF(ISBLANK(AO38),"-",AO38-AP38)</f>
        <v>-1E-3</v>
      </c>
      <c r="AR38" s="270"/>
      <c r="AS38" s="270"/>
      <c r="AT38" s="226" t="str">
        <f>IF(ISBLANK(AR38),"-",AR38-AS38)</f>
        <v>-</v>
      </c>
      <c r="AU38" s="270"/>
      <c r="AV38" s="270"/>
      <c r="AW38" s="226" t="str">
        <f>IF(ISBLANK(AU38),"-",AU38-AV38)</f>
        <v>-</v>
      </c>
    </row>
    <row r="39" spans="1:49" s="252" customFormat="1" x14ac:dyDescent="0.25">
      <c r="A39" s="269" t="s">
        <v>36</v>
      </c>
      <c r="B39" s="270"/>
      <c r="C39" s="270"/>
      <c r="D39" s="227" t="str">
        <f>IF(ISBLANK(B39),"-",B39-C39)</f>
        <v>-</v>
      </c>
      <c r="E39" s="270"/>
      <c r="F39" s="270"/>
      <c r="G39" s="227" t="str">
        <f>IF(ISBLANK(E39),"-",E39-F39)</f>
        <v>-</v>
      </c>
      <c r="H39" s="271">
        <v>30.4</v>
      </c>
      <c r="I39" s="271">
        <v>-16.3</v>
      </c>
      <c r="J39" s="227">
        <f>IF(ISBLANK(H39),"-",H39-I39)</f>
        <v>46.7</v>
      </c>
      <c r="K39" s="270">
        <v>-27.1</v>
      </c>
      <c r="L39" s="270">
        <v>11.800000000000004</v>
      </c>
      <c r="M39" s="227">
        <f>IF(ISBLANK(K39),"-",K39-L39)</f>
        <v>-38.900000000000006</v>
      </c>
      <c r="N39" s="270">
        <v>-4.8</v>
      </c>
      <c r="O39" s="270">
        <v>21.9</v>
      </c>
      <c r="P39" s="227">
        <f>IF(ISBLANK(N39),"-",N39-O39)</f>
        <v>-26.7</v>
      </c>
      <c r="Q39" s="270">
        <v>-1.4</v>
      </c>
      <c r="R39" s="270">
        <v>-48.9</v>
      </c>
      <c r="S39" s="227">
        <f>IF(ISBLANK(Q39),"-",Q39-R39)</f>
        <v>47.5</v>
      </c>
      <c r="T39" s="270">
        <v>-48.9</v>
      </c>
      <c r="U39" s="270">
        <v>-57.8</v>
      </c>
      <c r="V39" s="227">
        <f>IF(ISBLANK(T39),"-",T39-U39)</f>
        <v>8.8999999999999986</v>
      </c>
      <c r="W39" s="270">
        <v>-57.8</v>
      </c>
      <c r="X39" s="270">
        <v>-13.3</v>
      </c>
      <c r="Y39" s="227">
        <f>IF(ISBLANK(W39),"-",W39-X39)</f>
        <v>-44.5</v>
      </c>
      <c r="Z39" s="270">
        <v>-13.3</v>
      </c>
      <c r="AA39" s="270">
        <v>-6</v>
      </c>
      <c r="AB39" s="227">
        <f>IF(ISBLANK(Z39),"-",Z39-AA39)</f>
        <v>-7.3000000000000007</v>
      </c>
      <c r="AC39" s="270">
        <v>-6</v>
      </c>
      <c r="AD39" s="270">
        <v>-25.3</v>
      </c>
      <c r="AE39" s="227">
        <f>IF(ISBLANK(AC39),"-",AC39-AD39)</f>
        <v>19.3</v>
      </c>
      <c r="AF39" s="270">
        <v>-25.3</v>
      </c>
      <c r="AG39" s="270">
        <v>16</v>
      </c>
      <c r="AH39" s="227">
        <f>IF(ISBLANK(AF39),"-",AF39-AG39)</f>
        <v>-41.3</v>
      </c>
      <c r="AI39" s="270">
        <v>26.8</v>
      </c>
      <c r="AJ39" s="270">
        <v>3.2</v>
      </c>
      <c r="AK39" s="227">
        <f>IF(ISBLANK(AI39),"-",AI39-AJ39)</f>
        <v>23.6</v>
      </c>
      <c r="AL39" s="270">
        <v>3.2</v>
      </c>
      <c r="AM39" s="270">
        <v>21.9</v>
      </c>
      <c r="AN39" s="227">
        <f>IF(ISBLANK(AL39),"-",AL39-AM39)</f>
        <v>-18.7</v>
      </c>
      <c r="AO39" s="270">
        <v>21.9</v>
      </c>
      <c r="AP39" s="270">
        <v>-10.8</v>
      </c>
      <c r="AQ39" s="227">
        <f>IF(ISBLANK(AO39),"-",AO39-AP39)</f>
        <v>32.700000000000003</v>
      </c>
      <c r="AR39" s="270">
        <v>-46.9</v>
      </c>
      <c r="AS39" s="270">
        <v>-58.7</v>
      </c>
      <c r="AT39" s="227">
        <f>IF(ISBLANK(AR39),"-",AR39-AS39)</f>
        <v>11.800000000000004</v>
      </c>
      <c r="AU39" s="270">
        <v>-60.5</v>
      </c>
      <c r="AV39" s="270">
        <v>-33.4</v>
      </c>
      <c r="AW39" s="227">
        <f>IF(ISBLANK(AU39),"-",AU39-AV39)</f>
        <v>-27.1</v>
      </c>
    </row>
    <row r="40" spans="1:49" s="252" customFormat="1" x14ac:dyDescent="0.25">
      <c r="A40" s="269" t="s">
        <v>37</v>
      </c>
      <c r="B40" s="270"/>
      <c r="C40" s="270"/>
      <c r="D40" s="279" t="str">
        <f>IF(ISBLANK(B40),"-",C40-B40)</f>
        <v>-</v>
      </c>
      <c r="E40" s="270"/>
      <c r="F40" s="270"/>
      <c r="G40" s="279" t="str">
        <f>IF(ISBLANK(E40),"-",F40-E40)</f>
        <v>-</v>
      </c>
      <c r="H40" s="271">
        <v>9.9000000000000005E-2</v>
      </c>
      <c r="I40" s="271">
        <v>0.105</v>
      </c>
      <c r="J40" s="279">
        <f>IF(ISBLANK(H40),"-",I40-H40)</f>
        <v>5.9999999999999915E-3</v>
      </c>
      <c r="K40" s="270">
        <v>-5.0000000000000044E-3</v>
      </c>
      <c r="L40" s="270">
        <v>9.999999999999995E-3</v>
      </c>
      <c r="M40" s="279">
        <f>IF(ISBLANK(K40),"-",L40-K40)</f>
        <v>1.4999999999999999E-2</v>
      </c>
      <c r="N40" s="272">
        <v>0.105</v>
      </c>
      <c r="O40" s="272">
        <v>0.10299999999999999</v>
      </c>
      <c r="P40" s="279">
        <f>IF(ISBLANK(N40),"-",O40-N40)</f>
        <v>-2.0000000000000018E-3</v>
      </c>
      <c r="Q40" s="270"/>
      <c r="R40" s="270"/>
      <c r="S40" s="279" t="str">
        <f>IF(ISBLANK(Q40),"-",R40-Q40)</f>
        <v>-</v>
      </c>
      <c r="T40" s="272">
        <v>0.10299999999999999</v>
      </c>
      <c r="U40" s="272">
        <v>0.114</v>
      </c>
      <c r="V40" s="279">
        <f>IF(ISBLANK(T40),"-",U40-T40)</f>
        <v>1.100000000000001E-2</v>
      </c>
      <c r="W40" s="272">
        <v>0.114</v>
      </c>
      <c r="X40" s="272">
        <v>0.106</v>
      </c>
      <c r="Y40" s="279">
        <f>IF(ISBLANK(W40),"-",X40-W40)</f>
        <v>-8.0000000000000071E-3</v>
      </c>
      <c r="Z40" s="270"/>
      <c r="AA40" s="270"/>
      <c r="AB40" s="279" t="str">
        <f>IF(ISBLANK(Z40),"-",AA40-Z40)</f>
        <v>-</v>
      </c>
      <c r="AC40" s="270"/>
      <c r="AD40" s="270"/>
      <c r="AE40" s="279" t="str">
        <f>IF(ISBLANK(AC40),"-",AD40-AC40)</f>
        <v>-</v>
      </c>
      <c r="AF40" s="272">
        <v>0.106</v>
      </c>
      <c r="AG40" s="272">
        <v>0.112</v>
      </c>
      <c r="AH40" s="279">
        <f>IF(ISBLANK(AF40),"-",AG40-AF40)</f>
        <v>6.0000000000000053E-3</v>
      </c>
      <c r="AI40" s="272">
        <v>-0.16</v>
      </c>
      <c r="AJ40" s="272">
        <v>0.113</v>
      </c>
      <c r="AK40" s="279">
        <f>IF(ISBLANK(AI40),"-",AJ40-AI40)</f>
        <v>0.27300000000000002</v>
      </c>
      <c r="AL40" s="270"/>
      <c r="AM40" s="270"/>
      <c r="AN40" s="279" t="str">
        <f>IF(ISBLANK(AL40),"-",AM40-AL40)</f>
        <v>-</v>
      </c>
      <c r="AO40" s="272">
        <v>0.113</v>
      </c>
      <c r="AP40" s="272">
        <v>0.123</v>
      </c>
      <c r="AQ40" s="279">
        <f>IF(ISBLANK(AO40),"-",AP40-AO40)</f>
        <v>9.999999999999995E-3</v>
      </c>
      <c r="AR40" s="270"/>
      <c r="AS40" s="270"/>
      <c r="AT40" s="279" t="str">
        <f>IF(ISBLANK(AR40),"-",AS40-AR40)</f>
        <v>-</v>
      </c>
      <c r="AU40" s="272">
        <v>0.123</v>
      </c>
      <c r="AV40" s="273">
        <v>0.11799999999999999</v>
      </c>
      <c r="AW40" s="279">
        <f>IF(ISBLANK(AU40),"-",AV40-AU40)</f>
        <v>-5.0000000000000044E-3</v>
      </c>
    </row>
    <row r="41" spans="1:49" s="252" customFormat="1" x14ac:dyDescent="0.25">
      <c r="A41" s="269" t="s">
        <v>38</v>
      </c>
      <c r="B41" s="270"/>
      <c r="C41" s="270"/>
      <c r="D41" s="279" t="str">
        <f>IF(ISBLANK(B41),"-",C41-B41)</f>
        <v>-</v>
      </c>
      <c r="E41" s="270"/>
      <c r="F41" s="270"/>
      <c r="G41" s="279" t="str">
        <f>IF(ISBLANK(E41),"-",F41-E41)</f>
        <v>-</v>
      </c>
      <c r="H41" s="271"/>
      <c r="I41" s="271"/>
      <c r="J41" s="279" t="str">
        <f>IF(ISBLANK(H41),"-",I41-H41)</f>
        <v>-</v>
      </c>
      <c r="K41" s="270"/>
      <c r="L41" s="270"/>
      <c r="M41" s="279" t="str">
        <f>IF(ISBLANK(K41),"-",L41-K41)</f>
        <v>-</v>
      </c>
      <c r="N41" s="270"/>
      <c r="O41" s="270"/>
      <c r="P41" s="279" t="str">
        <f>IF(ISBLANK(N41),"-",O41-N41)</f>
        <v>-</v>
      </c>
      <c r="Q41" s="272"/>
      <c r="R41" s="272"/>
      <c r="S41" s="279" t="str">
        <f>IF(ISBLANK(Q41),"-",R41-Q41)</f>
        <v>-</v>
      </c>
      <c r="T41" s="270"/>
      <c r="U41" s="270"/>
      <c r="V41" s="279" t="str">
        <f>IF(ISBLANK(T41),"-",U41-T41)</f>
        <v>-</v>
      </c>
      <c r="W41" s="270"/>
      <c r="X41" s="270"/>
      <c r="Y41" s="279" t="str">
        <f>IF(ISBLANK(W41),"-",X41-W41)</f>
        <v>-</v>
      </c>
      <c r="Z41" s="270"/>
      <c r="AA41" s="270"/>
      <c r="AB41" s="279" t="str">
        <f>IF(ISBLANK(Z41),"-",AA41-Z41)</f>
        <v>-</v>
      </c>
      <c r="AC41" s="270"/>
      <c r="AD41" s="270"/>
      <c r="AE41" s="279" t="str">
        <f>IF(ISBLANK(AC41),"-",AD41-AC41)</f>
        <v>-</v>
      </c>
      <c r="AF41" s="270"/>
      <c r="AG41" s="270"/>
      <c r="AH41" s="279" t="str">
        <f>IF(ISBLANK(AF41),"-",AG41-AF41)</f>
        <v>-</v>
      </c>
      <c r="AI41" s="270"/>
      <c r="AJ41" s="270"/>
      <c r="AK41" s="279" t="str">
        <f>IF(ISBLANK(AI41),"-",AJ41-AI41)</f>
        <v>-</v>
      </c>
      <c r="AL41" s="270"/>
      <c r="AM41" s="270"/>
      <c r="AN41" s="279" t="str">
        <f>IF(ISBLANK(AL41),"-",AM41-AL41)</f>
        <v>-</v>
      </c>
      <c r="AO41" s="270"/>
      <c r="AP41" s="270"/>
      <c r="AQ41" s="279" t="str">
        <f>IF(ISBLANK(AO41),"-",AP41-AO41)</f>
        <v>-</v>
      </c>
      <c r="AR41" s="270"/>
      <c r="AS41" s="270"/>
      <c r="AT41" s="279" t="str">
        <f>IF(ISBLANK(AR41),"-",AS41-AR41)</f>
        <v>-</v>
      </c>
      <c r="AU41" s="270"/>
      <c r="AV41" s="270"/>
      <c r="AW41" s="279" t="str">
        <f>IF(ISBLANK(AU41),"-",AV41-AU41)</f>
        <v>-</v>
      </c>
    </row>
    <row r="42" spans="1:49" s="252" customFormat="1" x14ac:dyDescent="0.25">
      <c r="A42" s="269" t="s">
        <v>39</v>
      </c>
      <c r="B42" s="270"/>
      <c r="C42" s="270"/>
      <c r="D42" s="279" t="str">
        <f>IF(ISBLANK(B42),"-",C42-B42)</f>
        <v>-</v>
      </c>
      <c r="E42" s="270"/>
      <c r="F42" s="270"/>
      <c r="G42" s="279" t="str">
        <f>IF(ISBLANK(E42),"-",F42-E42)</f>
        <v>-</v>
      </c>
      <c r="H42" s="271"/>
      <c r="I42" s="271"/>
      <c r="J42" s="279" t="str">
        <f>IF(ISBLANK(H42),"-",I42-H42)</f>
        <v>-</v>
      </c>
      <c r="K42" s="270"/>
      <c r="L42" s="270"/>
      <c r="M42" s="279" t="str">
        <f>IF(ISBLANK(K42),"-",L42-K42)</f>
        <v>-</v>
      </c>
      <c r="N42" s="270"/>
      <c r="O42" s="270"/>
      <c r="P42" s="279" t="str">
        <f>IF(ISBLANK(N42),"-",O42-N42)</f>
        <v>-</v>
      </c>
      <c r="Q42" s="270"/>
      <c r="R42" s="270"/>
      <c r="S42" s="279" t="str">
        <f>IF(ISBLANK(Q42),"-",R42-Q42)</f>
        <v>-</v>
      </c>
      <c r="T42" s="270"/>
      <c r="U42" s="270"/>
      <c r="V42" s="279" t="str">
        <f>IF(ISBLANK(T42),"-",U42-T42)</f>
        <v>-</v>
      </c>
      <c r="W42" s="270"/>
      <c r="X42" s="270"/>
      <c r="Y42" s="279" t="str">
        <f>IF(ISBLANK(W42),"-",X42-W42)</f>
        <v>-</v>
      </c>
      <c r="Z42" s="270"/>
      <c r="AA42" s="270"/>
      <c r="AB42" s="279" t="str">
        <f>IF(ISBLANK(Z42),"-",AA42-Z42)</f>
        <v>-</v>
      </c>
      <c r="AC42" s="270"/>
      <c r="AD42" s="270"/>
      <c r="AE42" s="279" t="str">
        <f>IF(ISBLANK(AC42),"-",AD42-AC42)</f>
        <v>-</v>
      </c>
      <c r="AF42" s="270"/>
      <c r="AG42" s="270"/>
      <c r="AH42" s="279" t="str">
        <f>IF(ISBLANK(AF42),"-",AG42-AF42)</f>
        <v>-</v>
      </c>
      <c r="AI42" s="270"/>
      <c r="AJ42" s="270"/>
      <c r="AK42" s="279" t="str">
        <f>IF(ISBLANK(AI42),"-",AJ42-AI42)</f>
        <v>-</v>
      </c>
      <c r="AL42" s="270"/>
      <c r="AM42" s="270"/>
      <c r="AN42" s="279" t="str">
        <f>IF(ISBLANK(AL42),"-",AM42-AL42)</f>
        <v>-</v>
      </c>
      <c r="AO42" s="270"/>
      <c r="AP42" s="270"/>
      <c r="AQ42" s="279" t="str">
        <f>IF(ISBLANK(AO42),"-",AP42-AO42)</f>
        <v>-</v>
      </c>
      <c r="AR42" s="270"/>
      <c r="AS42" s="270"/>
      <c r="AT42" s="279" t="str">
        <f>IF(ISBLANK(AR42),"-",AS42-AR42)</f>
        <v>-</v>
      </c>
      <c r="AU42" s="270"/>
      <c r="AV42" s="270"/>
      <c r="AW42" s="279" t="str">
        <f>IF(ISBLANK(AU42),"-",AV42-AU42)</f>
        <v>-</v>
      </c>
    </row>
    <row r="43" spans="1:49" s="252" customFormat="1" x14ac:dyDescent="0.25">
      <c r="A43" s="269" t="s">
        <v>40</v>
      </c>
      <c r="B43" s="270"/>
      <c r="C43" s="270"/>
      <c r="D43" s="279" t="str">
        <f>IF(ISBLANK(B43),"-",C43-B43)</f>
        <v>-</v>
      </c>
      <c r="E43" s="270"/>
      <c r="F43" s="270"/>
      <c r="G43" s="279" t="str">
        <f>IF(ISBLANK(E43),"-",F43-E43)</f>
        <v>-</v>
      </c>
      <c r="H43" s="271">
        <v>5.6000000000000001E-2</v>
      </c>
      <c r="I43" s="271">
        <v>5.6000000000000001E-2</v>
      </c>
      <c r="J43" s="279">
        <f>IF(ISBLANK(H43),"-",I43-H43)</f>
        <v>0</v>
      </c>
      <c r="K43" s="270">
        <v>2.0000000000000018E-3</v>
      </c>
      <c r="L43" s="270">
        <v>0</v>
      </c>
      <c r="M43" s="279">
        <f>IF(ISBLANK(K43),"-",L43-K43)</f>
        <v>-2.0000000000000018E-3</v>
      </c>
      <c r="N43" s="273">
        <v>0.06</v>
      </c>
      <c r="O43" s="272">
        <v>5.8999999999999997E-2</v>
      </c>
      <c r="P43" s="279">
        <f>IF(ISBLANK(N43),"-",O43-N43)</f>
        <v>-1.0000000000000009E-3</v>
      </c>
      <c r="Q43" s="273">
        <v>0.06</v>
      </c>
      <c r="R43" s="272">
        <v>6.5000000000000002E-2</v>
      </c>
      <c r="S43" s="279">
        <f>IF(ISBLANK(Q43),"-",R43-Q43)</f>
        <v>5.0000000000000044E-3</v>
      </c>
      <c r="T43" s="272">
        <v>6.5000000000000002E-2</v>
      </c>
      <c r="U43" s="272">
        <v>6.0999999999999999E-2</v>
      </c>
      <c r="V43" s="279">
        <f>IF(ISBLANK(T43),"-",U43-T43)</f>
        <v>-4.0000000000000036E-3</v>
      </c>
      <c r="W43" s="273">
        <v>5.8999999999999997E-2</v>
      </c>
      <c r="X43" s="272">
        <v>5.8999999999999997E-2</v>
      </c>
      <c r="Y43" s="279">
        <f>IF(ISBLANK(W43),"-",X43-W43)</f>
        <v>0</v>
      </c>
      <c r="Z43" s="272">
        <v>5.8999999999999997E-2</v>
      </c>
      <c r="AA43" s="272">
        <v>6.2E-2</v>
      </c>
      <c r="AB43" s="279">
        <f>IF(ISBLANK(Z43),"-",AA43-Z43)</f>
        <v>3.0000000000000027E-3</v>
      </c>
      <c r="AC43" s="272">
        <v>6.3E-2</v>
      </c>
      <c r="AD43" s="272">
        <v>6.4000000000000001E-2</v>
      </c>
      <c r="AE43" s="279">
        <f>IF(ISBLANK(AC43),"-",AD43-AC43)</f>
        <v>1.0000000000000009E-3</v>
      </c>
      <c r="AF43" s="272">
        <v>6.2E-2</v>
      </c>
      <c r="AG43" s="272">
        <v>5.8000000000000003E-2</v>
      </c>
      <c r="AH43" s="279">
        <f>IF(ISBLANK(AF43),"-",AG43-AF43)</f>
        <v>-3.9999999999999966E-3</v>
      </c>
      <c r="AI43" s="272">
        <v>5.8000000000000003E-2</v>
      </c>
      <c r="AJ43" s="272">
        <v>6.0999999999999999E-2</v>
      </c>
      <c r="AK43" s="279">
        <f>IF(ISBLANK(AI43),"-",AJ43-AI43)</f>
        <v>2.9999999999999957E-3</v>
      </c>
      <c r="AL43" s="272">
        <v>6.2E-2</v>
      </c>
      <c r="AM43" s="272">
        <v>6.4000000000000001E-2</v>
      </c>
      <c r="AN43" s="279">
        <f>IF(ISBLANK(AL43),"-",AM43-AL43)</f>
        <v>2.0000000000000018E-3</v>
      </c>
      <c r="AO43" s="273">
        <v>6.5000000000000002E-2</v>
      </c>
      <c r="AP43" s="272">
        <v>6.9000000000000006E-2</v>
      </c>
      <c r="AQ43" s="279">
        <f>IF(ISBLANK(AO43),"-",AP43-AO43)</f>
        <v>4.0000000000000036E-3</v>
      </c>
      <c r="AR43" s="272">
        <v>6.8000000000000005E-2</v>
      </c>
      <c r="AS43" s="272">
        <v>6.8000000000000005E-2</v>
      </c>
      <c r="AT43" s="279">
        <f>IF(ISBLANK(AR43),"-",AS43-AR43)</f>
        <v>0</v>
      </c>
      <c r="AU43" s="272">
        <v>7.1999999999999995E-2</v>
      </c>
      <c r="AV43" s="272">
        <v>7.3999999999999996E-2</v>
      </c>
      <c r="AW43" s="279">
        <f>IF(ISBLANK(AU43),"-",AV43-AU43)</f>
        <v>2.0000000000000018E-3</v>
      </c>
    </row>
    <row r="44" spans="1:49" s="252" customFormat="1" x14ac:dyDescent="0.25">
      <c r="A44" s="269" t="s">
        <v>41</v>
      </c>
      <c r="B44" s="270"/>
      <c r="C44" s="270"/>
      <c r="D44" s="279" t="str">
        <f>IF(ISBLANK(B44),"-",C44-B44)</f>
        <v>-</v>
      </c>
      <c r="E44" s="270"/>
      <c r="F44" s="270"/>
      <c r="G44" s="279" t="str">
        <f>IF(ISBLANK(E44),"-",F44-E44)</f>
        <v>-</v>
      </c>
      <c r="H44" s="271"/>
      <c r="I44" s="271"/>
      <c r="J44" s="279" t="str">
        <f>IF(ISBLANK(H44),"-",I44-H44)</f>
        <v>-</v>
      </c>
      <c r="K44" s="270">
        <v>3.9999999999999897E-3</v>
      </c>
      <c r="L44" s="270">
        <v>6.0000000000000053E-3</v>
      </c>
      <c r="M44" s="279">
        <f>IF(ISBLANK(K44),"-",L44-K44)</f>
        <v>2.0000000000000157E-3</v>
      </c>
      <c r="N44" s="270"/>
      <c r="O44" s="270"/>
      <c r="P44" s="279" t="str">
        <f>IF(ISBLANK(N44),"-",O44-N44)</f>
        <v>-</v>
      </c>
      <c r="Q44" s="270"/>
      <c r="R44" s="270"/>
      <c r="S44" s="279" t="str">
        <f>IF(ISBLANK(Q44),"-",R44-Q44)</f>
        <v>-</v>
      </c>
      <c r="T44" s="272">
        <v>6.0999999999999999E-2</v>
      </c>
      <c r="U44" s="272">
        <v>6.0999999999999999E-2</v>
      </c>
      <c r="V44" s="279">
        <f>IF(ISBLANK(T44),"-",U44-T44)</f>
        <v>0</v>
      </c>
      <c r="W44" s="270"/>
      <c r="X44" s="270"/>
      <c r="Y44" s="279" t="str">
        <f>IF(ISBLANK(W44),"-",X44-W44)</f>
        <v>-</v>
      </c>
      <c r="Z44" s="272">
        <v>6.0999999999999999E-2</v>
      </c>
      <c r="AA44" s="272">
        <v>6.3E-2</v>
      </c>
      <c r="AB44" s="279">
        <f>IF(ISBLANK(Z44),"-",AA44-Z44)</f>
        <v>2.0000000000000018E-3</v>
      </c>
      <c r="AC44" s="270"/>
      <c r="AD44" s="270"/>
      <c r="AE44" s="279" t="str">
        <f>IF(ISBLANK(AC44),"-",AD44-AC44)</f>
        <v>-</v>
      </c>
      <c r="AF44" s="270"/>
      <c r="AG44" s="270"/>
      <c r="AH44" s="279" t="str">
        <f>IF(ISBLANK(AF44),"-",AG44-AF44)</f>
        <v>-</v>
      </c>
      <c r="AI44" s="272">
        <v>6.0999999999999999E-2</v>
      </c>
      <c r="AJ44" s="272">
        <v>6.7000000000000004E-2</v>
      </c>
      <c r="AK44" s="279">
        <f>IF(ISBLANK(AI44),"-",AJ44-AI44)</f>
        <v>6.0000000000000053E-3</v>
      </c>
      <c r="AL44" s="270"/>
      <c r="AM44" s="270"/>
      <c r="AN44" s="279" t="str">
        <f>IF(ISBLANK(AL44),"-",AM44-AL44)</f>
        <v>-</v>
      </c>
      <c r="AO44" s="272">
        <v>6.8000000000000005E-2</v>
      </c>
      <c r="AP44" s="272">
        <v>7.1999999999999995E-2</v>
      </c>
      <c r="AQ44" s="279">
        <f>IF(ISBLANK(AO44),"-",AP44-AO44)</f>
        <v>3.9999999999999897E-3</v>
      </c>
      <c r="AR44" s="270"/>
      <c r="AS44" s="270"/>
      <c r="AT44" s="279" t="str">
        <f>IF(ISBLANK(AR44),"-",AS44-AR44)</f>
        <v>-</v>
      </c>
      <c r="AU44" s="270"/>
      <c r="AV44" s="270"/>
      <c r="AW44" s="279" t="str">
        <f>IF(ISBLANK(AU44),"-",AV44-AU44)</f>
        <v>-</v>
      </c>
    </row>
    <row r="45" spans="1:49" s="252" customFormat="1" x14ac:dyDescent="0.25">
      <c r="A45" s="241"/>
      <c r="B45" s="223"/>
      <c r="C45" s="223"/>
      <c r="D45" s="280"/>
      <c r="E45" s="223"/>
      <c r="F45" s="223"/>
      <c r="G45" s="280"/>
      <c r="H45" s="287"/>
      <c r="I45" s="287"/>
      <c r="J45" s="280"/>
      <c r="K45" s="223"/>
      <c r="L45" s="223"/>
      <c r="M45" s="280"/>
      <c r="N45" s="223"/>
      <c r="O45" s="223"/>
      <c r="P45" s="280"/>
      <c r="Q45" s="223"/>
      <c r="R45" s="223"/>
      <c r="S45" s="280"/>
      <c r="T45" s="223"/>
      <c r="U45" s="223"/>
      <c r="V45" s="280"/>
      <c r="W45" s="223"/>
      <c r="X45" s="223"/>
      <c r="Y45" s="280"/>
      <c r="Z45" s="223"/>
      <c r="AA45" s="223"/>
      <c r="AB45" s="280"/>
      <c r="AC45" s="223"/>
      <c r="AD45" s="223"/>
      <c r="AE45" s="280"/>
      <c r="AF45" s="223"/>
      <c r="AG45" s="223"/>
      <c r="AH45" s="280"/>
      <c r="AI45" s="223"/>
      <c r="AJ45" s="223"/>
      <c r="AK45" s="280"/>
      <c r="AL45" s="223"/>
      <c r="AM45" s="223"/>
      <c r="AN45" s="280"/>
      <c r="AO45" s="223"/>
      <c r="AP45" s="223"/>
      <c r="AQ45" s="280"/>
      <c r="AR45" s="223"/>
      <c r="AS45" s="223"/>
      <c r="AT45" s="280"/>
      <c r="AU45" s="223"/>
      <c r="AV45" s="223"/>
      <c r="AW45" s="280"/>
    </row>
    <row r="46" spans="1:49" s="252" customFormat="1" x14ac:dyDescent="0.25">
      <c r="A46" s="236" t="s">
        <v>42</v>
      </c>
      <c r="B46" s="332" t="str">
        <f>IF(
    AND(D47="-", D48="-", D49="-", D50="-", D51="-", D52="-", D53="-"),
    "",
    IF(
        SUM(
            IF(D47="-", 0, IF(D47&lt;0, -2, IF(D47&gt;0, 2, 0))),
            IF(D48="-", 0, IF(D48&lt;0, -2, IF(D48&gt;0, 2, 0))),
            IF(D49="-", 0, IF(D49&lt;0, -2, IF(D49&gt;0, 2, 0))),
            IF(D50="-", 0, IF(D50&lt;0, -2, IF(D50&gt;0, 2, 0))),
            IF(D51="-", 0, IF(D51&lt;0, -1, IF(D51&gt;0, 1, 0))),
            IF(D52="-", 0, IF(D52&lt;0, -1, IF(D52&gt;0, 1, 0))),
            IF(D53="-", 0, IF(D53&lt;0, -1, IF(D53&gt;0, 2, 0)))
        )/11 &gt; 0.1,
        "BULLISH",
        IF(
            SUM(
                IF(D47="-", 0, IF(D47&lt;0, -2, IF(D47&gt;0, 2, 0))),
                IF(D48="-", 0, IF(D48&lt;0, -2, IF(D48&gt;0, 2, 0))),
                IF(D49="-", 0, IF(D49&lt;0, -2, IF(D49&gt;0, 2, 0))),
                IF(D50="-", 0, IF(D50&lt;0, -2, IF(D50&gt;0, 2, 0))),
                IF(D51="-", 0, IF(D51&lt;0, -1, IF(D51&gt;0, 1, 0))),
                IF(D52="-", 0, IF(D52&lt;0, -1, IF(D52&gt;0, 1, 0))),
                IF(D53="-", 0, IF(D53&lt;0, -1, IF(D53&gt;0, 2, 0)))
            )/11 &lt; -0.1,
            "BEARISH",
            "NEUTRO"
        )
    )
)</f>
        <v/>
      </c>
      <c r="C46" s="332"/>
      <c r="D46" s="332"/>
      <c r="E46" s="332" t="str">
        <f>IF(
    AND(G47="-", G48="-", G49="-", G50="-", G51="-", G52="-", G53="-"),
    "",
    IF(
        SUM(
            IF(G47="-", 0, IF(G47&lt;0, -2, IF(G47&gt;0, 2, 0))),
            IF(G48="-", 0, IF(G48&lt;0, -2, IF(G48&gt;0, 2, 0))),
            IF(G49="-", 0, IF(G49&lt;0, -2, IF(G49&gt;0, 2, 0))),
            IF(G50="-", 0, IF(G50&lt;0, -2, IF(G50&gt;0, 2, 0))),
            IF(G51="-", 0, IF(G51&lt;0, -1, IF(G51&gt;0, 1, 0))),
            IF(G52="-", 0, IF(G52&lt;0, -1, IF(G52&gt;0, 1, 0))),
            IF(G53="-", 0, IF(G53&lt;0, -1, IF(G53&gt;0, 2, 0)))
        )/11 &gt; 0.1,
        "BULLISH",
        IF(
            SUM(
                IF(G47="-", 0, IF(G47&lt;0, -2, IF(G47&gt;0, 2, 0))),
                IF(G48="-", 0, IF(G48&lt;0, -2, IF(G48&gt;0, 2, 0))),
                IF(G49="-", 0, IF(G49&lt;0, -2, IF(G49&gt;0, 2, 0))),
                IF(G50="-", 0, IF(G50&lt;0, -2, IF(G50&gt;0, 2, 0))),
                IF(G51="-", 0, IF(G51&lt;0, -1, IF(G51&gt;0, 1, 0))),
                IF(G52="-", 0, IF(G52&lt;0, -1, IF(G52&gt;0, 1, 0))),
                IF(G53="-", 0, IF(G53&lt;0, -1, IF(G53&gt;0, 2, 0)))
            )/11 &lt; -0.1,
            "BEARISH",
            "NEUTRO"
        )
    )
)</f>
        <v/>
      </c>
      <c r="F46" s="332"/>
      <c r="G46" s="332"/>
      <c r="H46" s="332" t="str">
        <f>IF(
    AND(J47="-", J48="-", J49="-", J50="-", J51="-", J52="-", J53="-"),
    "",
    IF(
        SUM(
            IF(J47="-", 0, IF(J47&lt;0, -2, IF(J47&gt;0, 2, 0))),
            IF(J48="-", 0, IF(J48&lt;0, -2, IF(J48&gt;0, 2, 0))),
            IF(J49="-", 0, IF(J49&lt;0, -2, IF(J49&gt;0, 2, 0))),
            IF(J50="-", 0, IF(J50&lt;0, -2, IF(J50&gt;0, 2, 0))),
            IF(J51="-", 0, IF(J51&lt;0, -1, IF(J51&gt;0, 1, 0))),
            IF(J52="-", 0, IF(J52&lt;0, -1, IF(J52&gt;0, 1, 0))),
            IF(J53="-", 0, IF(J53&lt;0, -1, IF(J53&gt;0, 2, 0)))
        )/11 &gt; 0.1,
        "BULLISH",
        IF(
            SUM(
                IF(J47="-", 0, IF(J47&lt;0, -2, IF(J47&gt;0, 2, 0))),
                IF(J48="-", 0, IF(J48&lt;0, -2, IF(J48&gt;0, 2, 0))),
                IF(J49="-", 0, IF(J49&lt;0, -2, IF(J49&gt;0, 2, 0))),
                IF(J50="-", 0, IF(J50&lt;0, -2, IF(J50&gt;0, 2, 0))),
                IF(J51="-", 0, IF(J51&lt;0, -1, IF(J51&gt;0, 1, 0))),
                IF(J52="-", 0, IF(J52&lt;0, -1, IF(J52&gt;0, 1, 0))),
                IF(J53="-", 0, IF(J53&lt;0, -1, IF(J53&gt;0, 2, 0)))
            )/11 &lt; -0.1,
            "BEARISH",
            "NEUTRO"
        )
    )
)</f>
        <v>NEUTRO</v>
      </c>
      <c r="I46" s="332"/>
      <c r="J46" s="332"/>
      <c r="K46" s="332" t="str">
        <f>IF(
    AND(M47="-", M48="-", M49="-", M50="-", M51="-", M52="-", M53="-"),
    "",
    IF(
        SUM(
            IF(M47="-", 0, IF(M47&lt;0, -2, IF(M47&gt;0, 2, 0))),
            IF(M48="-", 0, IF(M48&lt;0, -2, IF(M48&gt;0, 2, 0))),
            IF(M49="-", 0, IF(M49&lt;0, -2, IF(M49&gt;0, 2, 0))),
            IF(M50="-", 0, IF(M50&lt;0, -2, IF(M50&gt;0, 2, 0))),
            IF(M51="-", 0, IF(M51&lt;0, -1, IF(M51&gt;0, 1, 0))),
            IF(M52="-", 0, IF(M52&lt;0, -1, IF(M52&gt;0, 1, 0))),
            IF(M53="-", 0, IF(M53&lt;0, -1, IF(M53&gt;0, 2, 0)))
        )/11 &gt; 0.1,
        "BULLISH",
        IF(
            SUM(
                IF(M47="-", 0, IF(M47&lt;0, -2, IF(M47&gt;0, 2, 0))),
                IF(M48="-", 0, IF(M48&lt;0, -2, IF(M48&gt;0, 2, 0))),
                IF(M49="-", 0, IF(M49&lt;0, -2, IF(M49&gt;0, 2, 0))),
                IF(M50="-", 0, IF(M50&lt;0, -2, IF(M50&gt;0, 2, 0))),
                IF(M51="-", 0, IF(M51&lt;0, -1, IF(M51&gt;0, 1, 0))),
                IF(M52="-", 0, IF(M52&lt;0, -1, IF(M52&gt;0, 1, 0))),
                IF(M53="-", 0, IF(M53&lt;0, -1, IF(M53&gt;0, 2, 0)))
            )/11 &lt; -0.1,
            "BEARISH",
            "NEUTRO"
        )
    )
)</f>
        <v>BULLISH</v>
      </c>
      <c r="L46" s="332"/>
      <c r="M46" s="332"/>
      <c r="N46" s="332" t="str">
        <f>IF(
    AND(P47="-", P48="-", P49="-", P50="-", P51="-", P52="-", P53="-"),
    "",
    IF(
        SUM(
            IF(P47="-", 0, IF(P47&lt;0, -2, IF(P47&gt;0, 2, 0))),
            IF(P48="-", 0, IF(P48&lt;0, -2, IF(P48&gt;0, 2, 0))),
            IF(P49="-", 0, IF(P49&lt;0, -2, IF(P49&gt;0, 2, 0))),
            IF(P50="-", 0, IF(P50&lt;0, -2, IF(P50&gt;0, 2, 0))),
            IF(P51="-", 0, IF(P51&lt;0, -1, IF(P51&gt;0, 1, 0))),
            IF(P52="-", 0, IF(P52&lt;0, -1, IF(P52&gt;0, 1, 0))),
            IF(P53="-", 0, IF(P53&lt;0, -1, IF(P53&gt;0, 2, 0)))
        )/11 &gt; 0.1,
        "BULLISH",
        IF(
            SUM(
                IF(P47="-", 0, IF(P47&lt;0, -2, IF(P47&gt;0, 2, 0))),
                IF(P48="-", 0, IF(P48&lt;0, -2, IF(P48&gt;0, 2, 0))),
                IF(P49="-", 0, IF(P49&lt;0, -2, IF(P49&gt;0, 2, 0))),
                IF(P50="-", 0, IF(P50&lt;0, -2, IF(P50&gt;0, 2, 0))),
                IF(P51="-", 0, IF(P51&lt;0, -1, IF(P51&gt;0, 1, 0))),
                IF(P52="-", 0, IF(P52&lt;0, -1, IF(P52&gt;0, 1, 0))),
                IF(P53="-", 0, IF(P53&lt;0, -1, IF(P53&gt;0, 2, 0)))
            )/11 &lt; -0.1,
            "BEARISH",
            "NEUTRO"
        )
    )
)</f>
        <v>BULLISH</v>
      </c>
      <c r="O46" s="332"/>
      <c r="P46" s="332"/>
      <c r="Q46" s="332" t="str">
        <f>IF(
    AND(S47="-", S48="-", S49="-", S50="-", S51="-", S52="-", S53="-"),
    "",
    IF(
        SUM(
            IF(S47="-", 0, IF(S47&lt;0, -2, IF(S47&gt;0, 2, 0))),
            IF(S48="-", 0, IF(S48&lt;0, -2, IF(S48&gt;0, 2, 0))),
            IF(S49="-", 0, IF(S49&lt;0, -2, IF(S49&gt;0, 2, 0))),
            IF(S50="-", 0, IF(S50&lt;0, -2, IF(S50&gt;0, 2, 0))),
            IF(S51="-", 0, IF(S51&lt;0, -1, IF(S51&gt;0, 1, 0))),
            IF(S52="-", 0, IF(S52&lt;0, -1, IF(S52&gt;0, 1, 0))),
            IF(S53="-", 0, IF(S53&lt;0, -1, IF(S53&gt;0, 2, 0)))
        )/11 &gt; 0.1,
        "BULLISH",
        IF(
            SUM(
                IF(S47="-", 0, IF(S47&lt;0, -2, IF(S47&gt;0, 2, 0))),
                IF(S48="-", 0, IF(S48&lt;0, -2, IF(S48&gt;0, 2, 0))),
                IF(S49="-", 0, IF(S49&lt;0, -2, IF(S49&gt;0, 2, 0))),
                IF(S50="-", 0, IF(S50&lt;0, -2, IF(S50&gt;0, 2, 0))),
                IF(S51="-", 0, IF(S51&lt;0, -1, IF(S51&gt;0, 1, 0))),
                IF(S52="-", 0, IF(S52&lt;0, -1, IF(S52&gt;0, 1, 0))),
                IF(S53="-", 0, IF(S53&lt;0, -1, IF(S53&gt;0, 2, 0)))
            )/11 &lt; -0.1,
            "BEARISH",
            "NEUTRO"
        )
    )
)</f>
        <v>BEARISH</v>
      </c>
      <c r="R46" s="332"/>
      <c r="S46" s="332"/>
      <c r="T46" s="332" t="str">
        <f>IF(
    AND(V47="-", V48="-", V49="-", V50="-", V51="-", V52="-", V53="-"),
    "",
    IF(
        SUM(
            IF(V47="-", 0, IF(V47&lt;0, -2, IF(V47&gt;0, 2, 0))),
            IF(V48="-", 0, IF(V48&lt;0, -2, IF(V48&gt;0, 2, 0))),
            IF(V49="-", 0, IF(V49&lt;0, -2, IF(V49&gt;0, 2, 0))),
            IF(V50="-", 0, IF(V50&lt;0, -2, IF(V50&gt;0, 2, 0))),
            IF(V51="-", 0, IF(V51&lt;0, -1, IF(V51&gt;0, 1, 0))),
            IF(V52="-", 0, IF(V52&lt;0, -1, IF(V52&gt;0, 1, 0))),
            IF(V53="-", 0, IF(V53&lt;0, -1, IF(V53&gt;0, 2, 0)))
        )/11 &gt; 0.1,
        "BULLISH",
        IF(
            SUM(
                IF(V47="-", 0, IF(V47&lt;0, -2, IF(V47&gt;0, 2, 0))),
                IF(V48="-", 0, IF(V48&lt;0, -2, IF(V48&gt;0, 2, 0))),
                IF(V49="-", 0, IF(V49&lt;0, -2, IF(V49&gt;0, 2, 0))),
                IF(V50="-", 0, IF(V50&lt;0, -2, IF(V50&gt;0, 2, 0))),
                IF(V51="-", 0, IF(V51&lt;0, -1, IF(V51&gt;0, 1, 0))),
                IF(V52="-", 0, IF(V52&lt;0, -1, IF(V52&gt;0, 1, 0))),
                IF(V53="-", 0, IF(V53&lt;0, -1, IF(V53&gt;0, 2, 0)))
            )/11 &lt; -0.1,
            "BEARISH",
            "NEUTRO"
        )
    )
)</f>
        <v>BEARISH</v>
      </c>
      <c r="U46" s="332"/>
      <c r="V46" s="332"/>
      <c r="W46" s="332" t="str">
        <f>IF(
    AND(Y47="-", Y48="-", Y49="-", Y50="-", Y51="-", Y52="-", Y53="-"),
    "",
    IF(
        SUM(
            IF(Y47="-", 0, IF(Y47&lt;0, -2, IF(Y47&gt;0, 2, 0))),
            IF(Y48="-", 0, IF(Y48&lt;0, -2, IF(Y48&gt;0, 2, 0))),
            IF(Y49="-", 0, IF(Y49&lt;0, -2, IF(Y49&gt;0, 2, 0))),
            IF(Y50="-", 0, IF(Y50&lt;0, -2, IF(Y50&gt;0, 2, 0))),
            IF(Y51="-", 0, IF(Y51&lt;0, -1, IF(Y51&gt;0, 1, 0))),
            IF(Y52="-", 0, IF(Y52&lt;0, -1, IF(Y52&gt;0, 1, 0))),
            IF(Y53="-", 0, IF(Y53&lt;0, -1, IF(Y53&gt;0, 2, 0)))
        )/11 &gt; 0.1,
        "BULLISH",
        IF(
            SUM(
                IF(Y47="-", 0, IF(Y47&lt;0, -2, IF(Y47&gt;0, 2, 0))),
                IF(Y48="-", 0, IF(Y48&lt;0, -2, IF(Y48&gt;0, 2, 0))),
                IF(Y49="-", 0, IF(Y49&lt;0, -2, IF(Y49&gt;0, 2, 0))),
                IF(Y50="-", 0, IF(Y50&lt;0, -2, IF(Y50&gt;0, 2, 0))),
                IF(Y51="-", 0, IF(Y51&lt;0, -1, IF(Y51&gt;0, 1, 0))),
                IF(Y52="-", 0, IF(Y52&lt;0, -1, IF(Y52&gt;0, 1, 0))),
                IF(Y53="-", 0, IF(Y53&lt;0, -1, IF(Y53&gt;0, 2, 0)))
            )/11 &lt; -0.1,
            "BEARISH",
            "NEUTRO"
        )
    )
)</f>
        <v>BULLISH</v>
      </c>
      <c r="X46" s="332"/>
      <c r="Y46" s="332"/>
      <c r="Z46" s="332" t="str">
        <f>IF(
    AND(AB47="-", AB48="-", AB49="-", AB50="-", AB51="-", AB52="-", AB53="-"),
    "",
    IF(
        SUM(
            IF(AB47="-", 0, IF(AB47&lt;0, -2, IF(AB47&gt;0, 2, 0))),
            IF(AB48="-", 0, IF(AB48&lt;0, -2, IF(AB48&gt;0, 2, 0))),
            IF(AB49="-", 0, IF(AB49&lt;0, -2, IF(AB49&gt;0, 2, 0))),
            IF(AB50="-", 0, IF(AB50&lt;0, -2, IF(AB50&gt;0, 2, 0))),
            IF(AB51="-", 0, IF(AB51&lt;0, -1, IF(AB51&gt;0, 1, 0))),
            IF(AB52="-", 0, IF(AB52&lt;0, -1, IF(AB52&gt;0, 1, 0))),
            IF(AB53="-", 0, IF(AB53&lt;0, -1, IF(AB53&gt;0, 2, 0)))
        )/11 &gt; 0.1,
        "BULLISH",
        IF(
            SUM(
                IF(AB47="-", 0, IF(AB47&lt;0, -2, IF(AB47&gt;0, 2, 0))),
                IF(AB48="-", 0, IF(AB48&lt;0, -2, IF(AB48&gt;0, 2, 0))),
                IF(AB49="-", 0, IF(AB49&lt;0, -2, IF(AB49&gt;0, 2, 0))),
                IF(AB50="-", 0, IF(AB50&lt;0, -2, IF(AB50&gt;0, 2, 0))),
                IF(AB51="-", 0, IF(AB51&lt;0, -1, IF(AB51&gt;0, 1, 0))),
                IF(AB52="-", 0, IF(AB52&lt;0, -1, IF(AB52&gt;0, 1, 0))),
                IF(AB53="-", 0, IF(AB53&lt;0, -1, IF(AB53&gt;0, 2, 0)))
            )/11 &lt; -0.1,
            "BEARISH",
            "NEUTRO"
        )
    )
)</f>
        <v>BULLISH</v>
      </c>
      <c r="AA46" s="332"/>
      <c r="AB46" s="332"/>
      <c r="AC46" s="332" t="str">
        <f>IF(
    AND(AE47="-", AE48="-", AE49="-", AE50="-", AE51="-", AE52="-", AE53="-"),
    "",
    IF(
        SUM(
            IF(AE47="-", 0, IF(AE47&lt;0, -2, IF(AE47&gt;0, 2, 0))),
            IF(AE48="-", 0, IF(AE48&lt;0, -2, IF(AE48&gt;0, 2, 0))),
            IF(AE49="-", 0, IF(AE49&lt;0, -2, IF(AE49&gt;0, 2, 0))),
            IF(AE50="-", 0, IF(AE50&lt;0, -2, IF(AE50&gt;0, 2, 0))),
            IF(AE51="-", 0, IF(AE51&lt;0, -1, IF(AE51&gt;0, 1, 0))),
            IF(AE52="-", 0, IF(AE52&lt;0, -1, IF(AE52&gt;0, 1, 0))),
            IF(AE53="-", 0, IF(AE53&lt;0, -1, IF(AE53&gt;0, 2, 0)))
        )/11 &gt; 0.1,
        "BULLISH",
        IF(
            SUM(
                IF(AE47="-", 0, IF(AE47&lt;0, -2, IF(AE47&gt;0, 2, 0))),
                IF(AE48="-", 0, IF(AE48&lt;0, -2, IF(AE48&gt;0, 2, 0))),
                IF(AE49="-", 0, IF(AE49&lt;0, -2, IF(AE49&gt;0, 2, 0))),
                IF(AE50="-", 0, IF(AE50&lt;0, -2, IF(AE50&gt;0, 2, 0))),
                IF(AE51="-", 0, IF(AE51&lt;0, -1, IF(AE51&gt;0, 1, 0))),
                IF(AE52="-", 0, IF(AE52&lt;0, -1, IF(AE52&gt;0, 1, 0))),
                IF(AE53="-", 0, IF(AE53&lt;0, -1, IF(AE53&gt;0, 2, 0)))
            )/11 &lt; -0.1,
            "BEARISH",
            "NEUTRO"
        )
    )
)</f>
        <v>BEARISH</v>
      </c>
      <c r="AD46" s="332"/>
      <c r="AE46" s="332"/>
      <c r="AF46" s="332" t="str">
        <f>IF(
    AND(AH47="-", AH48="-", AH49="-", AH50="-", AH51="-", AH52="-", AH53="-"),
    "",
    IF(
        SUM(
            IF(AH47="-", 0, IF(AH47&lt;0, -2, IF(AH47&gt;0, 2, 0))),
            IF(AH48="-", 0, IF(AH48&lt;0, -2, IF(AH48&gt;0, 2, 0))),
            IF(AH49="-", 0, IF(AH49&lt;0, -2, IF(AH49&gt;0, 2, 0))),
            IF(AH50="-", 0, IF(AH50&lt;0, -2, IF(AH50&gt;0, 2, 0))),
            IF(AH51="-", 0, IF(AH51&lt;0, -1, IF(AH51&gt;0, 1, 0))),
            IF(AH52="-", 0, IF(AH52&lt;0, -1, IF(AH52&gt;0, 1, 0))),
            IF(AH53="-", 0, IF(AH53&lt;0, -1, IF(AH53&gt;0, 2, 0)))
        )/11 &gt; 0.1,
        "BULLISH",
        IF(
            SUM(
                IF(AH47="-", 0, IF(AH47&lt;0, -2, IF(AH47&gt;0, 2, 0))),
                IF(AH48="-", 0, IF(AH48&lt;0, -2, IF(AH48&gt;0, 2, 0))),
                IF(AH49="-", 0, IF(AH49&lt;0, -2, IF(AH49&gt;0, 2, 0))),
                IF(AH50="-", 0, IF(AH50&lt;0, -2, IF(AH50&gt;0, 2, 0))),
                IF(AH51="-", 0, IF(AH51&lt;0, -1, IF(AH51&gt;0, 1, 0))),
                IF(AH52="-", 0, IF(AH52&lt;0, -1, IF(AH52&gt;0, 1, 0))),
                IF(AH53="-", 0, IF(AH53&lt;0, -1, IF(AH53&gt;0, 2, 0)))
            )/11 &lt; -0.1,
            "BEARISH",
            "NEUTRO"
        )
    )
)</f>
        <v>BULLISH</v>
      </c>
      <c r="AG46" s="332"/>
      <c r="AH46" s="332"/>
      <c r="AI46" s="332" t="str">
        <f>IF(
    AND(AK47="-", AK48="-", AK49="-", AK50="-", AK51="-", AK52="-", AK53="-"),
    "",
    IF(
        SUM(
            IF(AK47="-", 0, IF(AK47&lt;0, -2, IF(AK47&gt;0, 2, 0))),
            IF(AK48="-", 0, IF(AK48&lt;0, -2, IF(AK48&gt;0, 2, 0))),
            IF(AK49="-", 0, IF(AK49&lt;0, -2, IF(AK49&gt;0, 2, 0))),
            IF(AK50="-", 0, IF(AK50&lt;0, -2, IF(AK50&gt;0, 2, 0))),
            IF(AK51="-", 0, IF(AK51&lt;0, -1, IF(AK51&gt;0, 1, 0))),
            IF(AK52="-", 0, IF(AK52&lt;0, -1, IF(AK52&gt;0, 1, 0))),
            IF(AK53="-", 0, IF(AK53&lt;0, -1, IF(AK53&gt;0, 2, 0)))
        )/11 &gt; 0.1,
        "BULLISH",
        IF(
            SUM(
                IF(AK47="-", 0, IF(AK47&lt;0, -2, IF(AK47&gt;0, 2, 0))),
                IF(AK48="-", 0, IF(AK48&lt;0, -2, IF(AK48&gt;0, 2, 0))),
                IF(AK49="-", 0, IF(AK49&lt;0, -2, IF(AK49&gt;0, 2, 0))),
                IF(AK50="-", 0, IF(AK50&lt;0, -2, IF(AK50&gt;0, 2, 0))),
                IF(AK51="-", 0, IF(AK51&lt;0, -1, IF(AK51&gt;0, 1, 0))),
                IF(AK52="-", 0, IF(AK52&lt;0, -1, IF(AK52&gt;0, 1, 0))),
                IF(AK53="-", 0, IF(AK53&lt;0, -1, IF(AK53&gt;0, 2, 0)))
            )/11 &lt; -0.1,
            "BEARISH",
            "NEUTRO"
        )
    )
)</f>
        <v>BEARISH</v>
      </c>
      <c r="AJ46" s="332"/>
      <c r="AK46" s="332"/>
      <c r="AL46" s="332" t="str">
        <f>IF(
    AND(AN47="-", AN48="-", AN49="-", AN50="-", AN51="-", AN52="-", AN53="-"),
    "",
    IF(
        SUM(
            IF(AN47="-", 0, IF(AN47&lt;0, -2, IF(AN47&gt;0, 2, 0))),
            IF(AN48="-", 0, IF(AN48&lt;0, -2, IF(AN48&gt;0, 2, 0))),
            IF(AN49="-", 0, IF(AN49&lt;0, -2, IF(AN49&gt;0, 2, 0))),
            IF(AN50="-", 0, IF(AN50&lt;0, -2, IF(AN50&gt;0, 2, 0))),
            IF(AN51="-", 0, IF(AN51&lt;0, -1, IF(AN51&gt;0, 1, 0))),
            IF(AN52="-", 0, IF(AN52&lt;0, -1, IF(AN52&gt;0, 1, 0))),
            IF(AN53="-", 0, IF(AN53&lt;0, -1, IF(AN53&gt;0, 2, 0)))
        )/11 &gt; 0.1,
        "BULLISH",
        IF(
            SUM(
                IF(AN47="-", 0, IF(AN47&lt;0, -2, IF(AN47&gt;0, 2, 0))),
                IF(AN48="-", 0, IF(AN48&lt;0, -2, IF(AN48&gt;0, 2, 0))),
                IF(AN49="-", 0, IF(AN49&lt;0, -2, IF(AN49&gt;0, 2, 0))),
                IF(AN50="-", 0, IF(AN50&lt;0, -2, IF(AN50&gt;0, 2, 0))),
                IF(AN51="-", 0, IF(AN51&lt;0, -1, IF(AN51&gt;0, 1, 0))),
                IF(AN52="-", 0, IF(AN52&lt;0, -1, IF(AN52&gt;0, 1, 0))),
                IF(AN53="-", 0, IF(AN53&lt;0, -1, IF(AN53&gt;0, 2, 0)))
            )/11 &lt; -0.1,
            "BEARISH",
            "NEUTRO"
        )
    )
)</f>
        <v>BULLISH</v>
      </c>
      <c r="AM46" s="332"/>
      <c r="AN46" s="332"/>
      <c r="AO46" s="332" t="str">
        <f>IF(
    AND(AQ47="-", AQ48="-", AQ49="-", AQ50="-", AQ51="-", AQ52="-", AQ53="-"),
    "",
    IF(
        SUM(
            IF(AQ47="-", 0, IF(AQ47&lt;0, -2, IF(AQ47&gt;0, 2, 0))),
            IF(AQ48="-", 0, IF(AQ48&lt;0, -2, IF(AQ48&gt;0, 2, 0))),
            IF(AQ49="-", 0, IF(AQ49&lt;0, -2, IF(AQ49&gt;0, 2, 0))),
            IF(AQ50="-", 0, IF(AQ50&lt;0, -2, IF(AQ50&gt;0, 2, 0))),
            IF(AQ51="-", 0, IF(AQ51&lt;0, -1, IF(AQ51&gt;0, 1, 0))),
            IF(AQ52="-", 0, IF(AQ52&lt;0, -1, IF(AQ52&gt;0, 1, 0))),
            IF(AQ53="-", 0, IF(AQ53&lt;0, -1, IF(AQ53&gt;0, 2, 0)))
        )/11 &gt; 0.1,
        "BULLISH",
        IF(
            SUM(
                IF(AQ47="-", 0, IF(AQ47&lt;0, -2, IF(AQ47&gt;0, 2, 0))),
                IF(AQ48="-", 0, IF(AQ48&lt;0, -2, IF(AQ48&gt;0, 2, 0))),
                IF(AQ49="-", 0, IF(AQ49&lt;0, -2, IF(AQ49&gt;0, 2, 0))),
                IF(AQ50="-", 0, IF(AQ50&lt;0, -2, IF(AQ50&gt;0, 2, 0))),
                IF(AQ51="-", 0, IF(AQ51&lt;0, -1, IF(AQ51&gt;0, 1, 0))),
                IF(AQ52="-", 0, IF(AQ52&lt;0, -1, IF(AQ52&gt;0, 1, 0))),
                IF(AQ53="-", 0, IF(AQ53&lt;0, -1, IF(AQ53&gt;0, 2, 0)))
            )/11 &lt; -0.1,
            "BEARISH",
            "NEUTRO"
        )
    )
)</f>
        <v>BULLISH</v>
      </c>
      <c r="AP46" s="332"/>
      <c r="AQ46" s="332"/>
      <c r="AR46" s="332" t="str">
        <f>IF(
    AND(AT47="-", AT48="-", AT49="-", AT50="-", AT51="-", AT52="-", AT53="-"),
    "",
    IF(
        SUM(
            IF(AT47="-", 0, IF(AT47&lt;0, -2, IF(AT47&gt;0, 2, 0))),
            IF(AT48="-", 0, IF(AT48&lt;0, -2, IF(AT48&gt;0, 2, 0))),
            IF(AT49="-", 0, IF(AT49&lt;0, -2, IF(AT49&gt;0, 2, 0))),
            IF(AT50="-", 0, IF(AT50&lt;0, -2, IF(AT50&gt;0, 2, 0))),
            IF(AT51="-", 0, IF(AT51&lt;0, -1, IF(AT51&gt;0, 1, 0))),
            IF(AT52="-", 0, IF(AT52&lt;0, -1, IF(AT52&gt;0, 1, 0))),
            IF(AT53="-", 0, IF(AT53&lt;0, -1, IF(AT53&gt;0, 2, 0)))
        )/11 &gt; 0.1,
        "BULLISH",
        IF(
            SUM(
                IF(AT47="-", 0, IF(AT47&lt;0, -2, IF(AT47&gt;0, 2, 0))),
                IF(AT48="-", 0, IF(AT48&lt;0, -2, IF(AT48&gt;0, 2, 0))),
                IF(AT49="-", 0, IF(AT49&lt;0, -2, IF(AT49&gt;0, 2, 0))),
                IF(AT50="-", 0, IF(AT50&lt;0, -2, IF(AT50&gt;0, 2, 0))),
                IF(AT51="-", 0, IF(AT51&lt;0, -1, IF(AT51&gt;0, 1, 0))),
                IF(AT52="-", 0, IF(AT52&lt;0, -1, IF(AT52&gt;0, 1, 0))),
                IF(AT53="-", 0, IF(AT53&lt;0, -1, IF(AT53&gt;0, 2, 0)))
            )/11 &lt; -0.1,
            "BEARISH",
            "NEUTRO"
        )
    )
)</f>
        <v>BULLISH</v>
      </c>
      <c r="AS46" s="332"/>
      <c r="AT46" s="332"/>
      <c r="AU46" s="332" t="str">
        <f>IF(
    AND(AW47="-", AW48="-", AW49="-", AW50="-", AW51="-", AW52="-", AW53="-"),
    "",
    IF(
        SUM(
            IF(AW47="-", 0, IF(AW47&lt;0, -2, IF(AW47&gt;0, 2, 0))),
            IF(AW48="-", 0, IF(AW48&lt;0, -2, IF(AW48&gt;0, 2, 0))),
            IF(AW49="-", 0, IF(AW49&lt;0, -2, IF(AW49&gt;0, 2, 0))),
            IF(AW50="-", 0, IF(AW50&lt;0, -2, IF(AW50&gt;0, 2, 0))),
            IF(AW51="-", 0, IF(AW51&lt;0, -1, IF(AW51&gt;0, 1, 0))),
            IF(AW52="-", 0, IF(AW52&lt;0, -1, IF(AW52&gt;0, 1, 0))),
            IF(AW53="-", 0, IF(AW53&lt;0, -1, IF(AW53&gt;0, 2, 0)))
        )/11 &gt; 0.1,
        "BULLISH",
        IF(
            SUM(
                IF(AW47="-", 0, IF(AW47&lt;0, -2, IF(AW47&gt;0, 2, 0))),
                IF(AW48="-", 0, IF(AW48&lt;0, -2, IF(AW48&gt;0, 2, 0))),
                IF(AW49="-", 0, IF(AW49&lt;0, -2, IF(AW49&gt;0, 2, 0))),
                IF(AW50="-", 0, IF(AW50&lt;0, -2, IF(AW50&gt;0, 2, 0))),
                IF(AW51="-", 0, IF(AW51&lt;0, -1, IF(AW51&gt;0, 1, 0))),
                IF(AW52="-", 0, IF(AW52&lt;0, -1, IF(AW52&gt;0, 1, 0))),
                IF(AW53="-", 0, IF(AW53&lt;0, -1, IF(AW53&gt;0, 2, 0)))
            )/11 &lt; -0.1,
            "BEARISH",
            "NEUTRO"
        )
    )
)</f>
        <v>BULLISH</v>
      </c>
      <c r="AV46" s="332"/>
      <c r="AW46" s="332"/>
    </row>
    <row r="47" spans="1:49" s="252" customFormat="1" x14ac:dyDescent="0.25">
      <c r="A47" s="262" t="s">
        <v>43</v>
      </c>
      <c r="B47" s="264"/>
      <c r="C47" s="264"/>
      <c r="D47" s="212" t="str">
        <f>IF(ISBLANK(B47),"-",B47-C47)</f>
        <v>-</v>
      </c>
      <c r="E47" s="264"/>
      <c r="F47" s="264"/>
      <c r="G47" s="212" t="str">
        <f>IF(ISBLANK(E47),"-",E47-F47)</f>
        <v>-</v>
      </c>
      <c r="H47" s="265">
        <v>1E-3</v>
      </c>
      <c r="I47" s="265">
        <v>-5.0000000000000001E-3</v>
      </c>
      <c r="J47" s="212">
        <f>IF(ISBLANK(H47),"-",H47-I47)</f>
        <v>6.0000000000000001E-3</v>
      </c>
      <c r="K47" s="264">
        <v>3.6999999999999998E-2</v>
      </c>
      <c r="L47" s="264">
        <v>1.0000000000000009E-3</v>
      </c>
      <c r="M47" s="212">
        <f>IF(ISBLANK(K47),"-",K47-L47)</f>
        <v>3.5999999999999997E-2</v>
      </c>
      <c r="N47" s="263">
        <v>-2E-3</v>
      </c>
      <c r="O47" s="263">
        <v>-5.0000000000000001E-3</v>
      </c>
      <c r="P47" s="212">
        <f>IF(ISBLANK(N47),"-",N47-O47)</f>
        <v>3.0000000000000001E-3</v>
      </c>
      <c r="Q47" s="266">
        <v>0.06</v>
      </c>
      <c r="R47" s="263">
        <v>-6.0000000000000001E-3</v>
      </c>
      <c r="S47" s="212">
        <f>IF(ISBLANK(Q47),"-",Q47-R47)</f>
        <v>6.6000000000000003E-2</v>
      </c>
      <c r="T47" s="263">
        <v>-1.6E-2</v>
      </c>
      <c r="U47" s="263">
        <v>-6.0000000000000001E-3</v>
      </c>
      <c r="V47" s="212">
        <f>IF(ISBLANK(T47),"-",T47-U47)</f>
        <v>-0.01</v>
      </c>
      <c r="W47" s="263">
        <v>-1.0999999999999999E-2</v>
      </c>
      <c r="X47" s="263">
        <v>2E-3</v>
      </c>
      <c r="Y47" s="212">
        <f>IF(ISBLANK(W47),"-",W47-X47)</f>
        <v>-1.2999999999999999E-2</v>
      </c>
      <c r="Z47" s="263">
        <v>8.0000000000000002E-3</v>
      </c>
      <c r="AA47" s="263">
        <v>7.0000000000000001E-3</v>
      </c>
      <c r="AB47" s="212">
        <f>IF(ISBLANK(Z47),"-",Z47-AA47)</f>
        <v>1E-3</v>
      </c>
      <c r="AC47" s="263">
        <v>2E-3</v>
      </c>
      <c r="AD47" s="264">
        <v>0</v>
      </c>
      <c r="AE47" s="212">
        <f>IF(ISBLANK(AC47),"-",AC47-AD47)</f>
        <v>2E-3</v>
      </c>
      <c r="AF47" s="263">
        <v>-6.0000000000000001E-3</v>
      </c>
      <c r="AG47" s="263">
        <v>-3.0000000000000001E-3</v>
      </c>
      <c r="AH47" s="212">
        <f>IF(ISBLANK(AF47),"-",AF47-AG47)</f>
        <v>-3.0000000000000001E-3</v>
      </c>
      <c r="AI47" s="263">
        <v>-1.4999999999999999E-2</v>
      </c>
      <c r="AJ47" s="263">
        <v>1.6E-2</v>
      </c>
      <c r="AK47" s="212">
        <f>IF(ISBLANK(AI47),"-",AI47-AJ47)</f>
        <v>-3.1E-2</v>
      </c>
      <c r="AL47" s="263">
        <v>1.6E-2</v>
      </c>
      <c r="AM47" s="263">
        <v>1.4999999999999999E-2</v>
      </c>
      <c r="AN47" s="212">
        <f>IF(ISBLANK(AL47),"-",AL47-AM47)</f>
        <v>1.0000000000000009E-3</v>
      </c>
      <c r="AO47" s="264"/>
      <c r="AP47" s="264"/>
      <c r="AQ47" s="212" t="str">
        <f>IF(ISBLANK(AO47),"-",AO47-AP47)</f>
        <v>-</v>
      </c>
      <c r="AR47" s="264"/>
      <c r="AS47" s="264"/>
      <c r="AT47" s="212" t="str">
        <f>IF(ISBLANK(AR47),"-",AR47-AS47)</f>
        <v>-</v>
      </c>
      <c r="AU47" s="263">
        <v>1.7999999999999999E-2</v>
      </c>
      <c r="AV47" s="263">
        <v>-1.9E-2</v>
      </c>
      <c r="AW47" s="212">
        <f>IF(ISBLANK(AU47),"-",AU47-AV47)</f>
        <v>3.6999999999999998E-2</v>
      </c>
    </row>
    <row r="48" spans="1:49" s="252" customFormat="1" x14ac:dyDescent="0.25">
      <c r="A48" s="262" t="s">
        <v>44</v>
      </c>
      <c r="B48" s="264"/>
      <c r="C48" s="264"/>
      <c r="D48" s="212" t="str">
        <f>IF(ISBLANK(B48),"-",B48-C48)</f>
        <v>-</v>
      </c>
      <c r="E48" s="264"/>
      <c r="F48" s="264"/>
      <c r="G48" s="212" t="str">
        <f>IF(ISBLANK(E48),"-",E48-F48)</f>
        <v>-</v>
      </c>
      <c r="H48" s="265">
        <v>-5.0000000000000001E-3</v>
      </c>
      <c r="I48" s="265">
        <v>1E-3</v>
      </c>
      <c r="J48" s="212">
        <f>IF(ISBLANK(H48),"-",H48-I48)</f>
        <v>-6.0000000000000001E-3</v>
      </c>
      <c r="K48" s="264">
        <v>1.0999999999999999E-2</v>
      </c>
      <c r="L48" s="264">
        <v>3.0000000000000001E-3</v>
      </c>
      <c r="M48" s="212">
        <f>IF(ISBLANK(K48),"-",K48-L48)</f>
        <v>8.0000000000000002E-3</v>
      </c>
      <c r="N48" s="263">
        <v>1E-3</v>
      </c>
      <c r="O48" s="263">
        <v>-4.0000000000000001E-3</v>
      </c>
      <c r="P48" s="212">
        <f>IF(ISBLANK(N48),"-",N48-O48)</f>
        <v>5.0000000000000001E-3</v>
      </c>
      <c r="Q48" s="263">
        <v>-5.0000000000000001E-3</v>
      </c>
      <c r="R48" s="263">
        <v>-3.0000000000000001E-3</v>
      </c>
      <c r="S48" s="212">
        <f>IF(ISBLANK(Q48),"-",Q48-R48)</f>
        <v>-2E-3</v>
      </c>
      <c r="T48" s="263">
        <v>-7.0000000000000001E-3</v>
      </c>
      <c r="U48" s="263">
        <v>4.0000000000000001E-3</v>
      </c>
      <c r="V48" s="212">
        <f>IF(ISBLANK(T48),"-",T48-U48)</f>
        <v>-1.0999999999999999E-2</v>
      </c>
      <c r="W48" s="264"/>
      <c r="X48" s="264"/>
      <c r="Y48" s="212" t="str">
        <f>IF(ISBLANK(W48),"-",W48-X48)</f>
        <v>-</v>
      </c>
      <c r="Z48" s="263">
        <v>3.0000000000000001E-3</v>
      </c>
      <c r="AA48" s="264">
        <v>0</v>
      </c>
      <c r="AB48" s="212">
        <f>IF(ISBLANK(Z48),"-",Z48-AA48)</f>
        <v>3.0000000000000001E-3</v>
      </c>
      <c r="AC48" s="263">
        <v>-2E-3</v>
      </c>
      <c r="AD48" s="264">
        <v>0</v>
      </c>
      <c r="AE48" s="212">
        <f>IF(ISBLANK(AC48),"-",AC48-AD48)</f>
        <v>-2E-3</v>
      </c>
      <c r="AF48" s="263">
        <v>1E-3</v>
      </c>
      <c r="AG48" s="263">
        <v>-3.0000000000000001E-3</v>
      </c>
      <c r="AH48" s="212">
        <f>IF(ISBLANK(AF48),"-",AF48-AG48)</f>
        <v>4.0000000000000001E-3</v>
      </c>
      <c r="AI48" s="263">
        <v>-5.0000000000000001E-3</v>
      </c>
      <c r="AJ48" s="263">
        <v>2E-3</v>
      </c>
      <c r="AK48" s="212">
        <f>IF(ISBLANK(AI48),"-",AI48-AJ48)</f>
        <v>-7.0000000000000001E-3</v>
      </c>
      <c r="AL48" s="263">
        <v>2E-3</v>
      </c>
      <c r="AM48" s="264">
        <v>0</v>
      </c>
      <c r="AN48" s="212">
        <f>IF(ISBLANK(AL48),"-",AL48-AM48)</f>
        <v>2E-3</v>
      </c>
      <c r="AO48" s="263">
        <v>1E-3</v>
      </c>
      <c r="AP48" s="263">
        <v>-4.0000000000000001E-3</v>
      </c>
      <c r="AQ48" s="212">
        <f>IF(ISBLANK(AO48),"-",AO48-AP48)</f>
        <v>5.0000000000000001E-3</v>
      </c>
      <c r="AR48" s="263">
        <v>1E-3</v>
      </c>
      <c r="AS48" s="263">
        <v>-2E-3</v>
      </c>
      <c r="AT48" s="212">
        <f>IF(ISBLANK(AR48),"-",AR48-AS48)</f>
        <v>3.0000000000000001E-3</v>
      </c>
      <c r="AU48" s="263">
        <v>8.0000000000000002E-3</v>
      </c>
      <c r="AV48" s="263">
        <v>-3.0000000000000001E-3</v>
      </c>
      <c r="AW48" s="212">
        <f>IF(ISBLANK(AU48),"-",AU48-AV48)</f>
        <v>1.0999999999999999E-2</v>
      </c>
    </row>
    <row r="49" spans="1:49" s="293" customFormat="1" x14ac:dyDescent="0.25">
      <c r="A49" s="289" t="s">
        <v>45</v>
      </c>
      <c r="B49" s="291"/>
      <c r="C49" s="291"/>
      <c r="D49" s="221" t="str">
        <f t="array" ref="D49">IFERROR(_xlfn.IFS(ISBLANK(B49),"-",FIND("%",B49,1),(B49-C49)/100),B49-C49)</f>
        <v>-</v>
      </c>
      <c r="E49" s="291"/>
      <c r="F49" s="291"/>
      <c r="G49" s="221" t="str">
        <f t="array" ref="G49">IFERROR(_xlfn.IFS(ISBLANK(E49),"-",FIND("%",E49,1),(E49-F49)/100),E49-F49)</f>
        <v>-</v>
      </c>
      <c r="H49" s="290">
        <v>-24.1</v>
      </c>
      <c r="I49" s="290">
        <v>-26.9</v>
      </c>
      <c r="J49" s="221">
        <f t="array" ref="J49">IFERROR(_xlfn.IFS(ISBLANK(H49),"-",FIND("%",H49,1),(H49-I49)/100),H49-I49)</f>
        <v>2.7999999999999972</v>
      </c>
      <c r="K49" s="291">
        <v>3.1000000000000014</v>
      </c>
      <c r="L49" s="291">
        <v>-0.80000000000000071</v>
      </c>
      <c r="M49" s="221">
        <f t="array" ref="M49">IFERROR(_xlfn.IFS(ISBLANK(K49),"-",FIND("%",K49,1),(K49-L49)/100),K49-L49)</f>
        <v>3.9000000000000021</v>
      </c>
      <c r="N49" s="291">
        <v>-22.3</v>
      </c>
      <c r="O49" s="291">
        <v>-23.5</v>
      </c>
      <c r="P49" s="221">
        <f t="array" ref="P49">IFERROR(_xlfn.IFS(ISBLANK(N49),"-",FIND("%",N49,1),(N49-O49)/100),N49-O49)</f>
        <v>1.1999999999999993</v>
      </c>
      <c r="Q49" s="291">
        <v>-23.5</v>
      </c>
      <c r="R49" s="291">
        <v>-21.7</v>
      </c>
      <c r="S49" s="221">
        <f t="array" ref="S49">IFERROR(_xlfn.IFS(ISBLANK(Q49),"-",FIND("%",Q49,1),(Q49-R49)/100),Q49-R49)</f>
        <v>-1.8000000000000007</v>
      </c>
      <c r="T49" s="291">
        <v>-15</v>
      </c>
      <c r="U49" s="291">
        <v>-20</v>
      </c>
      <c r="V49" s="221">
        <f t="array" ref="V49">IFERROR(_xlfn.IFS(ISBLANK(T49),"-",FIND("%",T49,1),(T49-U49)/100),T49-U49)</f>
        <v>5</v>
      </c>
      <c r="W49" s="291">
        <v>-19.899999999999999</v>
      </c>
      <c r="X49" s="291">
        <v>-24.3</v>
      </c>
      <c r="Y49" s="221">
        <f t="array" ref="Y49">IFERROR(_xlfn.IFS(ISBLANK(W49),"-",FIND("%",W49,1),(W49-X49)/100),W49-X49)</f>
        <v>4.4000000000000021</v>
      </c>
      <c r="Z49" s="291">
        <v>-24.5</v>
      </c>
      <c r="AA49" s="291">
        <v>-24.6</v>
      </c>
      <c r="AB49" s="221">
        <f t="array" ref="AB49">IFERROR(_xlfn.IFS(ISBLANK(Z49),"-",FIND("%",Z49,1),(Z49-AA49)/100),Z49-AA49)</f>
        <v>0.10000000000000142</v>
      </c>
      <c r="AC49" s="291"/>
      <c r="AD49" s="291"/>
      <c r="AE49" s="221" t="str">
        <f t="array" ref="AE49">IFERROR(_xlfn.IFS(ISBLANK(AC49),"-",FIND("%",AC49,1),(AC49-AD49)/100),AC49-AD49)</f>
        <v>-</v>
      </c>
      <c r="AF49" s="291">
        <v>-22.4</v>
      </c>
      <c r="AG49" s="291">
        <v>-23.1</v>
      </c>
      <c r="AH49" s="221">
        <f t="array" ref="AH49">IFERROR(_xlfn.IFS(ISBLANK(AF49),"-",FIND("%",AF49,1),(AF49-AG49)/100),AF49-AG49)</f>
        <v>0.70000000000000284</v>
      </c>
      <c r="AI49" s="292">
        <v>-23.3</v>
      </c>
      <c r="AJ49" s="291">
        <v>-21</v>
      </c>
      <c r="AK49" s="221">
        <f t="array" ref="AK49">IFERROR(_xlfn.IFS(ISBLANK(AI49),"-",FIND("%",AI49,1),(AI49-AJ49)/100),AI49-AJ49)</f>
        <v>-2.3000000000000007</v>
      </c>
      <c r="AL49" s="291">
        <v>-21.2</v>
      </c>
      <c r="AM49" s="291">
        <v>-21.9</v>
      </c>
      <c r="AN49" s="221">
        <f t="array" ref="AN49">IFERROR(_xlfn.IFS(ISBLANK(AL49),"-",FIND("%",AL49,1),(AL49-AM49)/100),AL49-AM49)</f>
        <v>0.69999999999999929</v>
      </c>
      <c r="AO49" s="291">
        <v>-22</v>
      </c>
      <c r="AP49" s="291">
        <v>-18.600000000000001</v>
      </c>
      <c r="AQ49" s="221">
        <f t="array" ref="AQ49">IFERROR(_xlfn.IFS(ISBLANK(AO49),"-",FIND("%",AO49,1),(AO49-AP49)/100),AO49-AP49)</f>
        <v>-3.3999999999999986</v>
      </c>
      <c r="AR49" s="291">
        <v>-21.8</v>
      </c>
      <c r="AS49" s="291">
        <v>-21</v>
      </c>
      <c r="AT49" s="221">
        <f t="array" ref="AT49">IFERROR(_xlfn.IFS(ISBLANK(AR49),"-",FIND("%",AR49,1),(AR49-AS49)/100),AR49-AS49)</f>
        <v>-0.80000000000000071</v>
      </c>
      <c r="AU49" s="291">
        <v>-24.2</v>
      </c>
      <c r="AV49" s="291">
        <v>-27.3</v>
      </c>
      <c r="AW49" s="221">
        <f t="array" ref="AW49">IFERROR(_xlfn.IFS(ISBLANK(AU49),"-",FIND("%",AU49,1),(AU49-AV49)/100),AU49-AV49)</f>
        <v>3.1000000000000014</v>
      </c>
    </row>
    <row r="50" spans="1:49" s="252" customFormat="1" x14ac:dyDescent="0.25">
      <c r="A50" s="262" t="s">
        <v>46</v>
      </c>
      <c r="B50" s="264"/>
      <c r="C50" s="264"/>
      <c r="D50" s="221" t="str">
        <f t="array" ref="D50">IFERROR(_xlfn.IFS(ISBLANK(B50),"-",FIND("%",B50,1),(B50-C50)/100),B50-C50)</f>
        <v>-</v>
      </c>
      <c r="E50" s="264"/>
      <c r="F50" s="264"/>
      <c r="G50" s="221" t="str">
        <f t="array" ref="G50">IFERROR(_xlfn.IFS(ISBLANK(E50),"-",FIND("%",E50,1),(E50-F50)/100),E50-F50)</f>
        <v>-</v>
      </c>
      <c r="H50" s="265"/>
      <c r="I50" s="265"/>
      <c r="J50" s="221" t="str">
        <f t="array" ref="J50">IFERROR(_xlfn.IFS(ISBLANK(H50),"-",FIND("%",H50,1),(H50-I50)/100),H50-I50)</f>
        <v>-</v>
      </c>
      <c r="K50" s="264">
        <v>-7.0000000000000001E-3</v>
      </c>
      <c r="L50" s="264"/>
      <c r="M50" s="221">
        <f t="array" ref="M50">IFERROR(_xlfn.IFS(ISBLANK(K50),"-",FIND("%",K50,1),(K50-L50)/100),K50-L50)</f>
        <v>-7.0000000000000001E-3</v>
      </c>
      <c r="N50" s="264"/>
      <c r="O50" s="264"/>
      <c r="P50" s="221" t="str">
        <f t="array" ref="P50">IFERROR(_xlfn.IFS(ISBLANK(N50),"-",FIND("%",N50,1),(N50-O50)/100),N50-O50)</f>
        <v>-</v>
      </c>
      <c r="Q50" s="263">
        <v>-3.0000000000000001E-3</v>
      </c>
      <c r="R50" s="263">
        <v>4.0000000000000001E-3</v>
      </c>
      <c r="S50" s="221">
        <f t="array" ref="S50">IFERROR(_xlfn.IFS(ISBLANK(Q50),"-",FIND("%",Q50,1),(Q50-R50)/100),Q50-R50)</f>
        <v>-7.0000000000000001E-3</v>
      </c>
      <c r="T50" s="264"/>
      <c r="U50" s="264"/>
      <c r="V50" s="221" t="str">
        <f t="array" ref="V50">IFERROR(_xlfn.IFS(ISBLANK(T50),"-",FIND("%",T50,1),(T50-U50)/100),T50-U50)</f>
        <v>-</v>
      </c>
      <c r="W50" s="264"/>
      <c r="X50" s="264"/>
      <c r="Y50" s="221" t="str">
        <f t="array" ref="Y50">IFERROR(_xlfn.IFS(ISBLANK(W50),"-",FIND("%",W50,1),(W50-X50)/100),W50-X50)</f>
        <v>-</v>
      </c>
      <c r="Z50" s="264"/>
      <c r="AA50" s="264"/>
      <c r="AB50" s="221" t="str">
        <f t="array" ref="AB50">IFERROR(_xlfn.IFS(ISBLANK(Z50),"-",FIND("%",Z50,1),(Z50-AA50)/100),Z50-AA50)</f>
        <v>-</v>
      </c>
      <c r="AC50" s="264"/>
      <c r="AD50" s="264"/>
      <c r="AE50" s="221" t="str">
        <f t="array" ref="AE50">IFERROR(_xlfn.IFS(ISBLANK(AC50),"-",FIND("%",AC50,1),(AC50-AD50)/100),AC50-AD50)</f>
        <v>-</v>
      </c>
      <c r="AF50" s="264"/>
      <c r="AG50" s="264"/>
      <c r="AH50" s="221" t="str">
        <f t="array" ref="AH50">IFERROR(_xlfn.IFS(ISBLANK(AF50),"-",FIND("%",AF50,1),(AF50-AG50)/100),AF50-AG50)</f>
        <v>-</v>
      </c>
      <c r="AI50" s="264"/>
      <c r="AJ50" s="264"/>
      <c r="AK50" s="221" t="str">
        <f t="array" ref="AK50">IFERROR(_xlfn.IFS(ISBLANK(AI50),"-",FIND("%",AI50,1),(AI50-AJ50)/100),AI50-AJ50)</f>
        <v>-</v>
      </c>
      <c r="AL50" s="264"/>
      <c r="AM50" s="264"/>
      <c r="AN50" s="221" t="str">
        <f t="array" ref="AN50">IFERROR(_xlfn.IFS(ISBLANK(AL50),"-",FIND("%",AL50,1),(AL50-AM50)/100),AL50-AM50)</f>
        <v>-</v>
      </c>
      <c r="AO50" s="264"/>
      <c r="AP50" s="264"/>
      <c r="AQ50" s="221" t="str">
        <f t="array" ref="AQ50">IFERROR(_xlfn.IFS(ISBLANK(AO50),"-",FIND("%",AO50,1),(AO50-AP50)/100),AO50-AP50)</f>
        <v>-</v>
      </c>
      <c r="AR50" s="264"/>
      <c r="AS50" s="264"/>
      <c r="AT50" s="221" t="str">
        <f t="array" ref="AT50">IFERROR(_xlfn.IFS(ISBLANK(AR50),"-",FIND("%",AR50,1),(AR50-AS50)/100),AR50-AS50)</f>
        <v>-</v>
      </c>
      <c r="AU50" s="264"/>
      <c r="AV50" s="264"/>
      <c r="AW50" s="221" t="str">
        <f t="array" ref="AW50">IFERROR(_xlfn.IFS(ISBLANK(AU50),"-",FIND("%",AU50,1),(AU50-AV50)/100),AU50-AV50)</f>
        <v>-</v>
      </c>
    </row>
    <row r="51" spans="1:49" s="252" customFormat="1" x14ac:dyDescent="0.25">
      <c r="A51" s="269" t="s">
        <v>47</v>
      </c>
      <c r="B51" s="270"/>
      <c r="C51" s="270"/>
      <c r="D51" s="226" t="str">
        <f>IF(ISBLANK(B51),"-",B51-C51)</f>
        <v>-</v>
      </c>
      <c r="E51" s="270"/>
      <c r="F51" s="270"/>
      <c r="G51" s="226" t="str">
        <f>IF(ISBLANK(E51),"-",E51-F51)</f>
        <v>-</v>
      </c>
      <c r="H51" s="271">
        <v>-6.0000000000000001E-3</v>
      </c>
      <c r="I51" s="271">
        <v>-3.0000000000000001E-3</v>
      </c>
      <c r="J51" s="226">
        <f>IF(ISBLANK(H51),"-",H51-I51)</f>
        <v>-3.0000000000000001E-3</v>
      </c>
      <c r="K51" s="270">
        <v>4.0000000000000001E-3</v>
      </c>
      <c r="L51" s="270">
        <v>2.4E-2</v>
      </c>
      <c r="M51" s="226">
        <f>IF(ISBLANK(K51),"-",K51-L51)</f>
        <v>-0.02</v>
      </c>
      <c r="N51" s="272">
        <v>2E-3</v>
      </c>
      <c r="O51" s="272">
        <v>-6.0000000000000001E-3</v>
      </c>
      <c r="P51" s="226">
        <f>IF(ISBLANK(N51),"-",N51-O51)</f>
        <v>8.0000000000000002E-3</v>
      </c>
      <c r="Q51" s="272">
        <v>-3.0000000000000001E-3</v>
      </c>
      <c r="R51" s="272">
        <v>1E-3</v>
      </c>
      <c r="S51" s="226">
        <f>IF(ISBLANK(Q51),"-",Q51-R51)</f>
        <v>-4.0000000000000001E-3</v>
      </c>
      <c r="T51" s="272">
        <v>2E-3</v>
      </c>
      <c r="U51" s="272">
        <v>5.0000000000000001E-3</v>
      </c>
      <c r="V51" s="226">
        <f>IF(ISBLANK(T51),"-",T51-U51)</f>
        <v>-3.0000000000000001E-3</v>
      </c>
      <c r="W51" s="273">
        <v>3.0000000000000001E-3</v>
      </c>
      <c r="X51" s="272">
        <v>-2E-3</v>
      </c>
      <c r="Y51" s="226">
        <f>IF(ISBLANK(W51),"-",W51-X51)</f>
        <v>5.0000000000000001E-3</v>
      </c>
      <c r="Z51" s="272">
        <v>-1E-3</v>
      </c>
      <c r="AA51" s="272">
        <v>-6.0000000000000001E-3</v>
      </c>
      <c r="AB51" s="226">
        <f>IF(ISBLANK(Z51),"-",Z51-AA51)</f>
        <v>5.0000000000000001E-3</v>
      </c>
      <c r="AC51" s="272">
        <v>5.0000000000000001E-3</v>
      </c>
      <c r="AD51" s="272">
        <v>7.0000000000000001E-3</v>
      </c>
      <c r="AE51" s="226">
        <f>IF(ISBLANK(AC51),"-",AC51-AD51)</f>
        <v>-2E-3</v>
      </c>
      <c r="AF51" s="272">
        <v>7.0000000000000001E-3</v>
      </c>
      <c r="AG51" s="272">
        <v>-3.0000000000000001E-3</v>
      </c>
      <c r="AH51" s="226">
        <f>IF(ISBLANK(AF51),"-",AF51-AG51)</f>
        <v>0.01</v>
      </c>
      <c r="AI51" s="272">
        <v>-4.0000000000000001E-3</v>
      </c>
      <c r="AJ51" s="272">
        <v>-1E-3</v>
      </c>
      <c r="AK51" s="226">
        <f>IF(ISBLANK(AI51),"-",AI51-AJ51)</f>
        <v>-3.0000000000000001E-3</v>
      </c>
      <c r="AL51" s="272">
        <v>2E-3</v>
      </c>
      <c r="AM51" s="272">
        <v>2E-3</v>
      </c>
      <c r="AN51" s="226">
        <f>IF(ISBLANK(AL51),"-",AL51-AM51)</f>
        <v>0</v>
      </c>
      <c r="AO51" s="272">
        <v>3.0000000000000001E-3</v>
      </c>
      <c r="AP51" s="272">
        <v>-6.0000000000000001E-3</v>
      </c>
      <c r="AQ51" s="226">
        <f>IF(ISBLANK(AO51),"-",AO51-AP51)</f>
        <v>9.0000000000000011E-3</v>
      </c>
      <c r="AR51" s="272">
        <v>1.4999999999999999E-2</v>
      </c>
      <c r="AS51" s="272">
        <v>-8.9999999999999993E-3</v>
      </c>
      <c r="AT51" s="226">
        <f>IF(ISBLANK(AR51),"-",AR51-AS51)</f>
        <v>2.4E-2</v>
      </c>
      <c r="AU51" s="272">
        <v>4.0000000000000001E-3</v>
      </c>
      <c r="AV51" s="272">
        <v>0</v>
      </c>
      <c r="AW51" s="226">
        <f>IF(ISBLANK(AU51),"-",AU51-AV51)</f>
        <v>4.0000000000000001E-3</v>
      </c>
    </row>
    <row r="52" spans="1:49" s="252" customFormat="1" x14ac:dyDescent="0.25">
      <c r="A52" s="269" t="s">
        <v>48</v>
      </c>
      <c r="B52" s="270"/>
      <c r="C52" s="270"/>
      <c r="D52" s="226" t="str">
        <f>IF(ISBLANK(B52),"-",B52-C52)</f>
        <v>-</v>
      </c>
      <c r="E52" s="270"/>
      <c r="F52" s="270"/>
      <c r="G52" s="226" t="str">
        <f>IF(ISBLANK(E52),"-",E52-F52)</f>
        <v>-</v>
      </c>
      <c r="H52" s="271"/>
      <c r="I52" s="271"/>
      <c r="J52" s="226" t="str">
        <f>IF(ISBLANK(H52),"-",H52-I52)</f>
        <v>-</v>
      </c>
      <c r="K52" s="270">
        <v>-1E-3</v>
      </c>
      <c r="L52" s="270">
        <v>5.0000000000000001E-3</v>
      </c>
      <c r="M52" s="226">
        <f>IF(ISBLANK(K52),"-",K52-L52)</f>
        <v>-6.0000000000000001E-3</v>
      </c>
      <c r="N52" s="272">
        <v>-1E-3</v>
      </c>
      <c r="O52" s="270">
        <v>0</v>
      </c>
      <c r="P52" s="226">
        <f>IF(ISBLANK(N52),"-",N52-O52)</f>
        <v>-1E-3</v>
      </c>
      <c r="Q52" s="272">
        <v>0</v>
      </c>
      <c r="R52" s="272">
        <v>-4.0000000000000001E-3</v>
      </c>
      <c r="S52" s="226">
        <f>IF(ISBLANK(Q52),"-",Q52-R52)</f>
        <v>4.0000000000000001E-3</v>
      </c>
      <c r="T52" s="272">
        <v>-4.0000000000000001E-3</v>
      </c>
      <c r="U52" s="272">
        <v>7.0000000000000001E-3</v>
      </c>
      <c r="V52" s="226">
        <f>IF(ISBLANK(T52),"-",T52-U52)</f>
        <v>-1.0999999999999999E-2</v>
      </c>
      <c r="W52" s="272">
        <v>7.0000000000000001E-3</v>
      </c>
      <c r="X52" s="272">
        <v>2E-3</v>
      </c>
      <c r="Y52" s="226">
        <f>IF(ISBLANK(W52),"-",W52-X52)</f>
        <v>5.0000000000000001E-3</v>
      </c>
      <c r="Z52" s="272">
        <v>1E-3</v>
      </c>
      <c r="AA52" s="272">
        <v>-4.0000000000000001E-3</v>
      </c>
      <c r="AB52" s="226">
        <f>IF(ISBLANK(Z52),"-",Z52-AA52)</f>
        <v>5.0000000000000001E-3</v>
      </c>
      <c r="AC52" s="272">
        <v>-4.0000000000000001E-3</v>
      </c>
      <c r="AD52" s="272">
        <v>6.0000000000000001E-3</v>
      </c>
      <c r="AE52" s="226">
        <f>IF(ISBLANK(AC52),"-",AC52-AD52)</f>
        <v>-0.01</v>
      </c>
      <c r="AF52" s="272">
        <v>-4.0000000000000001E-3</v>
      </c>
      <c r="AG52" s="272">
        <v>-5.0000000000000001E-3</v>
      </c>
      <c r="AH52" s="226">
        <f>IF(ISBLANK(AF52),"-",AF52-AG52)</f>
        <v>1E-3</v>
      </c>
      <c r="AI52" s="272">
        <v>-5.0000000000000001E-3</v>
      </c>
      <c r="AJ52" s="272">
        <v>-3.0000000000000001E-3</v>
      </c>
      <c r="AK52" s="226">
        <f>IF(ISBLANK(AI52),"-",AI52-AJ52)</f>
        <v>-2E-3</v>
      </c>
      <c r="AL52" s="272">
        <v>-5.0000000000000001E-3</v>
      </c>
      <c r="AM52" s="272">
        <v>5.0000000000000001E-3</v>
      </c>
      <c r="AN52" s="226">
        <f>IF(ISBLANK(AL52),"-",AL52-AM52)</f>
        <v>-0.01</v>
      </c>
      <c r="AO52" s="272">
        <v>5.0000000000000001E-3</v>
      </c>
      <c r="AP52" s="272">
        <v>-2E-3</v>
      </c>
      <c r="AQ52" s="226">
        <f>IF(ISBLANK(AO52),"-",AO52-AP52)</f>
        <v>7.0000000000000001E-3</v>
      </c>
      <c r="AR52" s="272">
        <v>4.0000000000000001E-3</v>
      </c>
      <c r="AS52" s="272">
        <v>-1E-3</v>
      </c>
      <c r="AT52" s="226">
        <f>IF(ISBLANK(AR52),"-",AR52-AS52)</f>
        <v>5.0000000000000001E-3</v>
      </c>
      <c r="AU52" s="272">
        <v>0</v>
      </c>
      <c r="AV52" s="272">
        <v>1E-3</v>
      </c>
      <c r="AW52" s="226">
        <f>IF(ISBLANK(AU52),"-",AU52-AV52)</f>
        <v>-1E-3</v>
      </c>
    </row>
    <row r="53" spans="1:49" s="252" customFormat="1" x14ac:dyDescent="0.25">
      <c r="A53" s="269" t="s">
        <v>49</v>
      </c>
      <c r="B53" s="270"/>
      <c r="C53" s="270"/>
      <c r="D53" s="281" t="str">
        <f>IF(ISBLANK(B53),"-",B53-C53)</f>
        <v>-</v>
      </c>
      <c r="E53" s="270"/>
      <c r="F53" s="270"/>
      <c r="G53" s="281" t="str">
        <f>IF(ISBLANK(E53),"-",E53-F53)</f>
        <v>-</v>
      </c>
      <c r="H53" s="271"/>
      <c r="I53" s="271"/>
      <c r="J53" s="281" t="str">
        <f>IF(ISBLANK(H53),"-",H53-I53)</f>
        <v>-</v>
      </c>
      <c r="K53" s="270">
        <v>0</v>
      </c>
      <c r="L53" s="270">
        <v>0</v>
      </c>
      <c r="M53" s="281">
        <f>IF(ISBLANK(K53),"-",K53-L53)</f>
        <v>0</v>
      </c>
      <c r="N53" s="270">
        <v>-14</v>
      </c>
      <c r="O53" s="270">
        <v>-16</v>
      </c>
      <c r="P53" s="281">
        <f>IF(ISBLANK(N53),"-",N53-O53)</f>
        <v>2</v>
      </c>
      <c r="Q53" s="270">
        <v>-16</v>
      </c>
      <c r="R53" s="270">
        <v>-15</v>
      </c>
      <c r="S53" s="281">
        <f>IF(ISBLANK(Q53),"-",Q53-R53)</f>
        <v>-1</v>
      </c>
      <c r="T53" s="270">
        <v>-15</v>
      </c>
      <c r="U53" s="270">
        <v>-15</v>
      </c>
      <c r="V53" s="281">
        <f>IF(ISBLANK(T53),"-",T53-U53)</f>
        <v>0</v>
      </c>
      <c r="W53" s="270">
        <v>-15</v>
      </c>
      <c r="X53" s="270">
        <v>-15</v>
      </c>
      <c r="Y53" s="281">
        <f>IF(ISBLANK(W53),"-",W53-X53)</f>
        <v>0</v>
      </c>
      <c r="Z53" s="270">
        <v>-15</v>
      </c>
      <c r="AA53" s="270">
        <v>-14</v>
      </c>
      <c r="AB53" s="281">
        <f>IF(ISBLANK(Z53),"-",Z53-AA53)</f>
        <v>-1</v>
      </c>
      <c r="AC53" s="270">
        <v>-14</v>
      </c>
      <c r="AD53" s="270">
        <v>-14</v>
      </c>
      <c r="AE53" s="281">
        <f>IF(ISBLANK(AC53),"-",AC53-AD53)</f>
        <v>0</v>
      </c>
      <c r="AF53" s="270">
        <v>-14</v>
      </c>
      <c r="AG53" s="270">
        <v>-14</v>
      </c>
      <c r="AH53" s="281">
        <f>IF(ISBLANK(AF53),"-",AF53-AG53)</f>
        <v>0</v>
      </c>
      <c r="AI53" s="282">
        <v>-14</v>
      </c>
      <c r="AJ53" s="270">
        <v>-13</v>
      </c>
      <c r="AK53" s="281">
        <f>IF(ISBLANK(AI53),"-",AI53-AJ53)</f>
        <v>-1</v>
      </c>
      <c r="AL53" s="270">
        <v>-13</v>
      </c>
      <c r="AM53" s="270">
        <v>-13</v>
      </c>
      <c r="AN53" s="281">
        <f>IF(ISBLANK(AL53),"-",AL53-AM53)</f>
        <v>0</v>
      </c>
      <c r="AO53" s="270">
        <v>-13</v>
      </c>
      <c r="AP53" s="270">
        <v>-13</v>
      </c>
      <c r="AQ53" s="281">
        <f>IF(ISBLANK(AO53),"-",AO53-AP53)</f>
        <v>0</v>
      </c>
      <c r="AR53" s="270">
        <v>-14</v>
      </c>
      <c r="AS53" s="270">
        <v>-14</v>
      </c>
      <c r="AT53" s="281">
        <f>IF(ISBLANK(AR53),"-",AR53-AS53)</f>
        <v>0</v>
      </c>
      <c r="AU53" s="270">
        <v>-15</v>
      </c>
      <c r="AV53" s="270">
        <v>-15</v>
      </c>
      <c r="AW53" s="281">
        <f>IF(ISBLANK(AU53),"-",AU53-AV53)</f>
        <v>0</v>
      </c>
    </row>
    <row r="54" spans="1:49" s="252" customFormat="1" x14ac:dyDescent="0.25">
      <c r="A54" s="241"/>
      <c r="B54" s="223"/>
      <c r="C54" s="223"/>
      <c r="D54" s="217"/>
      <c r="E54" s="223"/>
      <c r="F54" s="223"/>
      <c r="G54" s="217"/>
      <c r="H54" s="287"/>
      <c r="I54" s="287"/>
      <c r="J54" s="217"/>
      <c r="K54" s="223"/>
      <c r="L54" s="223"/>
      <c r="M54" s="217"/>
      <c r="N54" s="223"/>
      <c r="O54" s="223"/>
      <c r="P54" s="217"/>
      <c r="Q54" s="223"/>
      <c r="R54" s="223"/>
      <c r="S54" s="217"/>
      <c r="T54" s="223"/>
      <c r="U54" s="223"/>
      <c r="V54" s="217"/>
      <c r="W54" s="223"/>
      <c r="X54" s="223"/>
      <c r="Y54" s="217"/>
      <c r="Z54" s="223"/>
      <c r="AA54" s="223"/>
      <c r="AB54" s="217"/>
      <c r="AC54" s="223"/>
      <c r="AD54" s="223"/>
      <c r="AE54" s="217"/>
      <c r="AF54" s="223"/>
      <c r="AG54" s="223"/>
      <c r="AH54" s="217"/>
      <c r="AI54" s="223"/>
      <c r="AJ54" s="223"/>
      <c r="AK54" s="217"/>
      <c r="AL54" s="223"/>
      <c r="AM54" s="223"/>
      <c r="AN54" s="217"/>
      <c r="AO54" s="223"/>
      <c r="AP54" s="223"/>
      <c r="AQ54" s="217"/>
      <c r="AR54" s="223"/>
      <c r="AS54" s="223"/>
      <c r="AT54" s="217"/>
      <c r="AU54" s="223"/>
      <c r="AV54" s="223"/>
      <c r="AW54" s="217"/>
    </row>
    <row r="55" spans="1:49" s="252" customFormat="1" x14ac:dyDescent="0.25">
      <c r="A55" s="236" t="s">
        <v>50</v>
      </c>
      <c r="B55" s="332" t="str">
        <f>IF(AND(D56="-",D57="-",D58="-",D59="-",D60="-",D61="-",D62="-",D63="-",D64="-",D65="-",D66="-",D67="-",D68="-",D69="-",D70="-",D71="-",D72="-",D73="-",D74="-",D75="-",D76="-",D77="-",D78="-",D79="-",D80="-",D81="-",D82="-",D83="-",D84="-",D85="-",D86="-",D87="-"), "",
    IF(SUM(
        IF(D56="-",0,IF(D56&lt;0,-2,IF(D56&gt;0,2,0))),
        IF(D57="-",0,IF(D57&lt;0,-2,IF(D57&gt;0,2,0))),
        IF(D58="-",0,IF(D58&lt;0,-2,IF(D58&gt;0,2,0))),
        IF(D59="-",0,IF(D59&lt;0,-2,IF(D59&gt;0,2,0))),
        IF(D60="-",0,IF(D60&lt;0,-2,IF(D60&gt;0,2,0))),
        IF(D61="-",0,IF(D61&lt;0,-2,IF(D61&gt;0,2,0))),
        IF(D62="-",0,IF(D62&lt;0,-2,IF(D62&gt;0,2,0))),
        IF(D63="-",0,IF(D63&lt;0,-2,IF(D63&gt;0,2,0))),
        IF(D64="-",0,IF(D64&lt;0,-2,IF(D64&gt;0,2,0))),
        IF(D65="-",0,IF(D65&lt;0,-2,IF(D65&gt;0,2,0))),
        IF(D66="-",0,IF(D66&lt;0,-2,IF(D66&gt;0,2,0))),
        IF(D67="-",0,IF(D67&lt;0,-2,IF(D67&gt;0,2,0))),
        IF(D68="-",0,IF(D68&lt;0,-1,IF(D68&gt;0,1,0))),
        IF(D69="-",0,IF(D69&lt;0,-1,IF(D69&gt;0,1,0))),
        IF(D70="-",0,IF(D70&lt;0,-1,IF(D70&gt;0,1,0))),
        IF(D71="-",0,IF(D71&lt;0,-1,IF(D71&gt;0,1,0))),
        IF(D72="-",0,IF(D72&lt;0,-1,IF(D72&gt;0,1,0))),
        IF(D73="-",0,IF(D73&lt;0,-1,IF(D73&gt;0,1,0))),
        IF(D74="-",0,IF(D74&lt;0,-1,IF(D74&gt;0,1,0))),
        IF(D75="-",0,IF(D75&lt;0,-1,IF(D75&gt;0,1,0))),
        IF(D76="-",0,IF(D76&lt;0,-1,IF(D76&gt;0,1,0))),
        IF(D77="-",0,IF(D77&lt;0,-1,IF(D77&gt;0,1,0))),
        IF(D78="-",0,IF(D78&lt;0,-1,IF(D78&gt;0,1,0))),
        IF(D79="-",0,IF(D79&lt;0,-1,IF(D79&gt;0,1,0))),
        IF(D80="-",0,IF(D80&lt;0,-1,IF(D80&gt;0,1,0))),
        IF(D81="-",0,IF(D81&lt;0,-1,IF(D81&gt;0,1,0))),
        IF(D82="-",0,IF(D82&lt;0,-1,IF(D82&gt;0,1,0))),
        IF(D83="-",0,IF(D83&lt;0,-1,IF(D83&gt;0,1,0))),
        IF(D84="-",0,IF(D84&lt;0,-1,IF(D84&gt;0,1,0))),
        IF(D85="-",0,IF(D85&lt;0,-1,IF(D85&gt;0,1,0))),
        IF(D86="-",0,IF(D86&lt;0,-1,IF(D86&gt;0,1,0))),
        IF(D87="-",0,IF(D87&lt;0,-1,IF(D87&gt;0,1,0)))
        )/44 &gt; 0.1, "BULLISH",
    IF(SUM(
        IF(D56="-",0,IF(D56&lt;0,-2,IF(D56&gt;0,2,0))),
        IF(D57="-",0,IF(D57&lt;0,-2,IF(D57&gt;0,2,0))),
        IF(D58="-",0,IF(D58&lt;0,-2,IF(D58&gt;0,2,0))),
        IF(D59="-",0,IF(D59&lt;0,-2,IF(D59&gt;0,2,0))),
        IF(D60="-",0,IF(D60&lt;0,-2,IF(D60&gt;0,2,0))),
        IF(D61="-",0,IF(D61&lt;0,-2,IF(D61&gt;0,2,0))),
        IF(D62="-",0,IF(D62&lt;0,-2,IF(D62&gt;0,2,0))),
        IF(D63="-",0,IF(D63&lt;0,-2,IF(D63&gt;0,2,0))),
        IF(D64="-",0,IF(D64&lt;0,-2,IF(D64&gt;0,2,0))),
        IF(D65="-",0,IF(D65&lt;0,-2,IF(D65&gt;0,2,0))),
        IF(D66="-",0,IF(D66&lt;0,-2,IF(D66&gt;0,2,0))),
        IF(D67="-",0,IF(D67&lt;0,-2,IF(D67&gt;0,2,0))),
        IF(D68="-",0,IF(D68&lt;0,-1,IF(D68&gt;0,1,0))),
        IF(D69="-",0,IF(D69&lt;0,-1,IF(D69&gt;0,1,0))),
        IF(D70="-",0,IF(D70&lt;0,-1,IF(D70&gt;0,1,0))),
        IF(D71="-",0,IF(D71&lt;0,-1,IF(D71&gt;0,1,0))),
        IF(D72="-",0,IF(D72&lt;0,-1,IF(D72&gt;0,1,0))),
        IF(D73="-",0,IF(D73&lt;0,-1,IF(D73&gt;0,1,0))),
        IF(D74="-",0,IF(D74&lt;0,-1,IF(D74&gt;0,1,0))),
        IF(D75="-",0,IF(D75&lt;0,-1,IF(D75&gt;0,1,0))),
        IF(D76="-",0,IF(D76&lt;0,-1,IF(D76&gt;0,1,0))),
        IF(D77="-",0,IF(D77&lt;0,-1,IF(D77&gt;0,1,0))),
        IF(D78="-",0,IF(D78&lt;0,-1,IF(D78&gt;0,1,0))),
        IF(D79="-",0,IF(D79&lt;0,-1,IF(D79&gt;0,1,0))),
        IF(D80="-",0,IF(D80&lt;0,-1,IF(D80&gt;0,1,0))),
        IF(D81="-",0,IF(D81&lt;0,-1,IF(D81&gt;0,1,0))),
        IF(D82="-",0,IF(D82&lt;0,-1,IF(D82&gt;0,1,0))),
        IF(D83="-",0,IF(D83&lt;0,-1,IF(D83&gt;0,1,0))),
        IF(D84="-",0,IF(D84&lt;0,-1,IF(D84&gt;0,1,0))),
        IF(D85="-",0,IF(D85&lt;0,-1,IF(D85&gt;0,1,0))),
        IF(D86="-",0,IF(D86&lt;0,-1,IF(D86&gt;0,1,0))),
        IF(D87="-",0,IF(D87&lt;0,-1,IF(D87&gt;0,1,0)))
        )/44 &lt; -0.1, "BEARISH",
    IF(SUM(
        IF(D56="-",0,IF(D56&lt;0,-2,IF(D56&gt;0,2,0))),
        IF(D57="-",0,IF(D57&lt;0,-2,IF(D57&gt;0,2,0))),
        IF(D58="-",0,IF(D58&lt;0,-2,IF(D58&gt;0,2,0))),
        IF(D59="-",0,IF(D59&lt;0,-2,IF(D59&gt;0,2,0))),
        IF(D60="-",0,IF(D60&lt;0,-2,IF(D60&gt;0,2,0))),
        IF(D61="-",0,IF(D61&lt;0,-2,IF(D61&gt;0,2,0))),
        IF(D62="-",0,IF(D62&lt;0,-2,IF(D62&gt;0,2,0))),
        IF(D63="-",0,IF(D63&lt;0,-2,IF(D63&gt;0,2,0))),
        IF(D64="-",0,IF(D64&lt;0,-2,IF(D64&gt;0,2,0))),
        IF(D65="-",0,IF(D65&lt;0,-2,IF(D65&gt;0,2,0))),
        IF(D66="-",0,IF(D66&lt;0,-2,IF(D66&gt;0,2,0))),
        IF(D67="-",0,IF(D67&lt;0,-2,IF(D67&gt;0,2,0))),
        IF(D68="-",0,IF(D68&lt;0,-1,IF(D68&gt;0,1,0))),
        IF(D69="-",0,IF(D69&lt;0,-1,IF(D69&gt;0,1,0))),
        IF(D70="-",0,IF(D70&lt;0,-1,IF(D70&gt;0,1,0))),
        IF(D71="-",0,IF(D71&lt;0,-1,IF(D71&gt;0,1,0))),
        IF(D72="-",0,IF(D72&lt;0,-1,IF(D72&gt;0,1,0))),
        IF(D73="-",0,IF(D73&lt;0,-1,IF(D73&gt;0,1,0))),
        IF(D74="-",0,IF(D74&lt;0,-1,IF(D74&gt;0,1,0))),
        IF(D75="-",0,IF(D75&lt;0,-1,IF(D75&gt;0,1,0))),
        IF(D76="-",0,IF(D76&lt;0,-1,IF(D76&gt;0,1,0))),
        IF(D77="-",0,IF(D77&lt;0,-1,IF(D77&gt;0,1,0))),
        IF(D78="-",0,IF(D78&lt;0,-1,IF(D78&gt;0,1,0))),
        IF(D79="-",0,IF(D79&lt;0,-1,IF(D79&gt;0,1,0))),
        IF(D80="-",0,IF(D80&lt;0,-1,IF(D80&gt;0,1,0))),
        IF(D81="-",0,IF(D81&lt;0,-1,IF(D81&gt;0,1,0))),
        IF(D82="-",0,IF(D82&lt;0,-1,IF(D82&gt;0,1,0))),
        IF(D83="-",0,IF(D83&lt;0,-1,IF(D83&gt;0,1,0))),
        IF(D84="-",0,IF(D84&lt;0,-1,IF(D84&gt;0,1,0))),
        IF(D85="-",0,IF(D85&lt;0,-1,IF(D85&gt;0,1,0))),
        IF(D86="-",0,IF(D86&lt;0,-1,IF(D86&gt;0,1,0))),
        IF(D87="-",0,IF(D87&lt;0,-1,IF(D87&gt;0,1,0)))
        )/44 &lt;= 0.1, "NEUTRAL", ""))
    ))</f>
        <v/>
      </c>
      <c r="C55" s="332"/>
      <c r="D55" s="332"/>
      <c r="E55" s="332" t="str">
        <f>IF(AND(G56="-",G57="-",G58="-",G59="-",G60="-",G61="-",G62="-",G63="-",G64="-",G65="-",G66="-",G67="-",G68="-",G69="-",G70="-",G71="-",G72="-",G73="-",G74="-",G75="-",G76="-",G77="-",G78="-",G79="-",G80="-",G81="-",G82="-",G83="-",G84="-",G85="-",G86="-",G87="-"), "",
    IF(SUM(
        IF(G56="-",0,IF(G56&lt;0,-2,IF(G56&gt;0,2,0))),
        IF(G57="-",0,IF(G57&lt;0,-2,IF(G57&gt;0,2,0))),
        IF(G58="-",0,IF(G58&lt;0,-2,IF(G58&gt;0,2,0))),
        IF(G59="-",0,IF(G59&lt;0,-2,IF(G59&gt;0,2,0))),
        IF(G60="-",0,IF(G60&lt;0,-2,IF(G60&gt;0,2,0))),
        IF(G61="-",0,IF(G61&lt;0,-2,IF(G61&gt;0,2,0))),
        IF(G62="-",0,IF(G62&lt;0,-2,IF(G62&gt;0,2,0))),
        IF(G63="-",0,IF(G63&lt;0,-2,IF(G63&gt;0,2,0))),
        IF(G64="-",0,IF(G64&lt;0,-2,IF(G64&gt;0,2,0))),
        IF(G65="-",0,IF(G65&lt;0,-2,IF(G65&gt;0,2,0))),
        IF(G66="-",0,IF(G66&lt;0,-2,IF(G66&gt;0,2,0))),
        IF(G67="-",0,IF(G67&lt;0,-2,IF(G67&gt;0,2,0))),
        IF(G68="-",0,IF(G68&lt;0,-1,IF(G68&gt;0,1,0))),
        IF(G69="-",0,IF(G69&lt;0,-1,IF(G69&gt;0,1,0))),
        IF(G70="-",0,IF(G70&lt;0,-1,IF(G70&gt;0,1,0))),
        IF(G71="-",0,IF(G71&lt;0,-1,IF(G71&gt;0,1,0))),
        IF(G72="-",0,IF(G72&lt;0,-1,IF(G72&gt;0,1,0))),
        IF(G73="-",0,IF(G73&lt;0,-1,IF(G73&gt;0,1,0))),
        IF(G74="-",0,IF(G74&lt;0,-1,IF(G74&gt;0,1,0))),
        IF(G75="-",0,IF(G75&lt;0,-1,IF(G75&gt;0,1,0))),
        IF(G76="-",0,IF(G76&lt;0,-1,IF(G76&gt;0,1,0))),
        IF(G77="-",0,IF(G77&lt;0,-1,IF(G77&gt;0,1,0))),
        IF(G78="-",0,IF(G78&lt;0,-1,IF(G78&gt;0,1,0))),
        IF(G79="-",0,IF(G79&lt;0,-1,IF(G79&gt;0,1,0))),
        IF(G80="-",0,IF(G80&lt;0,-1,IF(G80&gt;0,1,0))),
        IF(G81="-",0,IF(G81&lt;0,-1,IF(G81&gt;0,1,0))),
        IF(G82="-",0,IF(G82&lt;0,-1,IF(G82&gt;0,1,0))),
        IF(G83="-",0,IF(G83&lt;0,-1,IF(G83&gt;0,1,0))),
        IF(G84="-",0,IF(G84&lt;0,-1,IF(G84&gt;0,1,0))),
        IF(G85="-",0,IF(G85&lt;0,-1,IF(G85&gt;0,1,0))),
        IF(G86="-",0,IF(G86&lt;0,-1,IF(G86&gt;0,1,0))),
        IF(G87="-",0,IF(G87&lt;0,-1,IF(G87&gt;0,1,0)))
        )/44 &gt; 0.1, "BULLISH",
    IF(SUM(
        IF(G56="-",0,IF(G56&lt;0,-2,IF(G56&gt;0,2,0))),
        IF(G57="-",0,IF(G57&lt;0,-2,IF(G57&gt;0,2,0))),
        IF(G58="-",0,IF(G58&lt;0,-2,IF(G58&gt;0,2,0))),
        IF(G59="-",0,IF(G59&lt;0,-2,IF(G59&gt;0,2,0))),
        IF(G60="-",0,IF(G60&lt;0,-2,IF(G60&gt;0,2,0))),
        IF(G61="-",0,IF(G61&lt;0,-2,IF(G61&gt;0,2,0))),
        IF(G62="-",0,IF(G62&lt;0,-2,IF(G62&gt;0,2,0))),
        IF(G63="-",0,IF(G63&lt;0,-2,IF(G63&gt;0,2,0))),
        IF(G64="-",0,IF(G64&lt;0,-2,IF(G64&gt;0,2,0))),
        IF(G65="-",0,IF(G65&lt;0,-2,IF(G65&gt;0,2,0))),
        IF(G66="-",0,IF(G66&lt;0,-2,IF(G66&gt;0,2,0))),
        IF(G67="-",0,IF(G67&lt;0,-2,IF(G67&gt;0,2,0))),
        IF(G68="-",0,IF(G68&lt;0,-1,IF(G68&gt;0,1,0))),
        IF(G69="-",0,IF(G69&lt;0,-1,IF(G69&gt;0,1,0))),
        IF(G70="-",0,IF(G70&lt;0,-1,IF(G70&gt;0,1,0))),
        IF(G71="-",0,IF(G71&lt;0,-1,IF(G71&gt;0,1,0))),
        IF(G72="-",0,IF(G72&lt;0,-1,IF(G72&gt;0,1,0))),
        IF(G73="-",0,IF(G73&lt;0,-1,IF(G73&gt;0,1,0))),
        IF(G74="-",0,IF(G74&lt;0,-1,IF(G74&gt;0,1,0))),
        IF(G75="-",0,IF(G75&lt;0,-1,IF(G75&gt;0,1,0))),
        IF(G76="-",0,IF(G76&lt;0,-1,IF(G76&gt;0,1,0))),
        IF(G77="-",0,IF(G77&lt;0,-1,IF(G77&gt;0,1,0))),
        IF(G78="-",0,IF(G78&lt;0,-1,IF(G78&gt;0,1,0))),
        IF(G79="-",0,IF(G79&lt;0,-1,IF(G79&gt;0,1,0))),
        IF(G80="-",0,IF(G80&lt;0,-1,IF(G80&gt;0,1,0))),
        IF(G81="-",0,IF(G81&lt;0,-1,IF(G81&gt;0,1,0))),
        IF(G82="-",0,IF(G82&lt;0,-1,IF(G82&gt;0,1,0))),
        IF(G83="-",0,IF(G83&lt;0,-1,IF(G83&gt;0,1,0))),
        IF(G84="-",0,IF(G84&lt;0,-1,IF(G84&gt;0,1,0))),
        IF(G85="-",0,IF(G85&lt;0,-1,IF(G85&gt;0,1,0))),
        IF(G86="-",0,IF(G86&lt;0,-1,IF(G86&gt;0,1,0))),
        IF(G87="-",0,IF(G87&lt;0,-1,IF(G87&gt;0,1,0)))
        )/44 &lt; -0.1, "BEARISH",
    IF(SUM(
        IF(G56="-",0,IF(G56&lt;0,-2,IF(G56&gt;0,2,0))),
        IF(G57="-",0,IF(G57&lt;0,-2,IF(G57&gt;0,2,0))),
        IF(G58="-",0,IF(G58&lt;0,-2,IF(G58&gt;0,2,0))),
        IF(G59="-",0,IF(G59&lt;0,-2,IF(G59&gt;0,2,0))),
        IF(G60="-",0,IF(G60&lt;0,-2,IF(G60&gt;0,2,0))),
        IF(G61="-",0,IF(G61&lt;0,-2,IF(G61&gt;0,2,0))),
        IF(G62="-",0,IF(G62&lt;0,-2,IF(G62&gt;0,2,0))),
        IF(G63="-",0,IF(G63&lt;0,-2,IF(G63&gt;0,2,0))),
        IF(G64="-",0,IF(G64&lt;0,-2,IF(G64&gt;0,2,0))),
        IF(G65="-",0,IF(G65&lt;0,-2,IF(G65&gt;0,2,0))),
        IF(G66="-",0,IF(G66&lt;0,-2,IF(G66&gt;0,2,0))),
        IF(G67="-",0,IF(G67&lt;0,-2,IF(G67&gt;0,2,0))),
        IF(G68="-",0,IF(G68&lt;0,-1,IF(G68&gt;0,1,0))),
        IF(G69="-",0,IF(G69&lt;0,-1,IF(G69&gt;0,1,0))),
        IF(G70="-",0,IF(G70&lt;0,-1,IF(G70&gt;0,1,0))),
        IF(G71="-",0,IF(G71&lt;0,-1,IF(G71&gt;0,1,0))),
        IF(G72="-",0,IF(G72&lt;0,-1,IF(G72&gt;0,1,0))),
        IF(G73="-",0,IF(G73&lt;0,-1,IF(G73&gt;0,1,0))),
        IF(G74="-",0,IF(G74&lt;0,-1,IF(G74&gt;0,1,0))),
        IF(G75="-",0,IF(G75&lt;0,-1,IF(G75&gt;0,1,0))),
        IF(G76="-",0,IF(G76&lt;0,-1,IF(G76&gt;0,1,0))),
        IF(G77="-",0,IF(G77&lt;0,-1,IF(G77&gt;0,1,0))),
        IF(G78="-",0,IF(G78&lt;0,-1,IF(G78&gt;0,1,0))),
        IF(G79="-",0,IF(G79&lt;0,-1,IF(G79&gt;0,1,0))),
        IF(G80="-",0,IF(G80&lt;0,-1,IF(G80&gt;0,1,0))),
        IF(G81="-",0,IF(G81&lt;0,-1,IF(G81&gt;0,1,0))),
        IF(G82="-",0,IF(G82&lt;0,-1,IF(G82&gt;0,1,0))),
        IF(G83="-",0,IF(G83&lt;0,-1,IF(G83&gt;0,1,0))),
        IF(G84="-",0,IF(G84&lt;0,-1,IF(G84&gt;0,1,0))),
        IF(G85="-",0,IF(G85&lt;0,-1,IF(G85&gt;0,1,0))),
        IF(G86="-",0,IF(G86&lt;0,-1,IF(G86&gt;0,1,0))),
        IF(G87="-",0,IF(G87&lt;0,-1,IF(G87&gt;0,1,0)))
        )/44 &lt;= 0.1, "NEUTRAL", ""))
    ))</f>
        <v>NEUTRAL</v>
      </c>
      <c r="F55" s="332"/>
      <c r="G55" s="332"/>
      <c r="H55" s="332" t="str">
        <f>IF(AND(J56="-",J57="-",J58="-",J59="-",J60="-",J61="-",J62="-",J63="-",J64="-",J65="-",J66="-",J67="-",J68="-",J69="-",J70="-",J71="-",J72="-",J73="-",J74="-",J75="-",J76="-",J77="-",J78="-",J79="-",J80="-",J81="-",J82="-",J83="-",J84="-",J85="-",J86="-",J87="-"), "",
    IF(SUM(
        IF(J56="-",0,IF(J56&lt;0,-2,IF(J56&gt;0,2,0))),
        IF(J57="-",0,IF(J57&lt;0,-2,IF(J57&gt;0,2,0))),
        IF(J58="-",0,IF(J58&lt;0,-2,IF(J58&gt;0,2,0))),
        IF(J59="-",0,IF(J59&lt;0,-2,IF(J59&gt;0,2,0))),
        IF(J60="-",0,IF(J60&lt;0,-2,IF(J60&gt;0,2,0))),
        IF(J61="-",0,IF(J61&lt;0,-2,IF(J61&gt;0,2,0))),
        IF(J62="-",0,IF(J62&lt;0,-2,IF(J62&gt;0,2,0))),
        IF(J63="-",0,IF(J63&lt;0,-2,IF(J63&gt;0,2,0))),
        IF(J64="-",0,IF(J64&lt;0,-2,IF(J64&gt;0,2,0))),
        IF(J65="-",0,IF(J65&lt;0,-2,IF(J65&gt;0,2,0))),
        IF(J66="-",0,IF(J66&lt;0,-2,IF(J66&gt;0,2,0))),
        IF(J67="-",0,IF(J67&lt;0,-2,IF(J67&gt;0,2,0))),
        IF(J68="-",0,IF(J68&lt;0,-1,IF(J68&gt;0,1,0))),
        IF(J69="-",0,IF(J69&lt;0,-1,IF(J69&gt;0,1,0))),
        IF(J70="-",0,IF(J70&lt;0,-1,IF(J70&gt;0,1,0))),
        IF(J71="-",0,IF(J71&lt;0,-1,IF(J71&gt;0,1,0))),
        IF(J72="-",0,IF(J72&lt;0,-1,IF(J72&gt;0,1,0))),
        IF(J73="-",0,IF(J73&lt;0,-1,IF(J73&gt;0,1,0))),
        IF(J74="-",0,IF(J74&lt;0,-1,IF(J74&gt;0,1,0))),
        IF(J75="-",0,IF(J75&lt;0,-1,IF(J75&gt;0,1,0))),
        IF(J76="-",0,IF(J76&lt;0,-1,IF(J76&gt;0,1,0))),
        IF(J77="-",0,IF(J77&lt;0,-1,IF(J77&gt;0,1,0))),
        IF(J78="-",0,IF(J78&lt;0,-1,IF(J78&gt;0,1,0))),
        IF(J79="-",0,IF(J79&lt;0,-1,IF(J79&gt;0,1,0))),
        IF(J80="-",0,IF(J80&lt;0,-1,IF(J80&gt;0,1,0))),
        IF(J81="-",0,IF(J81&lt;0,-1,IF(J81&gt;0,1,0))),
        IF(J82="-",0,IF(J82&lt;0,-1,IF(J82&gt;0,1,0))),
        IF(J83="-",0,IF(J83&lt;0,-1,IF(J83&gt;0,1,0))),
        IF(J84="-",0,IF(J84&lt;0,-1,IF(J84&gt;0,1,0))),
        IF(J85="-",0,IF(J85&lt;0,-1,IF(J85&gt;0,1,0))),
        IF(J86="-",0,IF(J86&lt;0,-1,IF(J86&gt;0,1,0))),
        IF(J87="-",0,IF(J87&lt;0,-1,IF(J87&gt;0,1,0)))
        )/44 &gt; 0.1, "BULLISH",
    IF(SUM(
        IF(J56="-",0,IF(J56&lt;0,-2,IF(J56&gt;0,2,0))),
        IF(J57="-",0,IF(J57&lt;0,-2,IF(J57&gt;0,2,0))),
        IF(J58="-",0,IF(J58&lt;0,-2,IF(J58&gt;0,2,0))),
        IF(J59="-",0,IF(J59&lt;0,-2,IF(J59&gt;0,2,0))),
        IF(J60="-",0,IF(J60&lt;0,-2,IF(J60&gt;0,2,0))),
        IF(J61="-",0,IF(J61&lt;0,-2,IF(J61&gt;0,2,0))),
        IF(J62="-",0,IF(J62&lt;0,-2,IF(J62&gt;0,2,0))),
        IF(J63="-",0,IF(J63&lt;0,-2,IF(J63&gt;0,2,0))),
        IF(J64="-",0,IF(J64&lt;0,-2,IF(J64&gt;0,2,0))),
        IF(J65="-",0,IF(J65&lt;0,-2,IF(J65&gt;0,2,0))),
        IF(J66="-",0,IF(J66&lt;0,-2,IF(J66&gt;0,2,0))),
        IF(J67="-",0,IF(J67&lt;0,-2,IF(J67&gt;0,2,0))),
        IF(J68="-",0,IF(J68&lt;0,-1,IF(J68&gt;0,1,0))),
        IF(J69="-",0,IF(J69&lt;0,-1,IF(J69&gt;0,1,0))),
        IF(J70="-",0,IF(J70&lt;0,-1,IF(J70&gt;0,1,0))),
        IF(J71="-",0,IF(J71&lt;0,-1,IF(J71&gt;0,1,0))),
        IF(J72="-",0,IF(J72&lt;0,-1,IF(J72&gt;0,1,0))),
        IF(J73="-",0,IF(J73&lt;0,-1,IF(J73&gt;0,1,0))),
        IF(J74="-",0,IF(J74&lt;0,-1,IF(J74&gt;0,1,0))),
        IF(J75="-",0,IF(J75&lt;0,-1,IF(J75&gt;0,1,0))),
        IF(J76="-",0,IF(J76&lt;0,-1,IF(J76&gt;0,1,0))),
        IF(J77="-",0,IF(J77&lt;0,-1,IF(J77&gt;0,1,0))),
        IF(J78="-",0,IF(J78&lt;0,-1,IF(J78&gt;0,1,0))),
        IF(J79="-",0,IF(J79&lt;0,-1,IF(J79&gt;0,1,0))),
        IF(J80="-",0,IF(J80&lt;0,-1,IF(J80&gt;0,1,0))),
        IF(J81="-",0,IF(J81&lt;0,-1,IF(J81&gt;0,1,0))),
        IF(J82="-",0,IF(J82&lt;0,-1,IF(J82&gt;0,1,0))),
        IF(J83="-",0,IF(J83&lt;0,-1,IF(J83&gt;0,1,0))),
        IF(J84="-",0,IF(J84&lt;0,-1,IF(J84&gt;0,1,0))),
        IF(J85="-",0,IF(J85&lt;0,-1,IF(J85&gt;0,1,0))),
        IF(J86="-",0,IF(J86&lt;0,-1,IF(J86&gt;0,1,0))),
        IF(J87="-",0,IF(J87&lt;0,-1,IF(J87&gt;0,1,0)))
        )/44 &lt; -0.1, "BEARISH",
    IF(SUM(
        IF(J56="-",0,IF(J56&lt;0,-2,IF(J56&gt;0,2,0))),
        IF(J57="-",0,IF(J57&lt;0,-2,IF(J57&gt;0,2,0))),
        IF(J58="-",0,IF(J58&lt;0,-2,IF(J58&gt;0,2,0))),
        IF(J59="-",0,IF(J59&lt;0,-2,IF(J59&gt;0,2,0))),
        IF(J60="-",0,IF(J60&lt;0,-2,IF(J60&gt;0,2,0))),
        IF(J61="-",0,IF(J61&lt;0,-2,IF(J61&gt;0,2,0))),
        IF(J62="-",0,IF(J62&lt;0,-2,IF(J62&gt;0,2,0))),
        IF(J63="-",0,IF(J63&lt;0,-2,IF(J63&gt;0,2,0))),
        IF(J64="-",0,IF(J64&lt;0,-2,IF(J64&gt;0,2,0))),
        IF(J65="-",0,IF(J65&lt;0,-2,IF(J65&gt;0,2,0))),
        IF(J66="-",0,IF(J66&lt;0,-2,IF(J66&gt;0,2,0))),
        IF(J67="-",0,IF(J67&lt;0,-2,IF(J67&gt;0,2,0))),
        IF(J68="-",0,IF(J68&lt;0,-1,IF(J68&gt;0,1,0))),
        IF(J69="-",0,IF(J69&lt;0,-1,IF(J69&gt;0,1,0))),
        IF(J70="-",0,IF(J70&lt;0,-1,IF(J70&gt;0,1,0))),
        IF(J71="-",0,IF(J71&lt;0,-1,IF(J71&gt;0,1,0))),
        IF(J72="-",0,IF(J72&lt;0,-1,IF(J72&gt;0,1,0))),
        IF(J73="-",0,IF(J73&lt;0,-1,IF(J73&gt;0,1,0))),
        IF(J74="-",0,IF(J74&lt;0,-1,IF(J74&gt;0,1,0))),
        IF(J75="-",0,IF(J75&lt;0,-1,IF(J75&gt;0,1,0))),
        IF(J76="-",0,IF(J76&lt;0,-1,IF(J76&gt;0,1,0))),
        IF(J77="-",0,IF(J77&lt;0,-1,IF(J77&gt;0,1,0))),
        IF(J78="-",0,IF(J78&lt;0,-1,IF(J78&gt;0,1,0))),
        IF(J79="-",0,IF(J79&lt;0,-1,IF(J79&gt;0,1,0))),
        IF(J80="-",0,IF(J80&lt;0,-1,IF(J80&gt;0,1,0))),
        IF(J81="-",0,IF(J81&lt;0,-1,IF(J81&gt;0,1,0))),
        IF(J82="-",0,IF(J82&lt;0,-1,IF(J82&gt;0,1,0))),
        IF(J83="-",0,IF(J83&lt;0,-1,IF(J83&gt;0,1,0))),
        IF(J84="-",0,IF(J84&lt;0,-1,IF(J84&gt;0,1,0))),
        IF(J85="-",0,IF(J85&lt;0,-1,IF(J85&gt;0,1,0))),
        IF(J86="-",0,IF(J86&lt;0,-1,IF(J86&gt;0,1,0))),
        IF(J87="-",0,IF(J87&lt;0,-1,IF(J87&gt;0,1,0)))
        )/44 &lt;= 0.1, "NEUTRAL", ""))
    ))</f>
        <v>NEUTRAL</v>
      </c>
      <c r="I55" s="332"/>
      <c r="J55" s="332"/>
      <c r="K55" s="332" t="str">
        <f>IF(AND(M56="-",M57="-",M58="-",M59="-",M60="-",M61="-",M62="-",M63="-",M64="-",M65="-",M66="-",M67="-",M68="-",M69="-",M70="-",M71="-",M72="-",M73="-",M74="-",M75="-",M76="-",M77="-",M78="-",M79="-",M80="-",M81="-",M82="-",M83="-",M84="-",M85="-",M86="-",M87="-"), "",
    IF(SUM(
        IF(M56="-",0,IF(M56&lt;0,-2,IF(M56&gt;0,2,0))),
        IF(M57="-",0,IF(M57&lt;0,-2,IF(M57&gt;0,2,0))),
        IF(M58="-",0,IF(M58&lt;0,-2,IF(M58&gt;0,2,0))),
        IF(M59="-",0,IF(M59&lt;0,-2,IF(M59&gt;0,2,0))),
        IF(M60="-",0,IF(M60&lt;0,-2,IF(M60&gt;0,2,0))),
        IF(M61="-",0,IF(M61&lt;0,-2,IF(M61&gt;0,2,0))),
        IF(M62="-",0,IF(M62&lt;0,-2,IF(M62&gt;0,2,0))),
        IF(M63="-",0,IF(M63&lt;0,-2,IF(M63&gt;0,2,0))),
        IF(M64="-",0,IF(M64&lt;0,-2,IF(M64&gt;0,2,0))),
        IF(M65="-",0,IF(M65&lt;0,-2,IF(M65&gt;0,2,0))),
        IF(M66="-",0,IF(M66&lt;0,-2,IF(M66&gt;0,2,0))),
        IF(M67="-",0,IF(M67&lt;0,-2,IF(M67&gt;0,2,0))),
        IF(M68="-",0,IF(M68&lt;0,-1,IF(M68&gt;0,1,0))),
        IF(M69="-",0,IF(M69&lt;0,-1,IF(M69&gt;0,1,0))),
        IF(M70="-",0,IF(M70&lt;0,-1,IF(M70&gt;0,1,0))),
        IF(M71="-",0,IF(M71&lt;0,-1,IF(M71&gt;0,1,0))),
        IF(M72="-",0,IF(M72&lt;0,-1,IF(M72&gt;0,1,0))),
        IF(M73="-",0,IF(M73&lt;0,-1,IF(M73&gt;0,1,0))),
        IF(M74="-",0,IF(M74&lt;0,-1,IF(M74&gt;0,1,0))),
        IF(M75="-",0,IF(M75&lt;0,-1,IF(M75&gt;0,1,0))),
        IF(M76="-",0,IF(M76&lt;0,-1,IF(M76&gt;0,1,0))),
        IF(M77="-",0,IF(M77&lt;0,-1,IF(M77&gt;0,1,0))),
        IF(M78="-",0,IF(M78&lt;0,-1,IF(M78&gt;0,1,0))),
        IF(M79="-",0,IF(M79&lt;0,-1,IF(M79&gt;0,1,0))),
        IF(M80="-",0,IF(M80&lt;0,-1,IF(M80&gt;0,1,0))),
        IF(M81="-",0,IF(M81&lt;0,-1,IF(M81&gt;0,1,0))),
        IF(M82="-",0,IF(M82&lt;0,-1,IF(M82&gt;0,1,0))),
        IF(M83="-",0,IF(M83&lt;0,-1,IF(M83&gt;0,1,0))),
        IF(M84="-",0,IF(M84&lt;0,-1,IF(M84&gt;0,1,0))),
        IF(M85="-",0,IF(M85&lt;0,-1,IF(M85&gt;0,1,0))),
        IF(M86="-",0,IF(M86&lt;0,-1,IF(M86&gt;0,1,0))),
        IF(M87="-",0,IF(M87&lt;0,-1,IF(M87&gt;0,1,0)))
        )/44 &gt; 0.1, "BULLISH",
    IF(SUM(
        IF(M56="-",0,IF(M56&lt;0,-2,IF(M56&gt;0,2,0))),
        IF(M57="-",0,IF(M57&lt;0,-2,IF(M57&gt;0,2,0))),
        IF(M58="-",0,IF(M58&lt;0,-2,IF(M58&gt;0,2,0))),
        IF(M59="-",0,IF(M59&lt;0,-2,IF(M59&gt;0,2,0))),
        IF(M60="-",0,IF(M60&lt;0,-2,IF(M60&gt;0,2,0))),
        IF(M61="-",0,IF(M61&lt;0,-2,IF(M61&gt;0,2,0))),
        IF(M62="-",0,IF(M62&lt;0,-2,IF(M62&gt;0,2,0))),
        IF(M63="-",0,IF(M63&lt;0,-2,IF(M63&gt;0,2,0))),
        IF(M64="-",0,IF(M64&lt;0,-2,IF(M64&gt;0,2,0))),
        IF(M65="-",0,IF(M65&lt;0,-2,IF(M65&gt;0,2,0))),
        IF(M66="-",0,IF(M66&lt;0,-2,IF(M66&gt;0,2,0))),
        IF(M67="-",0,IF(M67&lt;0,-2,IF(M67&gt;0,2,0))),
        IF(M68="-",0,IF(M68&lt;0,-1,IF(M68&gt;0,1,0))),
        IF(M69="-",0,IF(M69&lt;0,-1,IF(M69&gt;0,1,0))),
        IF(M70="-",0,IF(M70&lt;0,-1,IF(M70&gt;0,1,0))),
        IF(M71="-",0,IF(M71&lt;0,-1,IF(M71&gt;0,1,0))),
        IF(M72="-",0,IF(M72&lt;0,-1,IF(M72&gt;0,1,0))),
        IF(M73="-",0,IF(M73&lt;0,-1,IF(M73&gt;0,1,0))),
        IF(M74="-",0,IF(M74&lt;0,-1,IF(M74&gt;0,1,0))),
        IF(M75="-",0,IF(M75&lt;0,-1,IF(M75&gt;0,1,0))),
        IF(M76="-",0,IF(M76&lt;0,-1,IF(M76&gt;0,1,0))),
        IF(M77="-",0,IF(M77&lt;0,-1,IF(M77&gt;0,1,0))),
        IF(M78="-",0,IF(M78&lt;0,-1,IF(M78&gt;0,1,0))),
        IF(M79="-",0,IF(M79&lt;0,-1,IF(M79&gt;0,1,0))),
        IF(M80="-",0,IF(M80&lt;0,-1,IF(M80&gt;0,1,0))),
        IF(M81="-",0,IF(M81&lt;0,-1,IF(M81&gt;0,1,0))),
        IF(M82="-",0,IF(M82&lt;0,-1,IF(M82&gt;0,1,0))),
        IF(M83="-",0,IF(M83&lt;0,-1,IF(M83&gt;0,1,0))),
        IF(M84="-",0,IF(M84&lt;0,-1,IF(M84&gt;0,1,0))),
        IF(M85="-",0,IF(M85&lt;0,-1,IF(M85&gt;0,1,0))),
        IF(M86="-",0,IF(M86&lt;0,-1,IF(M86&gt;0,1,0))),
        IF(M87="-",0,IF(M87&lt;0,-1,IF(M87&gt;0,1,0)))
        )/44 &lt; -0.1, "BEARISH",
    IF(SUM(
        IF(M56="-",0,IF(M56&lt;0,-2,IF(M56&gt;0,2,0))),
        IF(M57="-",0,IF(M57&lt;0,-2,IF(M57&gt;0,2,0))),
        IF(M58="-",0,IF(M58&lt;0,-2,IF(M58&gt;0,2,0))),
        IF(M59="-",0,IF(M59&lt;0,-2,IF(M59&gt;0,2,0))),
        IF(M60="-",0,IF(M60&lt;0,-2,IF(M60&gt;0,2,0))),
        IF(M61="-",0,IF(M61&lt;0,-2,IF(M61&gt;0,2,0))),
        IF(M62="-",0,IF(M62&lt;0,-2,IF(M62&gt;0,2,0))),
        IF(M63="-",0,IF(M63&lt;0,-2,IF(M63&gt;0,2,0))),
        IF(M64="-",0,IF(M64&lt;0,-2,IF(M64&gt;0,2,0))),
        IF(M65="-",0,IF(M65&lt;0,-2,IF(M65&gt;0,2,0))),
        IF(M66="-",0,IF(M66&lt;0,-2,IF(M66&gt;0,2,0))),
        IF(M67="-",0,IF(M67&lt;0,-2,IF(M67&gt;0,2,0))),
        IF(M68="-",0,IF(M68&lt;0,-1,IF(M68&gt;0,1,0))),
        IF(M69="-",0,IF(M69&lt;0,-1,IF(M69&gt;0,1,0))),
        IF(M70="-",0,IF(M70&lt;0,-1,IF(M70&gt;0,1,0))),
        IF(M71="-",0,IF(M71&lt;0,-1,IF(M71&gt;0,1,0))),
        IF(M72="-",0,IF(M72&lt;0,-1,IF(M72&gt;0,1,0))),
        IF(M73="-",0,IF(M73&lt;0,-1,IF(M73&gt;0,1,0))),
        IF(M74="-",0,IF(M74&lt;0,-1,IF(M74&gt;0,1,0))),
        IF(M75="-",0,IF(M75&lt;0,-1,IF(M75&gt;0,1,0))),
        IF(M76="-",0,IF(M76&lt;0,-1,IF(M76&gt;0,1,0))),
        IF(M77="-",0,IF(M77&lt;0,-1,IF(M77&gt;0,1,0))),
        IF(M78="-",0,IF(M78&lt;0,-1,IF(M78&gt;0,1,0))),
        IF(M79="-",0,IF(M79&lt;0,-1,IF(M79&gt;0,1,0))),
        IF(M80="-",0,IF(M80&lt;0,-1,IF(M80&gt;0,1,0))),
        IF(M81="-",0,IF(M81&lt;0,-1,IF(M81&gt;0,1,0))),
        IF(M82="-",0,IF(M82&lt;0,-1,IF(M82&gt;0,1,0))),
        IF(M83="-",0,IF(M83&lt;0,-1,IF(M83&gt;0,1,0))),
        IF(M84="-",0,IF(M84&lt;0,-1,IF(M84&gt;0,1,0))),
        IF(M85="-",0,IF(M85&lt;0,-1,IF(M85&gt;0,1,0))),
        IF(M86="-",0,IF(M86&lt;0,-1,IF(M86&gt;0,1,0))),
        IF(M87="-",0,IF(M87&lt;0,-1,IF(M87&gt;0,1,0)))
        )/44 &lt;= 0.1, "NEUTRAL", ""))
    ))</f>
        <v>BULLISH</v>
      </c>
      <c r="L55" s="332"/>
      <c r="M55" s="332"/>
      <c r="N55" s="332" t="str">
        <f>IF(AND(P56="-",P57="-",P58="-",P59="-",P60="-",P61="-",P62="-",P63="-",P64="-",P65="-",P66="-",P67="-",P68="-",P69="-",P70="-",P71="-",P72="-",P73="-",P74="-",P75="-",P76="-",P77="-",P78="-",P79="-",P80="-",P81="-",P82="-",P83="-",P84="-",P85="-",P86="-",P87="-"), "",
    IF(SUM(
        IF(P56="-",0,IF(P56&lt;0,-2,IF(P56&gt;0,2,0))),
        IF(P57="-",0,IF(P57&lt;0,-2,IF(P57&gt;0,2,0))),
        IF(P58="-",0,IF(P58&lt;0,-2,IF(P58&gt;0,2,0))),
        IF(P59="-",0,IF(P59&lt;0,-2,IF(P59&gt;0,2,0))),
        IF(P60="-",0,IF(P60&lt;0,-2,IF(P60&gt;0,2,0))),
        IF(P61="-",0,IF(P61&lt;0,-2,IF(P61&gt;0,2,0))),
        IF(P62="-",0,IF(P62&lt;0,-2,IF(P62&gt;0,2,0))),
        IF(P63="-",0,IF(P63&lt;0,-2,IF(P63&gt;0,2,0))),
        IF(P64="-",0,IF(P64&lt;0,-2,IF(P64&gt;0,2,0))),
        IF(P65="-",0,IF(P65&lt;0,-2,IF(P65&gt;0,2,0))),
        IF(P66="-",0,IF(P66&lt;0,-2,IF(P66&gt;0,2,0))),
        IF(P67="-",0,IF(P67&lt;0,-2,IF(P67&gt;0,2,0))),
        IF(P68="-",0,IF(P68&lt;0,-1,IF(P68&gt;0,1,0))),
        IF(P69="-",0,IF(P69&lt;0,-1,IF(P69&gt;0,1,0))),
        IF(P70="-",0,IF(P70&lt;0,-1,IF(P70&gt;0,1,0))),
        IF(P71="-",0,IF(P71&lt;0,-1,IF(P71&gt;0,1,0))),
        IF(P72="-",0,IF(P72&lt;0,-1,IF(P72&gt;0,1,0))),
        IF(P73="-",0,IF(P73&lt;0,-1,IF(P73&gt;0,1,0))),
        IF(P74="-",0,IF(P74&lt;0,-1,IF(P74&gt;0,1,0))),
        IF(P75="-",0,IF(P75&lt;0,-1,IF(P75&gt;0,1,0))),
        IF(P76="-",0,IF(P76&lt;0,-1,IF(P76&gt;0,1,0))),
        IF(P77="-",0,IF(P77&lt;0,-1,IF(P77&gt;0,1,0))),
        IF(P78="-",0,IF(P78&lt;0,-1,IF(P78&gt;0,1,0))),
        IF(P79="-",0,IF(P79&lt;0,-1,IF(P79&gt;0,1,0))),
        IF(P80="-",0,IF(P80&lt;0,-1,IF(P80&gt;0,1,0))),
        IF(P81="-",0,IF(P81&lt;0,-1,IF(P81&gt;0,1,0))),
        IF(P82="-",0,IF(P82&lt;0,-1,IF(P82&gt;0,1,0))),
        IF(P83="-",0,IF(P83&lt;0,-1,IF(P83&gt;0,1,0))),
        IF(P84="-",0,IF(P84&lt;0,-1,IF(P84&gt;0,1,0))),
        IF(P85="-",0,IF(P85&lt;0,-1,IF(P85&gt;0,1,0))),
        IF(P86="-",0,IF(P86&lt;0,-1,IF(P86&gt;0,1,0))),
        IF(P87="-",0,IF(P87&lt;0,-1,IF(P87&gt;0,1,0)))
        )/44 &gt; 0.1, "BULLISH",
    IF(SUM(
        IF(P56="-",0,IF(P56&lt;0,-2,IF(P56&gt;0,2,0))),
        IF(P57="-",0,IF(P57&lt;0,-2,IF(P57&gt;0,2,0))),
        IF(P58="-",0,IF(P58&lt;0,-2,IF(P58&gt;0,2,0))),
        IF(P59="-",0,IF(P59&lt;0,-2,IF(P59&gt;0,2,0))),
        IF(P60="-",0,IF(P60&lt;0,-2,IF(P60&gt;0,2,0))),
        IF(P61="-",0,IF(P61&lt;0,-2,IF(P61&gt;0,2,0))),
        IF(P62="-",0,IF(P62&lt;0,-2,IF(P62&gt;0,2,0))),
        IF(P63="-",0,IF(P63&lt;0,-2,IF(P63&gt;0,2,0))),
        IF(P64="-",0,IF(P64&lt;0,-2,IF(P64&gt;0,2,0))),
        IF(P65="-",0,IF(P65&lt;0,-2,IF(P65&gt;0,2,0))),
        IF(P66="-",0,IF(P66&lt;0,-2,IF(P66&gt;0,2,0))),
        IF(P67="-",0,IF(P67&lt;0,-2,IF(P67&gt;0,2,0))),
        IF(P68="-",0,IF(P68&lt;0,-1,IF(P68&gt;0,1,0))),
        IF(P69="-",0,IF(P69&lt;0,-1,IF(P69&gt;0,1,0))),
        IF(P70="-",0,IF(P70&lt;0,-1,IF(P70&gt;0,1,0))),
        IF(P71="-",0,IF(P71&lt;0,-1,IF(P71&gt;0,1,0))),
        IF(P72="-",0,IF(P72&lt;0,-1,IF(P72&gt;0,1,0))),
        IF(P73="-",0,IF(P73&lt;0,-1,IF(P73&gt;0,1,0))),
        IF(P74="-",0,IF(P74&lt;0,-1,IF(P74&gt;0,1,0))),
        IF(P75="-",0,IF(P75&lt;0,-1,IF(P75&gt;0,1,0))),
        IF(P76="-",0,IF(P76&lt;0,-1,IF(P76&gt;0,1,0))),
        IF(P77="-",0,IF(P77&lt;0,-1,IF(P77&gt;0,1,0))),
        IF(P78="-",0,IF(P78&lt;0,-1,IF(P78&gt;0,1,0))),
        IF(P79="-",0,IF(P79&lt;0,-1,IF(P79&gt;0,1,0))),
        IF(P80="-",0,IF(P80&lt;0,-1,IF(P80&gt;0,1,0))),
        IF(P81="-",0,IF(P81&lt;0,-1,IF(P81&gt;0,1,0))),
        IF(P82="-",0,IF(P82&lt;0,-1,IF(P82&gt;0,1,0))),
        IF(P83="-",0,IF(P83&lt;0,-1,IF(P83&gt;0,1,0))),
        IF(P84="-",0,IF(P84&lt;0,-1,IF(P84&gt;0,1,0))),
        IF(P85="-",0,IF(P85&lt;0,-1,IF(P85&gt;0,1,0))),
        IF(P86="-",0,IF(P86&lt;0,-1,IF(P86&gt;0,1,0))),
        IF(P87="-",0,IF(P87&lt;0,-1,IF(P87&gt;0,1,0)))
        )/44 &lt; -0.1, "BEARISH",
    IF(SUM(
        IF(P56="-",0,IF(P56&lt;0,-2,IF(P56&gt;0,2,0))),
        IF(P57="-",0,IF(P57&lt;0,-2,IF(P57&gt;0,2,0))),
        IF(P58="-",0,IF(P58&lt;0,-2,IF(P58&gt;0,2,0))),
        IF(P59="-",0,IF(P59&lt;0,-2,IF(P59&gt;0,2,0))),
        IF(P60="-",0,IF(P60&lt;0,-2,IF(P60&gt;0,2,0))),
        IF(P61="-",0,IF(P61&lt;0,-2,IF(P61&gt;0,2,0))),
        IF(P62="-",0,IF(P62&lt;0,-2,IF(P62&gt;0,2,0))),
        IF(P63="-",0,IF(P63&lt;0,-2,IF(P63&gt;0,2,0))),
        IF(P64="-",0,IF(P64&lt;0,-2,IF(P64&gt;0,2,0))),
        IF(P65="-",0,IF(P65&lt;0,-2,IF(P65&gt;0,2,0))),
        IF(P66="-",0,IF(P66&lt;0,-2,IF(P66&gt;0,2,0))),
        IF(P67="-",0,IF(P67&lt;0,-2,IF(P67&gt;0,2,0))),
        IF(P68="-",0,IF(P68&lt;0,-1,IF(P68&gt;0,1,0))),
        IF(P69="-",0,IF(P69&lt;0,-1,IF(P69&gt;0,1,0))),
        IF(P70="-",0,IF(P70&lt;0,-1,IF(P70&gt;0,1,0))),
        IF(P71="-",0,IF(P71&lt;0,-1,IF(P71&gt;0,1,0))),
        IF(P72="-",0,IF(P72&lt;0,-1,IF(P72&gt;0,1,0))),
        IF(P73="-",0,IF(P73&lt;0,-1,IF(P73&gt;0,1,0))),
        IF(P74="-",0,IF(P74&lt;0,-1,IF(P74&gt;0,1,0))),
        IF(P75="-",0,IF(P75&lt;0,-1,IF(P75&gt;0,1,0))),
        IF(P76="-",0,IF(P76&lt;0,-1,IF(P76&gt;0,1,0))),
        IF(P77="-",0,IF(P77&lt;0,-1,IF(P77&gt;0,1,0))),
        IF(P78="-",0,IF(P78&lt;0,-1,IF(P78&gt;0,1,0))),
        IF(P79="-",0,IF(P79&lt;0,-1,IF(P79&gt;0,1,0))),
        IF(P80="-",0,IF(P80&lt;0,-1,IF(P80&gt;0,1,0))),
        IF(P81="-",0,IF(P81&lt;0,-1,IF(P81&gt;0,1,0))),
        IF(P82="-",0,IF(P82&lt;0,-1,IF(P82&gt;0,1,0))),
        IF(P83="-",0,IF(P83&lt;0,-1,IF(P83&gt;0,1,0))),
        IF(P84="-",0,IF(P84&lt;0,-1,IF(P84&gt;0,1,0))),
        IF(P85="-",0,IF(P85&lt;0,-1,IF(P85&gt;0,1,0))),
        IF(P86="-",0,IF(P86&lt;0,-1,IF(P86&gt;0,1,0))),
        IF(P87="-",0,IF(P87&lt;0,-1,IF(P87&gt;0,1,0)))
        )/44 &lt;= 0.1, "NEUTRAL", ""))
    ))</f>
        <v>NEUTRAL</v>
      </c>
      <c r="O55" s="332"/>
      <c r="P55" s="332"/>
      <c r="Q55" s="332" t="str">
        <f>IF(AND(S56="-",S57="-",S58="-",S59="-",S60="-",S61="-",S62="-",S63="-",S64="-",S65="-",S66="-",S67="-",S68="-",S69="-",S70="-",S71="-",S72="-",S73="-",S74="-",S75="-",S76="-",S77="-",S78="-",S79="-",S80="-",S81="-",S82="-",S83="-",S84="-",S85="-",S86="-",S87="-"), "",
    IF(SUM(
        IF(S56="-",0,IF(S56&lt;0,-2,IF(S56&gt;0,2,0))),
        IF(S57="-",0,IF(S57&lt;0,-2,IF(S57&gt;0,2,0))),
        IF(S58="-",0,IF(S58&lt;0,-2,IF(S58&gt;0,2,0))),
        IF(S59="-",0,IF(S59&lt;0,-2,IF(S59&gt;0,2,0))),
        IF(S60="-",0,IF(S60&lt;0,-2,IF(S60&gt;0,2,0))),
        IF(S61="-",0,IF(S61&lt;0,-2,IF(S61&gt;0,2,0))),
        IF(S62="-",0,IF(S62&lt;0,-2,IF(S62&gt;0,2,0))),
        IF(S63="-",0,IF(S63&lt;0,-2,IF(S63&gt;0,2,0))),
        IF(S64="-",0,IF(S64&lt;0,-2,IF(S64&gt;0,2,0))),
        IF(S65="-",0,IF(S65&lt;0,-2,IF(S65&gt;0,2,0))),
        IF(S66="-",0,IF(S66&lt;0,-2,IF(S66&gt;0,2,0))),
        IF(S67="-",0,IF(S67&lt;0,-2,IF(S67&gt;0,2,0))),
        IF(S68="-",0,IF(S68&lt;0,-1,IF(S68&gt;0,1,0))),
        IF(S69="-",0,IF(S69&lt;0,-1,IF(S69&gt;0,1,0))),
        IF(S70="-",0,IF(S70&lt;0,-1,IF(S70&gt;0,1,0))),
        IF(S71="-",0,IF(S71&lt;0,-1,IF(S71&gt;0,1,0))),
        IF(S72="-",0,IF(S72&lt;0,-1,IF(S72&gt;0,1,0))),
        IF(S73="-",0,IF(S73&lt;0,-1,IF(S73&gt;0,1,0))),
        IF(S74="-",0,IF(S74&lt;0,-1,IF(S74&gt;0,1,0))),
        IF(S75="-",0,IF(S75&lt;0,-1,IF(S75&gt;0,1,0))),
        IF(S76="-",0,IF(S76&lt;0,-1,IF(S76&gt;0,1,0))),
        IF(S77="-",0,IF(S77&lt;0,-1,IF(S77&gt;0,1,0))),
        IF(S78="-",0,IF(S78&lt;0,-1,IF(S78&gt;0,1,0))),
        IF(S79="-",0,IF(S79&lt;0,-1,IF(S79&gt;0,1,0))),
        IF(S80="-",0,IF(S80&lt;0,-1,IF(S80&gt;0,1,0))),
        IF(S81="-",0,IF(S81&lt;0,-1,IF(S81&gt;0,1,0))),
        IF(S82="-",0,IF(S82&lt;0,-1,IF(S82&gt;0,1,0))),
        IF(S83="-",0,IF(S83&lt;0,-1,IF(S83&gt;0,1,0))),
        IF(S84="-",0,IF(S84&lt;0,-1,IF(S84&gt;0,1,0))),
        IF(S85="-",0,IF(S85&lt;0,-1,IF(S85&gt;0,1,0))),
        IF(S86="-",0,IF(S86&lt;0,-1,IF(S86&gt;0,1,0))),
        IF(S87="-",0,IF(S87&lt;0,-1,IF(S87&gt;0,1,0)))
        )/44 &gt; 0.1, "BULLISH",
    IF(SUM(
        IF(S56="-",0,IF(S56&lt;0,-2,IF(S56&gt;0,2,0))),
        IF(S57="-",0,IF(S57&lt;0,-2,IF(S57&gt;0,2,0))),
        IF(S58="-",0,IF(S58&lt;0,-2,IF(S58&gt;0,2,0))),
        IF(S59="-",0,IF(S59&lt;0,-2,IF(S59&gt;0,2,0))),
        IF(S60="-",0,IF(S60&lt;0,-2,IF(S60&gt;0,2,0))),
        IF(S61="-",0,IF(S61&lt;0,-2,IF(S61&gt;0,2,0))),
        IF(S62="-",0,IF(S62&lt;0,-2,IF(S62&gt;0,2,0))),
        IF(S63="-",0,IF(S63&lt;0,-2,IF(S63&gt;0,2,0))),
        IF(S64="-",0,IF(S64&lt;0,-2,IF(S64&gt;0,2,0))),
        IF(S65="-",0,IF(S65&lt;0,-2,IF(S65&gt;0,2,0))),
        IF(S66="-",0,IF(S66&lt;0,-2,IF(S66&gt;0,2,0))),
        IF(S67="-",0,IF(S67&lt;0,-2,IF(S67&gt;0,2,0))),
        IF(S68="-",0,IF(S68&lt;0,-1,IF(S68&gt;0,1,0))),
        IF(S69="-",0,IF(S69&lt;0,-1,IF(S69&gt;0,1,0))),
        IF(S70="-",0,IF(S70&lt;0,-1,IF(S70&gt;0,1,0))),
        IF(S71="-",0,IF(S71&lt;0,-1,IF(S71&gt;0,1,0))),
        IF(S72="-",0,IF(S72&lt;0,-1,IF(S72&gt;0,1,0))),
        IF(S73="-",0,IF(S73&lt;0,-1,IF(S73&gt;0,1,0))),
        IF(S74="-",0,IF(S74&lt;0,-1,IF(S74&gt;0,1,0))),
        IF(S75="-",0,IF(S75&lt;0,-1,IF(S75&gt;0,1,0))),
        IF(S76="-",0,IF(S76&lt;0,-1,IF(S76&gt;0,1,0))),
        IF(S77="-",0,IF(S77&lt;0,-1,IF(S77&gt;0,1,0))),
        IF(S78="-",0,IF(S78&lt;0,-1,IF(S78&gt;0,1,0))),
        IF(S79="-",0,IF(S79&lt;0,-1,IF(S79&gt;0,1,0))),
        IF(S80="-",0,IF(S80&lt;0,-1,IF(S80&gt;0,1,0))),
        IF(S81="-",0,IF(S81&lt;0,-1,IF(S81&gt;0,1,0))),
        IF(S82="-",0,IF(S82&lt;0,-1,IF(S82&gt;0,1,0))),
        IF(S83="-",0,IF(S83&lt;0,-1,IF(S83&gt;0,1,0))),
        IF(S84="-",0,IF(S84&lt;0,-1,IF(S84&gt;0,1,0))),
        IF(S85="-",0,IF(S85&lt;0,-1,IF(S85&gt;0,1,0))),
        IF(S86="-",0,IF(S86&lt;0,-1,IF(S86&gt;0,1,0))),
        IF(S87="-",0,IF(S87&lt;0,-1,IF(S87&gt;0,1,0)))
        )/44 &lt; -0.1, "BEARISH",
    IF(SUM(
        IF(S56="-",0,IF(S56&lt;0,-2,IF(S56&gt;0,2,0))),
        IF(S57="-",0,IF(S57&lt;0,-2,IF(S57&gt;0,2,0))),
        IF(S58="-",0,IF(S58&lt;0,-2,IF(S58&gt;0,2,0))),
        IF(S59="-",0,IF(S59&lt;0,-2,IF(S59&gt;0,2,0))),
        IF(S60="-",0,IF(S60&lt;0,-2,IF(S60&gt;0,2,0))),
        IF(S61="-",0,IF(S61&lt;0,-2,IF(S61&gt;0,2,0))),
        IF(S62="-",0,IF(S62&lt;0,-2,IF(S62&gt;0,2,0))),
        IF(S63="-",0,IF(S63&lt;0,-2,IF(S63&gt;0,2,0))),
        IF(S64="-",0,IF(S64&lt;0,-2,IF(S64&gt;0,2,0))),
        IF(S65="-",0,IF(S65&lt;0,-2,IF(S65&gt;0,2,0))),
        IF(S66="-",0,IF(S66&lt;0,-2,IF(S66&gt;0,2,0))),
        IF(S67="-",0,IF(S67&lt;0,-2,IF(S67&gt;0,2,0))),
        IF(S68="-",0,IF(S68&lt;0,-1,IF(S68&gt;0,1,0))),
        IF(S69="-",0,IF(S69&lt;0,-1,IF(S69&gt;0,1,0))),
        IF(S70="-",0,IF(S70&lt;0,-1,IF(S70&gt;0,1,0))),
        IF(S71="-",0,IF(S71&lt;0,-1,IF(S71&gt;0,1,0))),
        IF(S72="-",0,IF(S72&lt;0,-1,IF(S72&gt;0,1,0))),
        IF(S73="-",0,IF(S73&lt;0,-1,IF(S73&gt;0,1,0))),
        IF(S74="-",0,IF(S74&lt;0,-1,IF(S74&gt;0,1,0))),
        IF(S75="-",0,IF(S75&lt;0,-1,IF(S75&gt;0,1,0))),
        IF(S76="-",0,IF(S76&lt;0,-1,IF(S76&gt;0,1,0))),
        IF(S77="-",0,IF(S77&lt;0,-1,IF(S77&gt;0,1,0))),
        IF(S78="-",0,IF(S78&lt;0,-1,IF(S78&gt;0,1,0))),
        IF(S79="-",0,IF(S79&lt;0,-1,IF(S79&gt;0,1,0))),
        IF(S80="-",0,IF(S80&lt;0,-1,IF(S80&gt;0,1,0))),
        IF(S81="-",0,IF(S81&lt;0,-1,IF(S81&gt;0,1,0))),
        IF(S82="-",0,IF(S82&lt;0,-1,IF(S82&gt;0,1,0))),
        IF(S83="-",0,IF(S83&lt;0,-1,IF(S83&gt;0,1,0))),
        IF(S84="-",0,IF(S84&lt;0,-1,IF(S84&gt;0,1,0))),
        IF(S85="-",0,IF(S85&lt;0,-1,IF(S85&gt;0,1,0))),
        IF(S86="-",0,IF(S86&lt;0,-1,IF(S86&gt;0,1,0))),
        IF(S87="-",0,IF(S87&lt;0,-1,IF(S87&gt;0,1,0)))
        )/44 &lt;= 0.1, "NEUTRAL", ""))
    ))</f>
        <v>BEARISH</v>
      </c>
      <c r="R55" s="332"/>
      <c r="S55" s="332"/>
      <c r="T55" s="332" t="str">
        <f>IF(AND(V56="-",V57="-",V58="-",V59="-",V60="-",V61="-",V62="-",V63="-",V64="-",V65="-",V66="-",V67="-",V68="-",V69="-",V70="-",V71="-",V72="-",V73="-",V74="-",V75="-",V76="-",V77="-",V78="-",V79="-",V80="-",V81="-",V82="-",V83="-",V84="-",V85="-",V86="-",V87="-"), "",
    IF(SUM(
        IF(V56="-",0,IF(V56&lt;0,-2,IF(V56&gt;0,2,0))),
        IF(V57="-",0,IF(V57&lt;0,-2,IF(V57&gt;0,2,0))),
        IF(V58="-",0,IF(V58&lt;0,-2,IF(V58&gt;0,2,0))),
        IF(V59="-",0,IF(V59&lt;0,-2,IF(V59&gt;0,2,0))),
        IF(V60="-",0,IF(V60&lt;0,-2,IF(V60&gt;0,2,0))),
        IF(V61="-",0,IF(V61&lt;0,-2,IF(V61&gt;0,2,0))),
        IF(V62="-",0,IF(V62&lt;0,-2,IF(V62&gt;0,2,0))),
        IF(V63="-",0,IF(V63&lt;0,-2,IF(V63&gt;0,2,0))),
        IF(V64="-",0,IF(V64&lt;0,-2,IF(V64&gt;0,2,0))),
        IF(V65="-",0,IF(V65&lt;0,-2,IF(V65&gt;0,2,0))),
        IF(V66="-",0,IF(V66&lt;0,-2,IF(V66&gt;0,2,0))),
        IF(V67="-",0,IF(V67&lt;0,-2,IF(V67&gt;0,2,0))),
        IF(V68="-",0,IF(V68&lt;0,-1,IF(V68&gt;0,1,0))),
        IF(V69="-",0,IF(V69&lt;0,-1,IF(V69&gt;0,1,0))),
        IF(V70="-",0,IF(V70&lt;0,-1,IF(V70&gt;0,1,0))),
        IF(V71="-",0,IF(V71&lt;0,-1,IF(V71&gt;0,1,0))),
        IF(V72="-",0,IF(V72&lt;0,-1,IF(V72&gt;0,1,0))),
        IF(V73="-",0,IF(V73&lt;0,-1,IF(V73&gt;0,1,0))),
        IF(V74="-",0,IF(V74&lt;0,-1,IF(V74&gt;0,1,0))),
        IF(V75="-",0,IF(V75&lt;0,-1,IF(V75&gt;0,1,0))),
        IF(V76="-",0,IF(V76&lt;0,-1,IF(V76&gt;0,1,0))),
        IF(V77="-",0,IF(V77&lt;0,-1,IF(V77&gt;0,1,0))),
        IF(V78="-",0,IF(V78&lt;0,-1,IF(V78&gt;0,1,0))),
        IF(V79="-",0,IF(V79&lt;0,-1,IF(V79&gt;0,1,0))),
        IF(V80="-",0,IF(V80&lt;0,-1,IF(V80&gt;0,1,0))),
        IF(V81="-",0,IF(V81&lt;0,-1,IF(V81&gt;0,1,0))),
        IF(V82="-",0,IF(V82&lt;0,-1,IF(V82&gt;0,1,0))),
        IF(V83="-",0,IF(V83&lt;0,-1,IF(V83&gt;0,1,0))),
        IF(V84="-",0,IF(V84&lt;0,-1,IF(V84&gt;0,1,0))),
        IF(V85="-",0,IF(V85&lt;0,-1,IF(V85&gt;0,1,0))),
        IF(V86="-",0,IF(V86&lt;0,-1,IF(V86&gt;0,1,0))),
        IF(V87="-",0,IF(V87&lt;0,-1,IF(V87&gt;0,1,0)))
        )/44 &gt; 0.1, "BULLISH",
    IF(SUM(
        IF(V56="-",0,IF(V56&lt;0,-2,IF(V56&gt;0,2,0))),
        IF(V57="-",0,IF(V57&lt;0,-2,IF(V57&gt;0,2,0))),
        IF(V58="-",0,IF(V58&lt;0,-2,IF(V58&gt;0,2,0))),
        IF(V59="-",0,IF(V59&lt;0,-2,IF(V59&gt;0,2,0))),
        IF(V60="-",0,IF(V60&lt;0,-2,IF(V60&gt;0,2,0))),
        IF(V61="-",0,IF(V61&lt;0,-2,IF(V61&gt;0,2,0))),
        IF(V62="-",0,IF(V62&lt;0,-2,IF(V62&gt;0,2,0))),
        IF(V63="-",0,IF(V63&lt;0,-2,IF(V63&gt;0,2,0))),
        IF(V64="-",0,IF(V64&lt;0,-2,IF(V64&gt;0,2,0))),
        IF(V65="-",0,IF(V65&lt;0,-2,IF(V65&gt;0,2,0))),
        IF(V66="-",0,IF(V66&lt;0,-2,IF(V66&gt;0,2,0))),
        IF(V67="-",0,IF(V67&lt;0,-2,IF(V67&gt;0,2,0))),
        IF(V68="-",0,IF(V68&lt;0,-1,IF(V68&gt;0,1,0))),
        IF(V69="-",0,IF(V69&lt;0,-1,IF(V69&gt;0,1,0))),
        IF(V70="-",0,IF(V70&lt;0,-1,IF(V70&gt;0,1,0))),
        IF(V71="-",0,IF(V71&lt;0,-1,IF(V71&gt;0,1,0))),
        IF(V72="-",0,IF(V72&lt;0,-1,IF(V72&gt;0,1,0))),
        IF(V73="-",0,IF(V73&lt;0,-1,IF(V73&gt;0,1,0))),
        IF(V74="-",0,IF(V74&lt;0,-1,IF(V74&gt;0,1,0))),
        IF(V75="-",0,IF(V75&lt;0,-1,IF(V75&gt;0,1,0))),
        IF(V76="-",0,IF(V76&lt;0,-1,IF(V76&gt;0,1,0))),
        IF(V77="-",0,IF(V77&lt;0,-1,IF(V77&gt;0,1,0))),
        IF(V78="-",0,IF(V78&lt;0,-1,IF(V78&gt;0,1,0))),
        IF(V79="-",0,IF(V79&lt;0,-1,IF(V79&gt;0,1,0))),
        IF(V80="-",0,IF(V80&lt;0,-1,IF(V80&gt;0,1,0))),
        IF(V81="-",0,IF(V81&lt;0,-1,IF(V81&gt;0,1,0))),
        IF(V82="-",0,IF(V82&lt;0,-1,IF(V82&gt;0,1,0))),
        IF(V83="-",0,IF(V83&lt;0,-1,IF(V83&gt;0,1,0))),
        IF(V84="-",0,IF(V84&lt;0,-1,IF(V84&gt;0,1,0))),
        IF(V85="-",0,IF(V85&lt;0,-1,IF(V85&gt;0,1,0))),
        IF(V86="-",0,IF(V86&lt;0,-1,IF(V86&gt;0,1,0))),
        IF(V87="-",0,IF(V87&lt;0,-1,IF(V87&gt;0,1,0)))
        )/44 &lt; -0.1, "BEARISH",
    IF(SUM(
        IF(V56="-",0,IF(V56&lt;0,-2,IF(V56&gt;0,2,0))),
        IF(V57="-",0,IF(V57&lt;0,-2,IF(V57&gt;0,2,0))),
        IF(V58="-",0,IF(V58&lt;0,-2,IF(V58&gt;0,2,0))),
        IF(V59="-",0,IF(V59&lt;0,-2,IF(V59&gt;0,2,0))),
        IF(V60="-",0,IF(V60&lt;0,-2,IF(V60&gt;0,2,0))),
        IF(V61="-",0,IF(V61&lt;0,-2,IF(V61&gt;0,2,0))),
        IF(V62="-",0,IF(V62&lt;0,-2,IF(V62&gt;0,2,0))),
        IF(V63="-",0,IF(V63&lt;0,-2,IF(V63&gt;0,2,0))),
        IF(V64="-",0,IF(V64&lt;0,-2,IF(V64&gt;0,2,0))),
        IF(V65="-",0,IF(V65&lt;0,-2,IF(V65&gt;0,2,0))),
        IF(V66="-",0,IF(V66&lt;0,-2,IF(V66&gt;0,2,0))),
        IF(V67="-",0,IF(V67&lt;0,-2,IF(V67&gt;0,2,0))),
        IF(V68="-",0,IF(V68&lt;0,-1,IF(V68&gt;0,1,0))),
        IF(V69="-",0,IF(V69&lt;0,-1,IF(V69&gt;0,1,0))),
        IF(V70="-",0,IF(V70&lt;0,-1,IF(V70&gt;0,1,0))),
        IF(V71="-",0,IF(V71&lt;0,-1,IF(V71&gt;0,1,0))),
        IF(V72="-",0,IF(V72&lt;0,-1,IF(V72&gt;0,1,0))),
        IF(V73="-",0,IF(V73&lt;0,-1,IF(V73&gt;0,1,0))),
        IF(V74="-",0,IF(V74&lt;0,-1,IF(V74&gt;0,1,0))),
        IF(V75="-",0,IF(V75&lt;0,-1,IF(V75&gt;0,1,0))),
        IF(V76="-",0,IF(V76&lt;0,-1,IF(V76&gt;0,1,0))),
        IF(V77="-",0,IF(V77&lt;0,-1,IF(V77&gt;0,1,0))),
        IF(V78="-",0,IF(V78&lt;0,-1,IF(V78&gt;0,1,0))),
        IF(V79="-",0,IF(V79&lt;0,-1,IF(V79&gt;0,1,0))),
        IF(V80="-",0,IF(V80&lt;0,-1,IF(V80&gt;0,1,0))),
        IF(V81="-",0,IF(V81&lt;0,-1,IF(V81&gt;0,1,0))),
        IF(V82="-",0,IF(V82&lt;0,-1,IF(V82&gt;0,1,0))),
        IF(V83="-",0,IF(V83&lt;0,-1,IF(V83&gt;0,1,0))),
        IF(V84="-",0,IF(V84&lt;0,-1,IF(V84&gt;0,1,0))),
        IF(V85="-",0,IF(V85&lt;0,-1,IF(V85&gt;0,1,0))),
        IF(V86="-",0,IF(V86&lt;0,-1,IF(V86&gt;0,1,0))),
        IF(V87="-",0,IF(V87&lt;0,-1,IF(V87&gt;0,1,0)))
        )/44 &lt;= 0.1, "NEUTRAL", ""))
    ))</f>
        <v>BULLISH</v>
      </c>
      <c r="U55" s="332"/>
      <c r="V55" s="332"/>
      <c r="W55" s="332" t="str">
        <f>IF(AND(Y56="-",Y57="-",Y58="-",Y59="-",Y60="-",Y61="-",Y62="-",Y63="-",Y64="-",Y65="-",Y66="-",Y67="-",Y68="-",Y69="-",Y70="-",Y71="-",Y72="-",Y73="-",Y74="-",Y75="-",Y76="-",Y77="-",Y78="-",Y79="-",Y80="-",Y81="-",Y82="-",Y83="-",Y84="-",Y85="-",Y86="-",Y87="-"), "",
    IF(SUM(
        IF(Y56="-",0,IF(Y56&lt;0,-2,IF(Y56&gt;0,2,0))),
        IF(Y57="-",0,IF(Y57&lt;0,-2,IF(Y57&gt;0,2,0))),
        IF(Y58="-",0,IF(Y58&lt;0,-2,IF(Y58&gt;0,2,0))),
        IF(Y59="-",0,IF(Y59&lt;0,-2,IF(Y59&gt;0,2,0))),
        IF(Y60="-",0,IF(Y60&lt;0,-2,IF(Y60&gt;0,2,0))),
        IF(Y61="-",0,IF(Y61&lt;0,-2,IF(Y61&gt;0,2,0))),
        IF(Y62="-",0,IF(Y62&lt;0,-2,IF(Y62&gt;0,2,0))),
        IF(Y63="-",0,IF(Y63&lt;0,-2,IF(Y63&gt;0,2,0))),
        IF(Y64="-",0,IF(Y64&lt;0,-2,IF(Y64&gt;0,2,0))),
        IF(Y65="-",0,IF(Y65&lt;0,-2,IF(Y65&gt;0,2,0))),
        IF(Y66="-",0,IF(Y66&lt;0,-2,IF(Y66&gt;0,2,0))),
        IF(Y67="-",0,IF(Y67&lt;0,-2,IF(Y67&gt;0,2,0))),
        IF(Y68="-",0,IF(Y68&lt;0,-1,IF(Y68&gt;0,1,0))),
        IF(Y69="-",0,IF(Y69&lt;0,-1,IF(Y69&gt;0,1,0))),
        IF(Y70="-",0,IF(Y70&lt;0,-1,IF(Y70&gt;0,1,0))),
        IF(Y71="-",0,IF(Y71&lt;0,-1,IF(Y71&gt;0,1,0))),
        IF(Y72="-",0,IF(Y72&lt;0,-1,IF(Y72&gt;0,1,0))),
        IF(Y73="-",0,IF(Y73&lt;0,-1,IF(Y73&gt;0,1,0))),
        IF(Y74="-",0,IF(Y74&lt;0,-1,IF(Y74&gt;0,1,0))),
        IF(Y75="-",0,IF(Y75&lt;0,-1,IF(Y75&gt;0,1,0))),
        IF(Y76="-",0,IF(Y76&lt;0,-1,IF(Y76&gt;0,1,0))),
        IF(Y77="-",0,IF(Y77&lt;0,-1,IF(Y77&gt;0,1,0))),
        IF(Y78="-",0,IF(Y78&lt;0,-1,IF(Y78&gt;0,1,0))),
        IF(Y79="-",0,IF(Y79&lt;0,-1,IF(Y79&gt;0,1,0))),
        IF(Y80="-",0,IF(Y80&lt;0,-1,IF(Y80&gt;0,1,0))),
        IF(Y81="-",0,IF(Y81&lt;0,-1,IF(Y81&gt;0,1,0))),
        IF(Y82="-",0,IF(Y82&lt;0,-1,IF(Y82&gt;0,1,0))),
        IF(Y83="-",0,IF(Y83&lt;0,-1,IF(Y83&gt;0,1,0))),
        IF(Y84="-",0,IF(Y84&lt;0,-1,IF(Y84&gt;0,1,0))),
        IF(Y85="-",0,IF(Y85&lt;0,-1,IF(Y85&gt;0,1,0))),
        IF(Y86="-",0,IF(Y86&lt;0,-1,IF(Y86&gt;0,1,0))),
        IF(Y87="-",0,IF(Y87&lt;0,-1,IF(Y87&gt;0,1,0)))
        )/44 &gt; 0.1, "BULLISH",
    IF(SUM(
        IF(Y56="-",0,IF(Y56&lt;0,-2,IF(Y56&gt;0,2,0))),
        IF(Y57="-",0,IF(Y57&lt;0,-2,IF(Y57&gt;0,2,0))),
        IF(Y58="-",0,IF(Y58&lt;0,-2,IF(Y58&gt;0,2,0))),
        IF(Y59="-",0,IF(Y59&lt;0,-2,IF(Y59&gt;0,2,0))),
        IF(Y60="-",0,IF(Y60&lt;0,-2,IF(Y60&gt;0,2,0))),
        IF(Y61="-",0,IF(Y61&lt;0,-2,IF(Y61&gt;0,2,0))),
        IF(Y62="-",0,IF(Y62&lt;0,-2,IF(Y62&gt;0,2,0))),
        IF(Y63="-",0,IF(Y63&lt;0,-2,IF(Y63&gt;0,2,0))),
        IF(Y64="-",0,IF(Y64&lt;0,-2,IF(Y64&gt;0,2,0))),
        IF(Y65="-",0,IF(Y65&lt;0,-2,IF(Y65&gt;0,2,0))),
        IF(Y66="-",0,IF(Y66&lt;0,-2,IF(Y66&gt;0,2,0))),
        IF(Y67="-",0,IF(Y67&lt;0,-2,IF(Y67&gt;0,2,0))),
        IF(Y68="-",0,IF(Y68&lt;0,-1,IF(Y68&gt;0,1,0))),
        IF(Y69="-",0,IF(Y69&lt;0,-1,IF(Y69&gt;0,1,0))),
        IF(Y70="-",0,IF(Y70&lt;0,-1,IF(Y70&gt;0,1,0))),
        IF(Y71="-",0,IF(Y71&lt;0,-1,IF(Y71&gt;0,1,0))),
        IF(Y72="-",0,IF(Y72&lt;0,-1,IF(Y72&gt;0,1,0))),
        IF(Y73="-",0,IF(Y73&lt;0,-1,IF(Y73&gt;0,1,0))),
        IF(Y74="-",0,IF(Y74&lt;0,-1,IF(Y74&gt;0,1,0))),
        IF(Y75="-",0,IF(Y75&lt;0,-1,IF(Y75&gt;0,1,0))),
        IF(Y76="-",0,IF(Y76&lt;0,-1,IF(Y76&gt;0,1,0))),
        IF(Y77="-",0,IF(Y77&lt;0,-1,IF(Y77&gt;0,1,0))),
        IF(Y78="-",0,IF(Y78&lt;0,-1,IF(Y78&gt;0,1,0))),
        IF(Y79="-",0,IF(Y79&lt;0,-1,IF(Y79&gt;0,1,0))),
        IF(Y80="-",0,IF(Y80&lt;0,-1,IF(Y80&gt;0,1,0))),
        IF(Y81="-",0,IF(Y81&lt;0,-1,IF(Y81&gt;0,1,0))),
        IF(Y82="-",0,IF(Y82&lt;0,-1,IF(Y82&gt;0,1,0))),
        IF(Y83="-",0,IF(Y83&lt;0,-1,IF(Y83&gt;0,1,0))),
        IF(Y84="-",0,IF(Y84&lt;0,-1,IF(Y84&gt;0,1,0))),
        IF(Y85="-",0,IF(Y85&lt;0,-1,IF(Y85&gt;0,1,0))),
        IF(Y86="-",0,IF(Y86&lt;0,-1,IF(Y86&gt;0,1,0))),
        IF(Y87="-",0,IF(Y87&lt;0,-1,IF(Y87&gt;0,1,0)))
        )/44 &lt; -0.1, "BEARISH",
    IF(SUM(
        IF(Y56="-",0,IF(Y56&lt;0,-2,IF(Y56&gt;0,2,0))),
        IF(Y57="-",0,IF(Y57&lt;0,-2,IF(Y57&gt;0,2,0))),
        IF(Y58="-",0,IF(Y58&lt;0,-2,IF(Y58&gt;0,2,0))),
        IF(Y59="-",0,IF(Y59&lt;0,-2,IF(Y59&gt;0,2,0))),
        IF(Y60="-",0,IF(Y60&lt;0,-2,IF(Y60&gt;0,2,0))),
        IF(Y61="-",0,IF(Y61&lt;0,-2,IF(Y61&gt;0,2,0))),
        IF(Y62="-",0,IF(Y62&lt;0,-2,IF(Y62&gt;0,2,0))),
        IF(Y63="-",0,IF(Y63&lt;0,-2,IF(Y63&gt;0,2,0))),
        IF(Y64="-",0,IF(Y64&lt;0,-2,IF(Y64&gt;0,2,0))),
        IF(Y65="-",0,IF(Y65&lt;0,-2,IF(Y65&gt;0,2,0))),
        IF(Y66="-",0,IF(Y66&lt;0,-2,IF(Y66&gt;0,2,0))),
        IF(Y67="-",0,IF(Y67&lt;0,-2,IF(Y67&gt;0,2,0))),
        IF(Y68="-",0,IF(Y68&lt;0,-1,IF(Y68&gt;0,1,0))),
        IF(Y69="-",0,IF(Y69&lt;0,-1,IF(Y69&gt;0,1,0))),
        IF(Y70="-",0,IF(Y70&lt;0,-1,IF(Y70&gt;0,1,0))),
        IF(Y71="-",0,IF(Y71&lt;0,-1,IF(Y71&gt;0,1,0))),
        IF(Y72="-",0,IF(Y72&lt;0,-1,IF(Y72&gt;0,1,0))),
        IF(Y73="-",0,IF(Y73&lt;0,-1,IF(Y73&gt;0,1,0))),
        IF(Y74="-",0,IF(Y74&lt;0,-1,IF(Y74&gt;0,1,0))),
        IF(Y75="-",0,IF(Y75&lt;0,-1,IF(Y75&gt;0,1,0))),
        IF(Y76="-",0,IF(Y76&lt;0,-1,IF(Y76&gt;0,1,0))),
        IF(Y77="-",0,IF(Y77&lt;0,-1,IF(Y77&gt;0,1,0))),
        IF(Y78="-",0,IF(Y78&lt;0,-1,IF(Y78&gt;0,1,0))),
        IF(Y79="-",0,IF(Y79&lt;0,-1,IF(Y79&gt;0,1,0))),
        IF(Y80="-",0,IF(Y80&lt;0,-1,IF(Y80&gt;0,1,0))),
        IF(Y81="-",0,IF(Y81&lt;0,-1,IF(Y81&gt;0,1,0))),
        IF(Y82="-",0,IF(Y82&lt;0,-1,IF(Y82&gt;0,1,0))),
        IF(Y83="-",0,IF(Y83&lt;0,-1,IF(Y83&gt;0,1,0))),
        IF(Y84="-",0,IF(Y84&lt;0,-1,IF(Y84&gt;0,1,0))),
        IF(Y85="-",0,IF(Y85&lt;0,-1,IF(Y85&gt;0,1,0))),
        IF(Y86="-",0,IF(Y86&lt;0,-1,IF(Y86&gt;0,1,0))),
        IF(Y87="-",0,IF(Y87&lt;0,-1,IF(Y87&gt;0,1,0)))
        )/44 &lt;= 0.1, "NEUTRAL", ""))
    ))</f>
        <v>BULLISH</v>
      </c>
      <c r="X55" s="332"/>
      <c r="Y55" s="332"/>
      <c r="Z55" s="332" t="str">
        <f>IF(AND(AB56="-",AB57="-",AB58="-",AB59="-",AB60="-",AB61="-",AB62="-",AB63="-",AB64="-",AB65="-",AB66="-",AB67="-",AB68="-",AB69="-",AB70="-",AB71="-",AB72="-",AB73="-",AB74="-",AB75="-",AB76="-",AB77="-",AB78="-",AB79="-",AB80="-",AB81="-",AB82="-",AB83="-",AB84="-",AB85="-",AB86="-",AB87="-"), "",
    IF(SUM(
        IF(AB56="-",0,IF(AB56&lt;0,-2,IF(AB56&gt;0,2,0))),
        IF(AB57="-",0,IF(AB57&lt;0,-2,IF(AB57&gt;0,2,0))),
        IF(AB58="-",0,IF(AB58&lt;0,-2,IF(AB58&gt;0,2,0))),
        IF(AB59="-",0,IF(AB59&lt;0,-2,IF(AB59&gt;0,2,0))),
        IF(AB60="-",0,IF(AB60&lt;0,-2,IF(AB60&gt;0,2,0))),
        IF(AB61="-",0,IF(AB61&lt;0,-2,IF(AB61&gt;0,2,0))),
        IF(AB62="-",0,IF(AB62&lt;0,-2,IF(AB62&gt;0,2,0))),
        IF(AB63="-",0,IF(AB63&lt;0,-2,IF(AB63&gt;0,2,0))),
        IF(AB64="-",0,IF(AB64&lt;0,-2,IF(AB64&gt;0,2,0))),
        IF(AB65="-",0,IF(AB65&lt;0,-2,IF(AB65&gt;0,2,0))),
        IF(AB66="-",0,IF(AB66&lt;0,-2,IF(AB66&gt;0,2,0))),
        IF(AB67="-",0,IF(AB67&lt;0,-2,IF(AB67&gt;0,2,0))),
        IF(AB68="-",0,IF(AB68&lt;0,-1,IF(AB68&gt;0,1,0))),
        IF(AB69="-",0,IF(AB69&lt;0,-1,IF(AB69&gt;0,1,0))),
        IF(AB70="-",0,IF(AB70&lt;0,-1,IF(AB70&gt;0,1,0))),
        IF(AB71="-",0,IF(AB71&lt;0,-1,IF(AB71&gt;0,1,0))),
        IF(AB72="-",0,IF(AB72&lt;0,-1,IF(AB72&gt;0,1,0))),
        IF(AB73="-",0,IF(AB73&lt;0,-1,IF(AB73&gt;0,1,0))),
        IF(AB74="-",0,IF(AB74&lt;0,-1,IF(AB74&gt;0,1,0))),
        IF(AB75="-",0,IF(AB75&lt;0,-1,IF(AB75&gt;0,1,0))),
        IF(AB76="-",0,IF(AB76&lt;0,-1,IF(AB76&gt;0,1,0))),
        IF(AB77="-",0,IF(AB77&lt;0,-1,IF(AB77&gt;0,1,0))),
        IF(AB78="-",0,IF(AB78&lt;0,-1,IF(AB78&gt;0,1,0))),
        IF(AB79="-",0,IF(AB79&lt;0,-1,IF(AB79&gt;0,1,0))),
        IF(AB80="-",0,IF(AB80&lt;0,-1,IF(AB80&gt;0,1,0))),
        IF(AB81="-",0,IF(AB81&lt;0,-1,IF(AB81&gt;0,1,0))),
        IF(AB82="-",0,IF(AB82&lt;0,-1,IF(AB82&gt;0,1,0))),
        IF(AB83="-",0,IF(AB83&lt;0,-1,IF(AB83&gt;0,1,0))),
        IF(AB84="-",0,IF(AB84&lt;0,-1,IF(AB84&gt;0,1,0))),
        IF(AB85="-",0,IF(AB85&lt;0,-1,IF(AB85&gt;0,1,0))),
        IF(AB86="-",0,IF(AB86&lt;0,-1,IF(AB86&gt;0,1,0))),
        IF(AB87="-",0,IF(AB87&lt;0,-1,IF(AB87&gt;0,1,0)))
        )/44 &gt; 0.1, "BULLISH",
    IF(SUM(
        IF(AB56="-",0,IF(AB56&lt;0,-2,IF(AB56&gt;0,2,0))),
        IF(AB57="-",0,IF(AB57&lt;0,-2,IF(AB57&gt;0,2,0))),
        IF(AB58="-",0,IF(AB58&lt;0,-2,IF(AB58&gt;0,2,0))),
        IF(AB59="-",0,IF(AB59&lt;0,-2,IF(AB59&gt;0,2,0))),
        IF(AB60="-",0,IF(AB60&lt;0,-2,IF(AB60&gt;0,2,0))),
        IF(AB61="-",0,IF(AB61&lt;0,-2,IF(AB61&gt;0,2,0))),
        IF(AB62="-",0,IF(AB62&lt;0,-2,IF(AB62&gt;0,2,0))),
        IF(AB63="-",0,IF(AB63&lt;0,-2,IF(AB63&gt;0,2,0))),
        IF(AB64="-",0,IF(AB64&lt;0,-2,IF(AB64&gt;0,2,0))),
        IF(AB65="-",0,IF(AB65&lt;0,-2,IF(AB65&gt;0,2,0))),
        IF(AB66="-",0,IF(AB66&lt;0,-2,IF(AB66&gt;0,2,0))),
        IF(AB67="-",0,IF(AB67&lt;0,-2,IF(AB67&gt;0,2,0))),
        IF(AB68="-",0,IF(AB68&lt;0,-1,IF(AB68&gt;0,1,0))),
        IF(AB69="-",0,IF(AB69&lt;0,-1,IF(AB69&gt;0,1,0))),
        IF(AB70="-",0,IF(AB70&lt;0,-1,IF(AB70&gt;0,1,0))),
        IF(AB71="-",0,IF(AB71&lt;0,-1,IF(AB71&gt;0,1,0))),
        IF(AB72="-",0,IF(AB72&lt;0,-1,IF(AB72&gt;0,1,0))),
        IF(AB73="-",0,IF(AB73&lt;0,-1,IF(AB73&gt;0,1,0))),
        IF(AB74="-",0,IF(AB74&lt;0,-1,IF(AB74&gt;0,1,0))),
        IF(AB75="-",0,IF(AB75&lt;0,-1,IF(AB75&gt;0,1,0))),
        IF(AB76="-",0,IF(AB76&lt;0,-1,IF(AB76&gt;0,1,0))),
        IF(AB77="-",0,IF(AB77&lt;0,-1,IF(AB77&gt;0,1,0))),
        IF(AB78="-",0,IF(AB78&lt;0,-1,IF(AB78&gt;0,1,0))),
        IF(AB79="-",0,IF(AB79&lt;0,-1,IF(AB79&gt;0,1,0))),
        IF(AB80="-",0,IF(AB80&lt;0,-1,IF(AB80&gt;0,1,0))),
        IF(AB81="-",0,IF(AB81&lt;0,-1,IF(AB81&gt;0,1,0))),
        IF(AB82="-",0,IF(AB82&lt;0,-1,IF(AB82&gt;0,1,0))),
        IF(AB83="-",0,IF(AB83&lt;0,-1,IF(AB83&gt;0,1,0))),
        IF(AB84="-",0,IF(AB84&lt;0,-1,IF(AB84&gt;0,1,0))),
        IF(AB85="-",0,IF(AB85&lt;0,-1,IF(AB85&gt;0,1,0))),
        IF(AB86="-",0,IF(AB86&lt;0,-1,IF(AB86&gt;0,1,0))),
        IF(AB87="-",0,IF(AB87&lt;0,-1,IF(AB87&gt;0,1,0)))
        )/44 &lt; -0.1, "BEARISH",
    IF(SUM(
        IF(AB56="-",0,IF(AB56&lt;0,-2,IF(AB56&gt;0,2,0))),
        IF(AB57="-",0,IF(AB57&lt;0,-2,IF(AB57&gt;0,2,0))),
        IF(AB58="-",0,IF(AB58&lt;0,-2,IF(AB58&gt;0,2,0))),
        IF(AB59="-",0,IF(AB59&lt;0,-2,IF(AB59&gt;0,2,0))),
        IF(AB60="-",0,IF(AB60&lt;0,-2,IF(AB60&gt;0,2,0))),
        IF(AB61="-",0,IF(AB61&lt;0,-2,IF(AB61&gt;0,2,0))),
        IF(AB62="-",0,IF(AB62&lt;0,-2,IF(AB62&gt;0,2,0))),
        IF(AB63="-",0,IF(AB63&lt;0,-2,IF(AB63&gt;0,2,0))),
        IF(AB64="-",0,IF(AB64&lt;0,-2,IF(AB64&gt;0,2,0))),
        IF(AB65="-",0,IF(AB65&lt;0,-2,IF(AB65&gt;0,2,0))),
        IF(AB66="-",0,IF(AB66&lt;0,-2,IF(AB66&gt;0,2,0))),
        IF(AB67="-",0,IF(AB67&lt;0,-2,IF(AB67&gt;0,2,0))),
        IF(AB68="-",0,IF(AB68&lt;0,-1,IF(AB68&gt;0,1,0))),
        IF(AB69="-",0,IF(AB69&lt;0,-1,IF(AB69&gt;0,1,0))),
        IF(AB70="-",0,IF(AB70&lt;0,-1,IF(AB70&gt;0,1,0))),
        IF(AB71="-",0,IF(AB71&lt;0,-1,IF(AB71&gt;0,1,0))),
        IF(AB72="-",0,IF(AB72&lt;0,-1,IF(AB72&gt;0,1,0))),
        IF(AB73="-",0,IF(AB73&lt;0,-1,IF(AB73&gt;0,1,0))),
        IF(AB74="-",0,IF(AB74&lt;0,-1,IF(AB74&gt;0,1,0))),
        IF(AB75="-",0,IF(AB75&lt;0,-1,IF(AB75&gt;0,1,0))),
        IF(AB76="-",0,IF(AB76&lt;0,-1,IF(AB76&gt;0,1,0))),
        IF(AB77="-",0,IF(AB77&lt;0,-1,IF(AB77&gt;0,1,0))),
        IF(AB78="-",0,IF(AB78&lt;0,-1,IF(AB78&gt;0,1,0))),
        IF(AB79="-",0,IF(AB79&lt;0,-1,IF(AB79&gt;0,1,0))),
        IF(AB80="-",0,IF(AB80&lt;0,-1,IF(AB80&gt;0,1,0))),
        IF(AB81="-",0,IF(AB81&lt;0,-1,IF(AB81&gt;0,1,0))),
        IF(AB82="-",0,IF(AB82&lt;0,-1,IF(AB82&gt;0,1,0))),
        IF(AB83="-",0,IF(AB83&lt;0,-1,IF(AB83&gt;0,1,0))),
        IF(AB84="-",0,IF(AB84&lt;0,-1,IF(AB84&gt;0,1,0))),
        IF(AB85="-",0,IF(AB85&lt;0,-1,IF(AB85&gt;0,1,0))),
        IF(AB86="-",0,IF(AB86&lt;0,-1,IF(AB86&gt;0,1,0))),
        IF(AB87="-",0,IF(AB87&lt;0,-1,IF(AB87&gt;0,1,0)))
        )/44 &lt;= 0.1, "NEUTRAL", ""))
    ))</f>
        <v>BEARISH</v>
      </c>
      <c r="AA55" s="332"/>
      <c r="AB55" s="332"/>
      <c r="AC55" s="332" t="str">
        <f>IF(AND(AE56="-",AE57="-",AE58="-",AE59="-",AE60="-",AE61="-",AE62="-",AE63="-",AE64="-",AE65="-",AE66="-",AE67="-",AE68="-",AE69="-",AE70="-",AE71="-",AE72="-",AE73="-",AE74="-",AE75="-",AE76="-",AE77="-",AE78="-",AE79="-",AE80="-",AE81="-",AE82="-",AE83="-",AE84="-",AE85="-",AE86="-",AE87="-"), "",
    IF(SUM(
        IF(AE56="-",0,IF(AE56&lt;0,-2,IF(AE56&gt;0,2,0))),
        IF(AE57="-",0,IF(AE57&lt;0,-2,IF(AE57&gt;0,2,0))),
        IF(AE58="-",0,IF(AE58&lt;0,-2,IF(AE58&gt;0,2,0))),
        IF(AE59="-",0,IF(AE59&lt;0,-2,IF(AE59&gt;0,2,0))),
        IF(AE60="-",0,IF(AE60&lt;0,-2,IF(AE60&gt;0,2,0))),
        IF(AE61="-",0,IF(AE61&lt;0,-2,IF(AE61&gt;0,2,0))),
        IF(AE62="-",0,IF(AE62&lt;0,-2,IF(AE62&gt;0,2,0))),
        IF(AE63="-",0,IF(AE63&lt;0,-2,IF(AE63&gt;0,2,0))),
        IF(AE64="-",0,IF(AE64&lt;0,-2,IF(AE64&gt;0,2,0))),
        IF(AE65="-",0,IF(AE65&lt;0,-2,IF(AE65&gt;0,2,0))),
        IF(AE66="-",0,IF(AE66&lt;0,-2,IF(AE66&gt;0,2,0))),
        IF(AE67="-",0,IF(AE67&lt;0,-2,IF(AE67&gt;0,2,0))),
        IF(AE68="-",0,IF(AE68&lt;0,-1,IF(AE68&gt;0,1,0))),
        IF(AE69="-",0,IF(AE69&lt;0,-1,IF(AE69&gt;0,1,0))),
        IF(AE70="-",0,IF(AE70&lt;0,-1,IF(AE70&gt;0,1,0))),
        IF(AE71="-",0,IF(AE71&lt;0,-1,IF(AE71&gt;0,1,0))),
        IF(AE72="-",0,IF(AE72&lt;0,-1,IF(AE72&gt;0,1,0))),
        IF(AE73="-",0,IF(AE73&lt;0,-1,IF(AE73&gt;0,1,0))),
        IF(AE74="-",0,IF(AE74&lt;0,-1,IF(AE74&gt;0,1,0))),
        IF(AE75="-",0,IF(AE75&lt;0,-1,IF(AE75&gt;0,1,0))),
        IF(AE76="-",0,IF(AE76&lt;0,-1,IF(AE76&gt;0,1,0))),
        IF(AE77="-",0,IF(AE77&lt;0,-1,IF(AE77&gt;0,1,0))),
        IF(AE78="-",0,IF(AE78&lt;0,-1,IF(AE78&gt;0,1,0))),
        IF(AE79="-",0,IF(AE79&lt;0,-1,IF(AE79&gt;0,1,0))),
        IF(AE80="-",0,IF(AE80&lt;0,-1,IF(AE80&gt;0,1,0))),
        IF(AE81="-",0,IF(AE81&lt;0,-1,IF(AE81&gt;0,1,0))),
        IF(AE82="-",0,IF(AE82&lt;0,-1,IF(AE82&gt;0,1,0))),
        IF(AE83="-",0,IF(AE83&lt;0,-1,IF(AE83&gt;0,1,0))),
        IF(AE84="-",0,IF(AE84&lt;0,-1,IF(AE84&gt;0,1,0))),
        IF(AE85="-",0,IF(AE85&lt;0,-1,IF(AE85&gt;0,1,0))),
        IF(AE86="-",0,IF(AE86&lt;0,-1,IF(AE86&gt;0,1,0))),
        IF(AE87="-",0,IF(AE87&lt;0,-1,IF(AE87&gt;0,1,0)))
        )/44 &gt; 0.1, "BULLISH",
    IF(SUM(
        IF(AE56="-",0,IF(AE56&lt;0,-2,IF(AE56&gt;0,2,0))),
        IF(AE57="-",0,IF(AE57&lt;0,-2,IF(AE57&gt;0,2,0))),
        IF(AE58="-",0,IF(AE58&lt;0,-2,IF(AE58&gt;0,2,0))),
        IF(AE59="-",0,IF(AE59&lt;0,-2,IF(AE59&gt;0,2,0))),
        IF(AE60="-",0,IF(AE60&lt;0,-2,IF(AE60&gt;0,2,0))),
        IF(AE61="-",0,IF(AE61&lt;0,-2,IF(AE61&gt;0,2,0))),
        IF(AE62="-",0,IF(AE62&lt;0,-2,IF(AE62&gt;0,2,0))),
        IF(AE63="-",0,IF(AE63&lt;0,-2,IF(AE63&gt;0,2,0))),
        IF(AE64="-",0,IF(AE64&lt;0,-2,IF(AE64&gt;0,2,0))),
        IF(AE65="-",0,IF(AE65&lt;0,-2,IF(AE65&gt;0,2,0))),
        IF(AE66="-",0,IF(AE66&lt;0,-2,IF(AE66&gt;0,2,0))),
        IF(AE67="-",0,IF(AE67&lt;0,-2,IF(AE67&gt;0,2,0))),
        IF(AE68="-",0,IF(AE68&lt;0,-1,IF(AE68&gt;0,1,0))),
        IF(AE69="-",0,IF(AE69&lt;0,-1,IF(AE69&gt;0,1,0))),
        IF(AE70="-",0,IF(AE70&lt;0,-1,IF(AE70&gt;0,1,0))),
        IF(AE71="-",0,IF(AE71&lt;0,-1,IF(AE71&gt;0,1,0))),
        IF(AE72="-",0,IF(AE72&lt;0,-1,IF(AE72&gt;0,1,0))),
        IF(AE73="-",0,IF(AE73&lt;0,-1,IF(AE73&gt;0,1,0))),
        IF(AE74="-",0,IF(AE74&lt;0,-1,IF(AE74&gt;0,1,0))),
        IF(AE75="-",0,IF(AE75&lt;0,-1,IF(AE75&gt;0,1,0))),
        IF(AE76="-",0,IF(AE76&lt;0,-1,IF(AE76&gt;0,1,0))),
        IF(AE77="-",0,IF(AE77&lt;0,-1,IF(AE77&gt;0,1,0))),
        IF(AE78="-",0,IF(AE78&lt;0,-1,IF(AE78&gt;0,1,0))),
        IF(AE79="-",0,IF(AE79&lt;0,-1,IF(AE79&gt;0,1,0))),
        IF(AE80="-",0,IF(AE80&lt;0,-1,IF(AE80&gt;0,1,0))),
        IF(AE81="-",0,IF(AE81&lt;0,-1,IF(AE81&gt;0,1,0))),
        IF(AE82="-",0,IF(AE82&lt;0,-1,IF(AE82&gt;0,1,0))),
        IF(AE83="-",0,IF(AE83&lt;0,-1,IF(AE83&gt;0,1,0))),
        IF(AE84="-",0,IF(AE84&lt;0,-1,IF(AE84&gt;0,1,0))),
        IF(AE85="-",0,IF(AE85&lt;0,-1,IF(AE85&gt;0,1,0))),
        IF(AE86="-",0,IF(AE86&lt;0,-1,IF(AE86&gt;0,1,0))),
        IF(AE87="-",0,IF(AE87&lt;0,-1,IF(AE87&gt;0,1,0)))
        )/44 &lt; -0.1, "BEARISH",
    IF(SUM(
        IF(AE56="-",0,IF(AE56&lt;0,-2,IF(AE56&gt;0,2,0))),
        IF(AE57="-",0,IF(AE57&lt;0,-2,IF(AE57&gt;0,2,0))),
        IF(AE58="-",0,IF(AE58&lt;0,-2,IF(AE58&gt;0,2,0))),
        IF(AE59="-",0,IF(AE59&lt;0,-2,IF(AE59&gt;0,2,0))),
        IF(AE60="-",0,IF(AE60&lt;0,-2,IF(AE60&gt;0,2,0))),
        IF(AE61="-",0,IF(AE61&lt;0,-2,IF(AE61&gt;0,2,0))),
        IF(AE62="-",0,IF(AE62&lt;0,-2,IF(AE62&gt;0,2,0))),
        IF(AE63="-",0,IF(AE63&lt;0,-2,IF(AE63&gt;0,2,0))),
        IF(AE64="-",0,IF(AE64&lt;0,-2,IF(AE64&gt;0,2,0))),
        IF(AE65="-",0,IF(AE65&lt;0,-2,IF(AE65&gt;0,2,0))),
        IF(AE66="-",0,IF(AE66&lt;0,-2,IF(AE66&gt;0,2,0))),
        IF(AE67="-",0,IF(AE67&lt;0,-2,IF(AE67&gt;0,2,0))),
        IF(AE68="-",0,IF(AE68&lt;0,-1,IF(AE68&gt;0,1,0))),
        IF(AE69="-",0,IF(AE69&lt;0,-1,IF(AE69&gt;0,1,0))),
        IF(AE70="-",0,IF(AE70&lt;0,-1,IF(AE70&gt;0,1,0))),
        IF(AE71="-",0,IF(AE71&lt;0,-1,IF(AE71&gt;0,1,0))),
        IF(AE72="-",0,IF(AE72&lt;0,-1,IF(AE72&gt;0,1,0))),
        IF(AE73="-",0,IF(AE73&lt;0,-1,IF(AE73&gt;0,1,0))),
        IF(AE74="-",0,IF(AE74&lt;0,-1,IF(AE74&gt;0,1,0))),
        IF(AE75="-",0,IF(AE75&lt;0,-1,IF(AE75&gt;0,1,0))),
        IF(AE76="-",0,IF(AE76&lt;0,-1,IF(AE76&gt;0,1,0))),
        IF(AE77="-",0,IF(AE77&lt;0,-1,IF(AE77&gt;0,1,0))),
        IF(AE78="-",0,IF(AE78&lt;0,-1,IF(AE78&gt;0,1,0))),
        IF(AE79="-",0,IF(AE79&lt;0,-1,IF(AE79&gt;0,1,0))),
        IF(AE80="-",0,IF(AE80&lt;0,-1,IF(AE80&gt;0,1,0))),
        IF(AE81="-",0,IF(AE81&lt;0,-1,IF(AE81&gt;0,1,0))),
        IF(AE82="-",0,IF(AE82&lt;0,-1,IF(AE82&gt;0,1,0))),
        IF(AE83="-",0,IF(AE83&lt;0,-1,IF(AE83&gt;0,1,0))),
        IF(AE84="-",0,IF(AE84&lt;0,-1,IF(AE84&gt;0,1,0))),
        IF(AE85="-",0,IF(AE85&lt;0,-1,IF(AE85&gt;0,1,0))),
        IF(AE86="-",0,IF(AE86&lt;0,-1,IF(AE86&gt;0,1,0))),
        IF(AE87="-",0,IF(AE87&lt;0,-1,IF(AE87&gt;0,1,0)))
        )/44 &lt;= 0.1, "NEUTRAL", ""))
    ))</f>
        <v>BULLISH</v>
      </c>
      <c r="AD55" s="332"/>
      <c r="AE55" s="332"/>
      <c r="AF55" s="332" t="str">
        <f>IF(AND(AH56="-",AH57="-",AH58="-",AH59="-",AH60="-",AH61="-",AH62="-",AH63="-",AH64="-",AH65="-",AH66="-",AH67="-",AH68="-",AH69="-",AH70="-",AH71="-",AH72="-",AH73="-",AH74="-",AH75="-",AH76="-",AH77="-",AH78="-",AH79="-",AH80="-",AH81="-",AH82="-",AH83="-",AH84="-",AH85="-",AH86="-",AH87="-"), "",
    IF(SUM(
        IF(AH56="-",0,IF(AH56&lt;0,-2,IF(AH56&gt;0,2,0))),
        IF(AH57="-",0,IF(AH57&lt;0,-2,IF(AH57&gt;0,2,0))),
        IF(AH58="-",0,IF(AH58&lt;0,-2,IF(AH58&gt;0,2,0))),
        IF(AH59="-",0,IF(AH59&lt;0,-2,IF(AH59&gt;0,2,0))),
        IF(AH60="-",0,IF(AH60&lt;0,-2,IF(AH60&gt;0,2,0))),
        IF(AH61="-",0,IF(AH61&lt;0,-2,IF(AH61&gt;0,2,0))),
        IF(AH62="-",0,IF(AH62&lt;0,-2,IF(AH62&gt;0,2,0))),
        IF(AH63="-",0,IF(AH63&lt;0,-2,IF(AH63&gt;0,2,0))),
        IF(AH64="-",0,IF(AH64&lt;0,-2,IF(AH64&gt;0,2,0))),
        IF(AH65="-",0,IF(AH65&lt;0,-2,IF(AH65&gt;0,2,0))),
        IF(AH66="-",0,IF(AH66&lt;0,-2,IF(AH66&gt;0,2,0))),
        IF(AH67="-",0,IF(AH67&lt;0,-2,IF(AH67&gt;0,2,0))),
        IF(AH68="-",0,IF(AH68&lt;0,-1,IF(AH68&gt;0,1,0))),
        IF(AH69="-",0,IF(AH69&lt;0,-1,IF(AH69&gt;0,1,0))),
        IF(AH70="-",0,IF(AH70&lt;0,-1,IF(AH70&gt;0,1,0))),
        IF(AH71="-",0,IF(AH71&lt;0,-1,IF(AH71&gt;0,1,0))),
        IF(AH72="-",0,IF(AH72&lt;0,-1,IF(AH72&gt;0,1,0))),
        IF(AH73="-",0,IF(AH73&lt;0,-1,IF(AH73&gt;0,1,0))),
        IF(AH74="-",0,IF(AH74&lt;0,-1,IF(AH74&gt;0,1,0))),
        IF(AH75="-",0,IF(AH75&lt;0,-1,IF(AH75&gt;0,1,0))),
        IF(AH76="-",0,IF(AH76&lt;0,-1,IF(AH76&gt;0,1,0))),
        IF(AH77="-",0,IF(AH77&lt;0,-1,IF(AH77&gt;0,1,0))),
        IF(AH78="-",0,IF(AH78&lt;0,-1,IF(AH78&gt;0,1,0))),
        IF(AH79="-",0,IF(AH79&lt;0,-1,IF(AH79&gt;0,1,0))),
        IF(AH80="-",0,IF(AH80&lt;0,-1,IF(AH80&gt;0,1,0))),
        IF(AH81="-",0,IF(AH81&lt;0,-1,IF(AH81&gt;0,1,0))),
        IF(AH82="-",0,IF(AH82&lt;0,-1,IF(AH82&gt;0,1,0))),
        IF(AH83="-",0,IF(AH83&lt;0,-1,IF(AH83&gt;0,1,0))),
        IF(AH84="-",0,IF(AH84&lt;0,-1,IF(AH84&gt;0,1,0))),
        IF(AH85="-",0,IF(AH85&lt;0,-1,IF(AH85&gt;0,1,0))),
        IF(AH86="-",0,IF(AH86&lt;0,-1,IF(AH86&gt;0,1,0))),
        IF(AH87="-",0,IF(AH87&lt;0,-1,IF(AH87&gt;0,1,0)))
        )/44 &gt; 0.1, "BULLISH",
    IF(SUM(
        IF(AH56="-",0,IF(AH56&lt;0,-2,IF(AH56&gt;0,2,0))),
        IF(AH57="-",0,IF(AH57&lt;0,-2,IF(AH57&gt;0,2,0))),
        IF(AH58="-",0,IF(AH58&lt;0,-2,IF(AH58&gt;0,2,0))),
        IF(AH59="-",0,IF(AH59&lt;0,-2,IF(AH59&gt;0,2,0))),
        IF(AH60="-",0,IF(AH60&lt;0,-2,IF(AH60&gt;0,2,0))),
        IF(AH61="-",0,IF(AH61&lt;0,-2,IF(AH61&gt;0,2,0))),
        IF(AH62="-",0,IF(AH62&lt;0,-2,IF(AH62&gt;0,2,0))),
        IF(AH63="-",0,IF(AH63&lt;0,-2,IF(AH63&gt;0,2,0))),
        IF(AH64="-",0,IF(AH64&lt;0,-2,IF(AH64&gt;0,2,0))),
        IF(AH65="-",0,IF(AH65&lt;0,-2,IF(AH65&gt;0,2,0))),
        IF(AH66="-",0,IF(AH66&lt;0,-2,IF(AH66&gt;0,2,0))),
        IF(AH67="-",0,IF(AH67&lt;0,-2,IF(AH67&gt;0,2,0))),
        IF(AH68="-",0,IF(AH68&lt;0,-1,IF(AH68&gt;0,1,0))),
        IF(AH69="-",0,IF(AH69&lt;0,-1,IF(AH69&gt;0,1,0))),
        IF(AH70="-",0,IF(AH70&lt;0,-1,IF(AH70&gt;0,1,0))),
        IF(AH71="-",0,IF(AH71&lt;0,-1,IF(AH71&gt;0,1,0))),
        IF(AH72="-",0,IF(AH72&lt;0,-1,IF(AH72&gt;0,1,0))),
        IF(AH73="-",0,IF(AH73&lt;0,-1,IF(AH73&gt;0,1,0))),
        IF(AH74="-",0,IF(AH74&lt;0,-1,IF(AH74&gt;0,1,0))),
        IF(AH75="-",0,IF(AH75&lt;0,-1,IF(AH75&gt;0,1,0))),
        IF(AH76="-",0,IF(AH76&lt;0,-1,IF(AH76&gt;0,1,0))),
        IF(AH77="-",0,IF(AH77&lt;0,-1,IF(AH77&gt;0,1,0))),
        IF(AH78="-",0,IF(AH78&lt;0,-1,IF(AH78&gt;0,1,0))),
        IF(AH79="-",0,IF(AH79&lt;0,-1,IF(AH79&gt;0,1,0))),
        IF(AH80="-",0,IF(AH80&lt;0,-1,IF(AH80&gt;0,1,0))),
        IF(AH81="-",0,IF(AH81&lt;0,-1,IF(AH81&gt;0,1,0))),
        IF(AH82="-",0,IF(AH82&lt;0,-1,IF(AH82&gt;0,1,0))),
        IF(AH83="-",0,IF(AH83&lt;0,-1,IF(AH83&gt;0,1,0))),
        IF(AH84="-",0,IF(AH84&lt;0,-1,IF(AH84&gt;0,1,0))),
        IF(AH85="-",0,IF(AH85&lt;0,-1,IF(AH85&gt;0,1,0))),
        IF(AH86="-",0,IF(AH86&lt;0,-1,IF(AH86&gt;0,1,0))),
        IF(AH87="-",0,IF(AH87&lt;0,-1,IF(AH87&gt;0,1,0)))
        )/44 &lt; -0.1, "BEARISH",
    IF(SUM(
        IF(AH56="-",0,IF(AH56&lt;0,-2,IF(AH56&gt;0,2,0))),
        IF(AH57="-",0,IF(AH57&lt;0,-2,IF(AH57&gt;0,2,0))),
        IF(AH58="-",0,IF(AH58&lt;0,-2,IF(AH58&gt;0,2,0))),
        IF(AH59="-",0,IF(AH59&lt;0,-2,IF(AH59&gt;0,2,0))),
        IF(AH60="-",0,IF(AH60&lt;0,-2,IF(AH60&gt;0,2,0))),
        IF(AH61="-",0,IF(AH61&lt;0,-2,IF(AH61&gt;0,2,0))),
        IF(AH62="-",0,IF(AH62&lt;0,-2,IF(AH62&gt;0,2,0))),
        IF(AH63="-",0,IF(AH63&lt;0,-2,IF(AH63&gt;0,2,0))),
        IF(AH64="-",0,IF(AH64&lt;0,-2,IF(AH64&gt;0,2,0))),
        IF(AH65="-",0,IF(AH65&lt;0,-2,IF(AH65&gt;0,2,0))),
        IF(AH66="-",0,IF(AH66&lt;0,-2,IF(AH66&gt;0,2,0))),
        IF(AH67="-",0,IF(AH67&lt;0,-2,IF(AH67&gt;0,2,0))),
        IF(AH68="-",0,IF(AH68&lt;0,-1,IF(AH68&gt;0,1,0))),
        IF(AH69="-",0,IF(AH69&lt;0,-1,IF(AH69&gt;0,1,0))),
        IF(AH70="-",0,IF(AH70&lt;0,-1,IF(AH70&gt;0,1,0))),
        IF(AH71="-",0,IF(AH71&lt;0,-1,IF(AH71&gt;0,1,0))),
        IF(AH72="-",0,IF(AH72&lt;0,-1,IF(AH72&gt;0,1,0))),
        IF(AH73="-",0,IF(AH73&lt;0,-1,IF(AH73&gt;0,1,0))),
        IF(AH74="-",0,IF(AH74&lt;0,-1,IF(AH74&gt;0,1,0))),
        IF(AH75="-",0,IF(AH75&lt;0,-1,IF(AH75&gt;0,1,0))),
        IF(AH76="-",0,IF(AH76&lt;0,-1,IF(AH76&gt;0,1,0))),
        IF(AH77="-",0,IF(AH77&lt;0,-1,IF(AH77&gt;0,1,0))),
        IF(AH78="-",0,IF(AH78&lt;0,-1,IF(AH78&gt;0,1,0))),
        IF(AH79="-",0,IF(AH79&lt;0,-1,IF(AH79&gt;0,1,0))),
        IF(AH80="-",0,IF(AH80&lt;0,-1,IF(AH80&gt;0,1,0))),
        IF(AH81="-",0,IF(AH81&lt;0,-1,IF(AH81&gt;0,1,0))),
        IF(AH82="-",0,IF(AH82&lt;0,-1,IF(AH82&gt;0,1,0))),
        IF(AH83="-",0,IF(AH83&lt;0,-1,IF(AH83&gt;0,1,0))),
        IF(AH84="-",0,IF(AH84&lt;0,-1,IF(AH84&gt;0,1,0))),
        IF(AH85="-",0,IF(AH85&lt;0,-1,IF(AH85&gt;0,1,0))),
        IF(AH86="-",0,IF(AH86&lt;0,-1,IF(AH86&gt;0,1,0))),
        IF(AH87="-",0,IF(AH87&lt;0,-1,IF(AH87&gt;0,1,0)))
        )/44 &lt;= 0.1, "NEUTRAL", ""))
    ))</f>
        <v>BULLISH</v>
      </c>
      <c r="AG55" s="332"/>
      <c r="AH55" s="332"/>
      <c r="AI55" s="332" t="str">
        <f>IF(AND(AK56="-",AK57="-",AK58="-",AK59="-",AK60="-",AK61="-",AK62="-",AK63="-",AK64="-",AK65="-",AK66="-",AK67="-",AK68="-",AK69="-",AK70="-",AK71="-",AK72="-",AK73="-",AK74="-",AK75="-",AK76="-",AK77="-",AK78="-",AK79="-",AK80="-",AK81="-",AK82="-",AK83="-",AK84="-",AK85="-",AK86="-",AK87="-"), "",
    IF(SUM(
        IF(AK56="-",0,IF(AK56&lt;0,-2,IF(AK56&gt;0,2,0))),
        IF(AK57="-",0,IF(AK57&lt;0,-2,IF(AK57&gt;0,2,0))),
        IF(AK58="-",0,IF(AK58&lt;0,-2,IF(AK58&gt;0,2,0))),
        IF(AK59="-",0,IF(AK59&lt;0,-2,IF(AK59&gt;0,2,0))),
        IF(AK60="-",0,IF(AK60&lt;0,-2,IF(AK60&gt;0,2,0))),
        IF(AK61="-",0,IF(AK61&lt;0,-2,IF(AK61&gt;0,2,0))),
        IF(AK62="-",0,IF(AK62&lt;0,-2,IF(AK62&gt;0,2,0))),
        IF(AK63="-",0,IF(AK63&lt;0,-2,IF(AK63&gt;0,2,0))),
        IF(AK64="-",0,IF(AK64&lt;0,-2,IF(AK64&gt;0,2,0))),
        IF(AK65="-",0,IF(AK65&lt;0,-2,IF(AK65&gt;0,2,0))),
        IF(AK66="-",0,IF(AK66&lt;0,-2,IF(AK66&gt;0,2,0))),
        IF(AK67="-",0,IF(AK67&lt;0,-2,IF(AK67&gt;0,2,0))),
        IF(AK68="-",0,IF(AK68&lt;0,-1,IF(AK68&gt;0,1,0))),
        IF(AK69="-",0,IF(AK69&lt;0,-1,IF(AK69&gt;0,1,0))),
        IF(AK70="-",0,IF(AK70&lt;0,-1,IF(AK70&gt;0,1,0))),
        IF(AK71="-",0,IF(AK71&lt;0,-1,IF(AK71&gt;0,1,0))),
        IF(AK72="-",0,IF(AK72&lt;0,-1,IF(AK72&gt;0,1,0))),
        IF(AK73="-",0,IF(AK73&lt;0,-1,IF(AK73&gt;0,1,0))),
        IF(AK74="-",0,IF(AK74&lt;0,-1,IF(AK74&gt;0,1,0))),
        IF(AK75="-",0,IF(AK75&lt;0,-1,IF(AK75&gt;0,1,0))),
        IF(AK76="-",0,IF(AK76&lt;0,-1,IF(AK76&gt;0,1,0))),
        IF(AK77="-",0,IF(AK77&lt;0,-1,IF(AK77&gt;0,1,0))),
        IF(AK78="-",0,IF(AK78&lt;0,-1,IF(AK78&gt;0,1,0))),
        IF(AK79="-",0,IF(AK79&lt;0,-1,IF(AK79&gt;0,1,0))),
        IF(AK80="-",0,IF(AK80&lt;0,-1,IF(AK80&gt;0,1,0))),
        IF(AK81="-",0,IF(AK81&lt;0,-1,IF(AK81&gt;0,1,0))),
        IF(AK82="-",0,IF(AK82&lt;0,-1,IF(AK82&gt;0,1,0))),
        IF(AK83="-",0,IF(AK83&lt;0,-1,IF(AK83&gt;0,1,0))),
        IF(AK84="-",0,IF(AK84&lt;0,-1,IF(AK84&gt;0,1,0))),
        IF(AK85="-",0,IF(AK85&lt;0,-1,IF(AK85&gt;0,1,0))),
        IF(AK86="-",0,IF(AK86&lt;0,-1,IF(AK86&gt;0,1,0))),
        IF(AK87="-",0,IF(AK87&lt;0,-1,IF(AK87&gt;0,1,0)))
        )/44 &gt; 0.1, "BULLISH",
    IF(SUM(
        IF(AK56="-",0,IF(AK56&lt;0,-2,IF(AK56&gt;0,2,0))),
        IF(AK57="-",0,IF(AK57&lt;0,-2,IF(AK57&gt;0,2,0))),
        IF(AK58="-",0,IF(AK58&lt;0,-2,IF(AK58&gt;0,2,0))),
        IF(AK59="-",0,IF(AK59&lt;0,-2,IF(AK59&gt;0,2,0))),
        IF(AK60="-",0,IF(AK60&lt;0,-2,IF(AK60&gt;0,2,0))),
        IF(AK61="-",0,IF(AK61&lt;0,-2,IF(AK61&gt;0,2,0))),
        IF(AK62="-",0,IF(AK62&lt;0,-2,IF(AK62&gt;0,2,0))),
        IF(AK63="-",0,IF(AK63&lt;0,-2,IF(AK63&gt;0,2,0))),
        IF(AK64="-",0,IF(AK64&lt;0,-2,IF(AK64&gt;0,2,0))),
        IF(AK65="-",0,IF(AK65&lt;0,-2,IF(AK65&gt;0,2,0))),
        IF(AK66="-",0,IF(AK66&lt;0,-2,IF(AK66&gt;0,2,0))),
        IF(AK67="-",0,IF(AK67&lt;0,-2,IF(AK67&gt;0,2,0))),
        IF(AK68="-",0,IF(AK68&lt;0,-1,IF(AK68&gt;0,1,0))),
        IF(AK69="-",0,IF(AK69&lt;0,-1,IF(AK69&gt;0,1,0))),
        IF(AK70="-",0,IF(AK70&lt;0,-1,IF(AK70&gt;0,1,0))),
        IF(AK71="-",0,IF(AK71&lt;0,-1,IF(AK71&gt;0,1,0))),
        IF(AK72="-",0,IF(AK72&lt;0,-1,IF(AK72&gt;0,1,0))),
        IF(AK73="-",0,IF(AK73&lt;0,-1,IF(AK73&gt;0,1,0))),
        IF(AK74="-",0,IF(AK74&lt;0,-1,IF(AK74&gt;0,1,0))),
        IF(AK75="-",0,IF(AK75&lt;0,-1,IF(AK75&gt;0,1,0))),
        IF(AK76="-",0,IF(AK76&lt;0,-1,IF(AK76&gt;0,1,0))),
        IF(AK77="-",0,IF(AK77&lt;0,-1,IF(AK77&gt;0,1,0))),
        IF(AK78="-",0,IF(AK78&lt;0,-1,IF(AK78&gt;0,1,0))),
        IF(AK79="-",0,IF(AK79&lt;0,-1,IF(AK79&gt;0,1,0))),
        IF(AK80="-",0,IF(AK80&lt;0,-1,IF(AK80&gt;0,1,0))),
        IF(AK81="-",0,IF(AK81&lt;0,-1,IF(AK81&gt;0,1,0))),
        IF(AK82="-",0,IF(AK82&lt;0,-1,IF(AK82&gt;0,1,0))),
        IF(AK83="-",0,IF(AK83&lt;0,-1,IF(AK83&gt;0,1,0))),
        IF(AK84="-",0,IF(AK84&lt;0,-1,IF(AK84&gt;0,1,0))),
        IF(AK85="-",0,IF(AK85&lt;0,-1,IF(AK85&gt;0,1,0))),
        IF(AK86="-",0,IF(AK86&lt;0,-1,IF(AK86&gt;0,1,0))),
        IF(AK87="-",0,IF(AK87&lt;0,-1,IF(AK87&gt;0,1,0)))
        )/44 &lt; -0.1, "BEARISH",
    IF(SUM(
        IF(AK56="-",0,IF(AK56&lt;0,-2,IF(AK56&gt;0,2,0))),
        IF(AK57="-",0,IF(AK57&lt;0,-2,IF(AK57&gt;0,2,0))),
        IF(AK58="-",0,IF(AK58&lt;0,-2,IF(AK58&gt;0,2,0))),
        IF(AK59="-",0,IF(AK59&lt;0,-2,IF(AK59&gt;0,2,0))),
        IF(AK60="-",0,IF(AK60&lt;0,-2,IF(AK60&gt;0,2,0))),
        IF(AK61="-",0,IF(AK61&lt;0,-2,IF(AK61&gt;0,2,0))),
        IF(AK62="-",0,IF(AK62&lt;0,-2,IF(AK62&gt;0,2,0))),
        IF(AK63="-",0,IF(AK63&lt;0,-2,IF(AK63&gt;0,2,0))),
        IF(AK64="-",0,IF(AK64&lt;0,-2,IF(AK64&gt;0,2,0))),
        IF(AK65="-",0,IF(AK65&lt;0,-2,IF(AK65&gt;0,2,0))),
        IF(AK66="-",0,IF(AK66&lt;0,-2,IF(AK66&gt;0,2,0))),
        IF(AK67="-",0,IF(AK67&lt;0,-2,IF(AK67&gt;0,2,0))),
        IF(AK68="-",0,IF(AK68&lt;0,-1,IF(AK68&gt;0,1,0))),
        IF(AK69="-",0,IF(AK69&lt;0,-1,IF(AK69&gt;0,1,0))),
        IF(AK70="-",0,IF(AK70&lt;0,-1,IF(AK70&gt;0,1,0))),
        IF(AK71="-",0,IF(AK71&lt;0,-1,IF(AK71&gt;0,1,0))),
        IF(AK72="-",0,IF(AK72&lt;0,-1,IF(AK72&gt;0,1,0))),
        IF(AK73="-",0,IF(AK73&lt;0,-1,IF(AK73&gt;0,1,0))),
        IF(AK74="-",0,IF(AK74&lt;0,-1,IF(AK74&gt;0,1,0))),
        IF(AK75="-",0,IF(AK75&lt;0,-1,IF(AK75&gt;0,1,0))),
        IF(AK76="-",0,IF(AK76&lt;0,-1,IF(AK76&gt;0,1,0))),
        IF(AK77="-",0,IF(AK77&lt;0,-1,IF(AK77&gt;0,1,0))),
        IF(AK78="-",0,IF(AK78&lt;0,-1,IF(AK78&gt;0,1,0))),
        IF(AK79="-",0,IF(AK79&lt;0,-1,IF(AK79&gt;0,1,0))),
        IF(AK80="-",0,IF(AK80&lt;0,-1,IF(AK80&gt;0,1,0))),
        IF(AK81="-",0,IF(AK81&lt;0,-1,IF(AK81&gt;0,1,0))),
        IF(AK82="-",0,IF(AK82&lt;0,-1,IF(AK82&gt;0,1,0))),
        IF(AK83="-",0,IF(AK83&lt;0,-1,IF(AK83&gt;0,1,0))),
        IF(AK84="-",0,IF(AK84&lt;0,-1,IF(AK84&gt;0,1,0))),
        IF(AK85="-",0,IF(AK85&lt;0,-1,IF(AK85&gt;0,1,0))),
        IF(AK86="-",0,IF(AK86&lt;0,-1,IF(AK86&gt;0,1,0))),
        IF(AK87="-",0,IF(AK87&lt;0,-1,IF(AK87&gt;0,1,0)))
        )/44 &lt;= 0.1, "NEUTRAL", ""))
    ))</f>
        <v>BEARISH</v>
      </c>
      <c r="AJ55" s="332"/>
      <c r="AK55" s="332"/>
      <c r="AL55" s="332" t="str">
        <f>IF(AND(AN56="-",AN57="-",AN58="-",AN59="-",AN60="-",AN61="-",AN62="-",AN63="-",AN64="-",AN65="-",AN66="-",AN67="-",AN68="-",AN69="-",AN70="-",AN71="-",AN72="-",AN73="-",AN74="-",AN75="-",AN76="-",AN77="-",AN78="-",AN79="-",AN80="-",AN81="-",AN82="-",AN83="-",AN84="-",AN85="-",AN86="-",AN87="-"), "",
    IF(SUM(
        IF(AN56="-",0,IF(AN56&lt;0,-2,IF(AN56&gt;0,2,0))),
        IF(AN57="-",0,IF(AN57&lt;0,-2,IF(AN57&gt;0,2,0))),
        IF(AN58="-",0,IF(AN58&lt;0,-2,IF(AN58&gt;0,2,0))),
        IF(AN59="-",0,IF(AN59&lt;0,-2,IF(AN59&gt;0,2,0))),
        IF(AN60="-",0,IF(AN60&lt;0,-2,IF(AN60&gt;0,2,0))),
        IF(AN61="-",0,IF(AN61&lt;0,-2,IF(AN61&gt;0,2,0))),
        IF(AN62="-",0,IF(AN62&lt;0,-2,IF(AN62&gt;0,2,0))),
        IF(AN63="-",0,IF(AN63&lt;0,-2,IF(AN63&gt;0,2,0))),
        IF(AN64="-",0,IF(AN64&lt;0,-2,IF(AN64&gt;0,2,0))),
        IF(AN65="-",0,IF(AN65&lt;0,-2,IF(AN65&gt;0,2,0))),
        IF(AN66="-",0,IF(AN66&lt;0,-2,IF(AN66&gt;0,2,0))),
        IF(AN67="-",0,IF(AN67&lt;0,-2,IF(AN67&gt;0,2,0))),
        IF(AN68="-",0,IF(AN68&lt;0,-1,IF(AN68&gt;0,1,0))),
        IF(AN69="-",0,IF(AN69&lt;0,-1,IF(AN69&gt;0,1,0))),
        IF(AN70="-",0,IF(AN70&lt;0,-1,IF(AN70&gt;0,1,0))),
        IF(AN71="-",0,IF(AN71&lt;0,-1,IF(AN71&gt;0,1,0))),
        IF(AN72="-",0,IF(AN72&lt;0,-1,IF(AN72&gt;0,1,0))),
        IF(AN73="-",0,IF(AN73&lt;0,-1,IF(AN73&gt;0,1,0))),
        IF(AN74="-",0,IF(AN74&lt;0,-1,IF(AN74&gt;0,1,0))),
        IF(AN75="-",0,IF(AN75&lt;0,-1,IF(AN75&gt;0,1,0))),
        IF(AN76="-",0,IF(AN76&lt;0,-1,IF(AN76&gt;0,1,0))),
        IF(AN77="-",0,IF(AN77&lt;0,-1,IF(AN77&gt;0,1,0))),
        IF(AN78="-",0,IF(AN78&lt;0,-1,IF(AN78&gt;0,1,0))),
        IF(AN79="-",0,IF(AN79&lt;0,-1,IF(AN79&gt;0,1,0))),
        IF(AN80="-",0,IF(AN80&lt;0,-1,IF(AN80&gt;0,1,0))),
        IF(AN81="-",0,IF(AN81&lt;0,-1,IF(AN81&gt;0,1,0))),
        IF(AN82="-",0,IF(AN82&lt;0,-1,IF(AN82&gt;0,1,0))),
        IF(AN83="-",0,IF(AN83&lt;0,-1,IF(AN83&gt;0,1,0))),
        IF(AN84="-",0,IF(AN84&lt;0,-1,IF(AN84&gt;0,1,0))),
        IF(AN85="-",0,IF(AN85&lt;0,-1,IF(AN85&gt;0,1,0))),
        IF(AN86="-",0,IF(AN86&lt;0,-1,IF(AN86&gt;0,1,0))),
        IF(AN87="-",0,IF(AN87&lt;0,-1,IF(AN87&gt;0,1,0)))
        )/44 &gt; 0.1, "BULLISH",
    IF(SUM(
        IF(AN56="-",0,IF(AN56&lt;0,-2,IF(AN56&gt;0,2,0))),
        IF(AN57="-",0,IF(AN57&lt;0,-2,IF(AN57&gt;0,2,0))),
        IF(AN58="-",0,IF(AN58&lt;0,-2,IF(AN58&gt;0,2,0))),
        IF(AN59="-",0,IF(AN59&lt;0,-2,IF(AN59&gt;0,2,0))),
        IF(AN60="-",0,IF(AN60&lt;0,-2,IF(AN60&gt;0,2,0))),
        IF(AN61="-",0,IF(AN61&lt;0,-2,IF(AN61&gt;0,2,0))),
        IF(AN62="-",0,IF(AN62&lt;0,-2,IF(AN62&gt;0,2,0))),
        IF(AN63="-",0,IF(AN63&lt;0,-2,IF(AN63&gt;0,2,0))),
        IF(AN64="-",0,IF(AN64&lt;0,-2,IF(AN64&gt;0,2,0))),
        IF(AN65="-",0,IF(AN65&lt;0,-2,IF(AN65&gt;0,2,0))),
        IF(AN66="-",0,IF(AN66&lt;0,-2,IF(AN66&gt;0,2,0))),
        IF(AN67="-",0,IF(AN67&lt;0,-2,IF(AN67&gt;0,2,0))),
        IF(AN68="-",0,IF(AN68&lt;0,-1,IF(AN68&gt;0,1,0))),
        IF(AN69="-",0,IF(AN69&lt;0,-1,IF(AN69&gt;0,1,0))),
        IF(AN70="-",0,IF(AN70&lt;0,-1,IF(AN70&gt;0,1,0))),
        IF(AN71="-",0,IF(AN71&lt;0,-1,IF(AN71&gt;0,1,0))),
        IF(AN72="-",0,IF(AN72&lt;0,-1,IF(AN72&gt;0,1,0))),
        IF(AN73="-",0,IF(AN73&lt;0,-1,IF(AN73&gt;0,1,0))),
        IF(AN74="-",0,IF(AN74&lt;0,-1,IF(AN74&gt;0,1,0))),
        IF(AN75="-",0,IF(AN75&lt;0,-1,IF(AN75&gt;0,1,0))),
        IF(AN76="-",0,IF(AN76&lt;0,-1,IF(AN76&gt;0,1,0))),
        IF(AN77="-",0,IF(AN77&lt;0,-1,IF(AN77&gt;0,1,0))),
        IF(AN78="-",0,IF(AN78&lt;0,-1,IF(AN78&gt;0,1,0))),
        IF(AN79="-",0,IF(AN79&lt;0,-1,IF(AN79&gt;0,1,0))),
        IF(AN80="-",0,IF(AN80&lt;0,-1,IF(AN80&gt;0,1,0))),
        IF(AN81="-",0,IF(AN81&lt;0,-1,IF(AN81&gt;0,1,0))),
        IF(AN82="-",0,IF(AN82&lt;0,-1,IF(AN82&gt;0,1,0))),
        IF(AN83="-",0,IF(AN83&lt;0,-1,IF(AN83&gt;0,1,0))),
        IF(AN84="-",0,IF(AN84&lt;0,-1,IF(AN84&gt;0,1,0))),
        IF(AN85="-",0,IF(AN85&lt;0,-1,IF(AN85&gt;0,1,0))),
        IF(AN86="-",0,IF(AN86&lt;0,-1,IF(AN86&gt;0,1,0))),
        IF(AN87="-",0,IF(AN87&lt;0,-1,IF(AN87&gt;0,1,0)))
        )/44 &lt; -0.1, "BEARISH",
    IF(SUM(
        IF(AN56="-",0,IF(AN56&lt;0,-2,IF(AN56&gt;0,2,0))),
        IF(AN57="-",0,IF(AN57&lt;0,-2,IF(AN57&gt;0,2,0))),
        IF(AN58="-",0,IF(AN58&lt;0,-2,IF(AN58&gt;0,2,0))),
        IF(AN59="-",0,IF(AN59&lt;0,-2,IF(AN59&gt;0,2,0))),
        IF(AN60="-",0,IF(AN60&lt;0,-2,IF(AN60&gt;0,2,0))),
        IF(AN61="-",0,IF(AN61&lt;0,-2,IF(AN61&gt;0,2,0))),
        IF(AN62="-",0,IF(AN62&lt;0,-2,IF(AN62&gt;0,2,0))),
        IF(AN63="-",0,IF(AN63&lt;0,-2,IF(AN63&gt;0,2,0))),
        IF(AN64="-",0,IF(AN64&lt;0,-2,IF(AN64&gt;0,2,0))),
        IF(AN65="-",0,IF(AN65&lt;0,-2,IF(AN65&gt;0,2,0))),
        IF(AN66="-",0,IF(AN66&lt;0,-2,IF(AN66&gt;0,2,0))),
        IF(AN67="-",0,IF(AN67&lt;0,-2,IF(AN67&gt;0,2,0))),
        IF(AN68="-",0,IF(AN68&lt;0,-1,IF(AN68&gt;0,1,0))),
        IF(AN69="-",0,IF(AN69&lt;0,-1,IF(AN69&gt;0,1,0))),
        IF(AN70="-",0,IF(AN70&lt;0,-1,IF(AN70&gt;0,1,0))),
        IF(AN71="-",0,IF(AN71&lt;0,-1,IF(AN71&gt;0,1,0))),
        IF(AN72="-",0,IF(AN72&lt;0,-1,IF(AN72&gt;0,1,0))),
        IF(AN73="-",0,IF(AN73&lt;0,-1,IF(AN73&gt;0,1,0))),
        IF(AN74="-",0,IF(AN74&lt;0,-1,IF(AN74&gt;0,1,0))),
        IF(AN75="-",0,IF(AN75&lt;0,-1,IF(AN75&gt;0,1,0))),
        IF(AN76="-",0,IF(AN76&lt;0,-1,IF(AN76&gt;0,1,0))),
        IF(AN77="-",0,IF(AN77&lt;0,-1,IF(AN77&gt;0,1,0))),
        IF(AN78="-",0,IF(AN78&lt;0,-1,IF(AN78&gt;0,1,0))),
        IF(AN79="-",0,IF(AN79&lt;0,-1,IF(AN79&gt;0,1,0))),
        IF(AN80="-",0,IF(AN80&lt;0,-1,IF(AN80&gt;0,1,0))),
        IF(AN81="-",0,IF(AN81&lt;0,-1,IF(AN81&gt;0,1,0))),
        IF(AN82="-",0,IF(AN82&lt;0,-1,IF(AN82&gt;0,1,0))),
        IF(AN83="-",0,IF(AN83&lt;0,-1,IF(AN83&gt;0,1,0))),
        IF(AN84="-",0,IF(AN84&lt;0,-1,IF(AN84&gt;0,1,0))),
        IF(AN85="-",0,IF(AN85&lt;0,-1,IF(AN85&gt;0,1,0))),
        IF(AN86="-",0,IF(AN86&lt;0,-1,IF(AN86&gt;0,1,0))),
        IF(AN87="-",0,IF(AN87&lt;0,-1,IF(AN87&gt;0,1,0)))
        )/44 &lt;= 0.1, "NEUTRAL", ""))
    ))</f>
        <v>BEARISH</v>
      </c>
      <c r="AM55" s="332"/>
      <c r="AN55" s="332"/>
      <c r="AO55" s="332" t="str">
        <f>IF(AND(AQ56="-",AQ57="-",AQ58="-",AQ59="-",AQ60="-",AQ61="-",AQ62="-",AQ63="-",AQ64="-",AQ65="-",AQ66="-",AQ67="-",AQ68="-",AQ69="-",AQ70="-",AQ71="-",AQ72="-",AQ73="-",AQ74="-",AQ75="-",AQ76="-",AQ77="-",AQ78="-",AQ79="-",AQ80="-",AQ81="-",AQ82="-",AQ83="-",AQ84="-",AQ85="-",AQ86="-",AQ87="-"), "",
    IF(SUM(
        IF(AQ56="-",0,IF(AQ56&lt;0,-2,IF(AQ56&gt;0,2,0))),
        IF(AQ57="-",0,IF(AQ57&lt;0,-2,IF(AQ57&gt;0,2,0))),
        IF(AQ58="-",0,IF(AQ58&lt;0,-2,IF(AQ58&gt;0,2,0))),
        IF(AQ59="-",0,IF(AQ59&lt;0,-2,IF(AQ59&gt;0,2,0))),
        IF(AQ60="-",0,IF(AQ60&lt;0,-2,IF(AQ60&gt;0,2,0))),
        IF(AQ61="-",0,IF(AQ61&lt;0,-2,IF(AQ61&gt;0,2,0))),
        IF(AQ62="-",0,IF(AQ62&lt;0,-2,IF(AQ62&gt;0,2,0))),
        IF(AQ63="-",0,IF(AQ63&lt;0,-2,IF(AQ63&gt;0,2,0))),
        IF(AQ64="-",0,IF(AQ64&lt;0,-2,IF(AQ64&gt;0,2,0))),
        IF(AQ65="-",0,IF(AQ65&lt;0,-2,IF(AQ65&gt;0,2,0))),
        IF(AQ66="-",0,IF(AQ66&lt;0,-2,IF(AQ66&gt;0,2,0))),
        IF(AQ67="-",0,IF(AQ67&lt;0,-2,IF(AQ67&gt;0,2,0))),
        IF(AQ68="-",0,IF(AQ68&lt;0,-1,IF(AQ68&gt;0,1,0))),
        IF(AQ69="-",0,IF(AQ69&lt;0,-1,IF(AQ69&gt;0,1,0))),
        IF(AQ70="-",0,IF(AQ70&lt;0,-1,IF(AQ70&gt;0,1,0))),
        IF(AQ71="-",0,IF(AQ71&lt;0,-1,IF(AQ71&gt;0,1,0))),
        IF(AQ72="-",0,IF(AQ72&lt;0,-1,IF(AQ72&gt;0,1,0))),
        IF(AQ73="-",0,IF(AQ73&lt;0,-1,IF(AQ73&gt;0,1,0))),
        IF(AQ74="-",0,IF(AQ74&lt;0,-1,IF(AQ74&gt;0,1,0))),
        IF(AQ75="-",0,IF(AQ75&lt;0,-1,IF(AQ75&gt;0,1,0))),
        IF(AQ76="-",0,IF(AQ76&lt;0,-1,IF(AQ76&gt;0,1,0))),
        IF(AQ77="-",0,IF(AQ77&lt;0,-1,IF(AQ77&gt;0,1,0))),
        IF(AQ78="-",0,IF(AQ78&lt;0,-1,IF(AQ78&gt;0,1,0))),
        IF(AQ79="-",0,IF(AQ79&lt;0,-1,IF(AQ79&gt;0,1,0))),
        IF(AQ80="-",0,IF(AQ80&lt;0,-1,IF(AQ80&gt;0,1,0))),
        IF(AQ81="-",0,IF(AQ81&lt;0,-1,IF(AQ81&gt;0,1,0))),
        IF(AQ82="-",0,IF(AQ82&lt;0,-1,IF(AQ82&gt;0,1,0))),
        IF(AQ83="-",0,IF(AQ83&lt;0,-1,IF(AQ83&gt;0,1,0))),
        IF(AQ84="-",0,IF(AQ84&lt;0,-1,IF(AQ84&gt;0,1,0))),
        IF(AQ85="-",0,IF(AQ85&lt;0,-1,IF(AQ85&gt;0,1,0))),
        IF(AQ86="-",0,IF(AQ86&lt;0,-1,IF(AQ86&gt;0,1,0))),
        IF(AQ87="-",0,IF(AQ87&lt;0,-1,IF(AQ87&gt;0,1,0)))
        )/44 &gt; 0.1, "BULLISH",
    IF(SUM(
        IF(AQ56="-",0,IF(AQ56&lt;0,-2,IF(AQ56&gt;0,2,0))),
        IF(AQ57="-",0,IF(AQ57&lt;0,-2,IF(AQ57&gt;0,2,0))),
        IF(AQ58="-",0,IF(AQ58&lt;0,-2,IF(AQ58&gt;0,2,0))),
        IF(AQ59="-",0,IF(AQ59&lt;0,-2,IF(AQ59&gt;0,2,0))),
        IF(AQ60="-",0,IF(AQ60&lt;0,-2,IF(AQ60&gt;0,2,0))),
        IF(AQ61="-",0,IF(AQ61&lt;0,-2,IF(AQ61&gt;0,2,0))),
        IF(AQ62="-",0,IF(AQ62&lt;0,-2,IF(AQ62&gt;0,2,0))),
        IF(AQ63="-",0,IF(AQ63&lt;0,-2,IF(AQ63&gt;0,2,0))),
        IF(AQ64="-",0,IF(AQ64&lt;0,-2,IF(AQ64&gt;0,2,0))),
        IF(AQ65="-",0,IF(AQ65&lt;0,-2,IF(AQ65&gt;0,2,0))),
        IF(AQ66="-",0,IF(AQ66&lt;0,-2,IF(AQ66&gt;0,2,0))),
        IF(AQ67="-",0,IF(AQ67&lt;0,-2,IF(AQ67&gt;0,2,0))),
        IF(AQ68="-",0,IF(AQ68&lt;0,-1,IF(AQ68&gt;0,1,0))),
        IF(AQ69="-",0,IF(AQ69&lt;0,-1,IF(AQ69&gt;0,1,0))),
        IF(AQ70="-",0,IF(AQ70&lt;0,-1,IF(AQ70&gt;0,1,0))),
        IF(AQ71="-",0,IF(AQ71&lt;0,-1,IF(AQ71&gt;0,1,0))),
        IF(AQ72="-",0,IF(AQ72&lt;0,-1,IF(AQ72&gt;0,1,0))),
        IF(AQ73="-",0,IF(AQ73&lt;0,-1,IF(AQ73&gt;0,1,0))),
        IF(AQ74="-",0,IF(AQ74&lt;0,-1,IF(AQ74&gt;0,1,0))),
        IF(AQ75="-",0,IF(AQ75&lt;0,-1,IF(AQ75&gt;0,1,0))),
        IF(AQ76="-",0,IF(AQ76&lt;0,-1,IF(AQ76&gt;0,1,0))),
        IF(AQ77="-",0,IF(AQ77&lt;0,-1,IF(AQ77&gt;0,1,0))),
        IF(AQ78="-",0,IF(AQ78&lt;0,-1,IF(AQ78&gt;0,1,0))),
        IF(AQ79="-",0,IF(AQ79&lt;0,-1,IF(AQ79&gt;0,1,0))),
        IF(AQ80="-",0,IF(AQ80&lt;0,-1,IF(AQ80&gt;0,1,0))),
        IF(AQ81="-",0,IF(AQ81&lt;0,-1,IF(AQ81&gt;0,1,0))),
        IF(AQ82="-",0,IF(AQ82&lt;0,-1,IF(AQ82&gt;0,1,0))),
        IF(AQ83="-",0,IF(AQ83&lt;0,-1,IF(AQ83&gt;0,1,0))),
        IF(AQ84="-",0,IF(AQ84&lt;0,-1,IF(AQ84&gt;0,1,0))),
        IF(AQ85="-",0,IF(AQ85&lt;0,-1,IF(AQ85&gt;0,1,0))),
        IF(AQ86="-",0,IF(AQ86&lt;0,-1,IF(AQ86&gt;0,1,0))),
        IF(AQ87="-",0,IF(AQ87&lt;0,-1,IF(AQ87&gt;0,1,0)))
        )/44 &lt; -0.1, "BEARISH",
    IF(SUM(
        IF(AQ56="-",0,IF(AQ56&lt;0,-2,IF(AQ56&gt;0,2,0))),
        IF(AQ57="-",0,IF(AQ57&lt;0,-2,IF(AQ57&gt;0,2,0))),
        IF(AQ58="-",0,IF(AQ58&lt;0,-2,IF(AQ58&gt;0,2,0))),
        IF(AQ59="-",0,IF(AQ59&lt;0,-2,IF(AQ59&gt;0,2,0))),
        IF(AQ60="-",0,IF(AQ60&lt;0,-2,IF(AQ60&gt;0,2,0))),
        IF(AQ61="-",0,IF(AQ61&lt;0,-2,IF(AQ61&gt;0,2,0))),
        IF(AQ62="-",0,IF(AQ62&lt;0,-2,IF(AQ62&gt;0,2,0))),
        IF(AQ63="-",0,IF(AQ63&lt;0,-2,IF(AQ63&gt;0,2,0))),
        IF(AQ64="-",0,IF(AQ64&lt;0,-2,IF(AQ64&gt;0,2,0))),
        IF(AQ65="-",0,IF(AQ65&lt;0,-2,IF(AQ65&gt;0,2,0))),
        IF(AQ66="-",0,IF(AQ66&lt;0,-2,IF(AQ66&gt;0,2,0))),
        IF(AQ67="-",0,IF(AQ67&lt;0,-2,IF(AQ67&gt;0,2,0))),
        IF(AQ68="-",0,IF(AQ68&lt;0,-1,IF(AQ68&gt;0,1,0))),
        IF(AQ69="-",0,IF(AQ69&lt;0,-1,IF(AQ69&gt;0,1,0))),
        IF(AQ70="-",0,IF(AQ70&lt;0,-1,IF(AQ70&gt;0,1,0))),
        IF(AQ71="-",0,IF(AQ71&lt;0,-1,IF(AQ71&gt;0,1,0))),
        IF(AQ72="-",0,IF(AQ72&lt;0,-1,IF(AQ72&gt;0,1,0))),
        IF(AQ73="-",0,IF(AQ73&lt;0,-1,IF(AQ73&gt;0,1,0))),
        IF(AQ74="-",0,IF(AQ74&lt;0,-1,IF(AQ74&gt;0,1,0))),
        IF(AQ75="-",0,IF(AQ75&lt;0,-1,IF(AQ75&gt;0,1,0))),
        IF(AQ76="-",0,IF(AQ76&lt;0,-1,IF(AQ76&gt;0,1,0))),
        IF(AQ77="-",0,IF(AQ77&lt;0,-1,IF(AQ77&gt;0,1,0))),
        IF(AQ78="-",0,IF(AQ78&lt;0,-1,IF(AQ78&gt;0,1,0))),
        IF(AQ79="-",0,IF(AQ79&lt;0,-1,IF(AQ79&gt;0,1,0))),
        IF(AQ80="-",0,IF(AQ80&lt;0,-1,IF(AQ80&gt;0,1,0))),
        IF(AQ81="-",0,IF(AQ81&lt;0,-1,IF(AQ81&gt;0,1,0))),
        IF(AQ82="-",0,IF(AQ82&lt;0,-1,IF(AQ82&gt;0,1,0))),
        IF(AQ83="-",0,IF(AQ83&lt;0,-1,IF(AQ83&gt;0,1,0))),
        IF(AQ84="-",0,IF(AQ84&lt;0,-1,IF(AQ84&gt;0,1,0))),
        IF(AQ85="-",0,IF(AQ85&lt;0,-1,IF(AQ85&gt;0,1,0))),
        IF(AQ86="-",0,IF(AQ86&lt;0,-1,IF(AQ86&gt;0,1,0))),
        IF(AQ87="-",0,IF(AQ87&lt;0,-1,IF(AQ87&gt;0,1,0)))
        )/44 &lt;= 0.1, "NEUTRAL", ""))
    ))</f>
        <v>BEARISH</v>
      </c>
      <c r="AP55" s="332"/>
      <c r="AQ55" s="332"/>
      <c r="AR55" s="332" t="str">
        <f>IF(AND(AT56="-",AT57="-",AT58="-",AT59="-",AT60="-",AT61="-",AT62="-",AT63="-",AT64="-",AT65="-",AT66="-",AT67="-",AT68="-",AT69="-",AT70="-",AT71="-",AT72="-",AT73="-",AT74="-",AT75="-",AT76="-",AT77="-",AT78="-",AT79="-",AT80="-",AT81="-",AT82="-",AT83="-",AT84="-",AT85="-",AT86="-",AT87="-"), "",
    IF(SUM(
        IF(AT56="-",0,IF(AT56&lt;0,-2,IF(AT56&gt;0,2,0))),
        IF(AT57="-",0,IF(AT57&lt;0,-2,IF(AT57&gt;0,2,0))),
        IF(AT58="-",0,IF(AT58&lt;0,-2,IF(AT58&gt;0,2,0))),
        IF(AT59="-",0,IF(AT59&lt;0,-2,IF(AT59&gt;0,2,0))),
        IF(AT60="-",0,IF(AT60&lt;0,-2,IF(AT60&gt;0,2,0))),
        IF(AT61="-",0,IF(AT61&lt;0,-2,IF(AT61&gt;0,2,0))),
        IF(AT62="-",0,IF(AT62&lt;0,-2,IF(AT62&gt;0,2,0))),
        IF(AT63="-",0,IF(AT63&lt;0,-2,IF(AT63&gt;0,2,0))),
        IF(AT64="-",0,IF(AT64&lt;0,-2,IF(AT64&gt;0,2,0))),
        IF(AT65="-",0,IF(AT65&lt;0,-2,IF(AT65&gt;0,2,0))),
        IF(AT66="-",0,IF(AT66&lt;0,-2,IF(AT66&gt;0,2,0))),
        IF(AT67="-",0,IF(AT67&lt;0,-2,IF(AT67&gt;0,2,0))),
        IF(AT68="-",0,IF(AT68&lt;0,-1,IF(AT68&gt;0,1,0))),
        IF(AT69="-",0,IF(AT69&lt;0,-1,IF(AT69&gt;0,1,0))),
        IF(AT70="-",0,IF(AT70&lt;0,-1,IF(AT70&gt;0,1,0))),
        IF(AT71="-",0,IF(AT71&lt;0,-1,IF(AT71&gt;0,1,0))),
        IF(AT72="-",0,IF(AT72&lt;0,-1,IF(AT72&gt;0,1,0))),
        IF(AT73="-",0,IF(AT73&lt;0,-1,IF(AT73&gt;0,1,0))),
        IF(AT74="-",0,IF(AT74&lt;0,-1,IF(AT74&gt;0,1,0))),
        IF(AT75="-",0,IF(AT75&lt;0,-1,IF(AT75&gt;0,1,0))),
        IF(AT76="-",0,IF(AT76&lt;0,-1,IF(AT76&gt;0,1,0))),
        IF(AT77="-",0,IF(AT77&lt;0,-1,IF(AT77&gt;0,1,0))),
        IF(AT78="-",0,IF(AT78&lt;0,-1,IF(AT78&gt;0,1,0))),
        IF(AT79="-",0,IF(AT79&lt;0,-1,IF(AT79&gt;0,1,0))),
        IF(AT80="-",0,IF(AT80&lt;0,-1,IF(AT80&gt;0,1,0))),
        IF(AT81="-",0,IF(AT81&lt;0,-1,IF(AT81&gt;0,1,0))),
        IF(AT82="-",0,IF(AT82&lt;0,-1,IF(AT82&gt;0,1,0))),
        IF(AT83="-",0,IF(AT83&lt;0,-1,IF(AT83&gt;0,1,0))),
        IF(AT84="-",0,IF(AT84&lt;0,-1,IF(AT84&gt;0,1,0))),
        IF(AT85="-",0,IF(AT85&lt;0,-1,IF(AT85&gt;0,1,0))),
        IF(AT86="-",0,IF(AT86&lt;0,-1,IF(AT86&gt;0,1,0))),
        IF(AT87="-",0,IF(AT87&lt;0,-1,IF(AT87&gt;0,1,0)))
        )/44 &gt; 0.1, "BULLISH",
    IF(SUM(
        IF(AT56="-",0,IF(AT56&lt;0,-2,IF(AT56&gt;0,2,0))),
        IF(AT57="-",0,IF(AT57&lt;0,-2,IF(AT57&gt;0,2,0))),
        IF(AT58="-",0,IF(AT58&lt;0,-2,IF(AT58&gt;0,2,0))),
        IF(AT59="-",0,IF(AT59&lt;0,-2,IF(AT59&gt;0,2,0))),
        IF(AT60="-",0,IF(AT60&lt;0,-2,IF(AT60&gt;0,2,0))),
        IF(AT61="-",0,IF(AT61&lt;0,-2,IF(AT61&gt;0,2,0))),
        IF(AT62="-",0,IF(AT62&lt;0,-2,IF(AT62&gt;0,2,0))),
        IF(AT63="-",0,IF(AT63&lt;0,-2,IF(AT63&gt;0,2,0))),
        IF(AT64="-",0,IF(AT64&lt;0,-2,IF(AT64&gt;0,2,0))),
        IF(AT65="-",0,IF(AT65&lt;0,-2,IF(AT65&gt;0,2,0))),
        IF(AT66="-",0,IF(AT66&lt;0,-2,IF(AT66&gt;0,2,0))),
        IF(AT67="-",0,IF(AT67&lt;0,-2,IF(AT67&gt;0,2,0))),
        IF(AT68="-",0,IF(AT68&lt;0,-1,IF(AT68&gt;0,1,0))),
        IF(AT69="-",0,IF(AT69&lt;0,-1,IF(AT69&gt;0,1,0))),
        IF(AT70="-",0,IF(AT70&lt;0,-1,IF(AT70&gt;0,1,0))),
        IF(AT71="-",0,IF(AT71&lt;0,-1,IF(AT71&gt;0,1,0))),
        IF(AT72="-",0,IF(AT72&lt;0,-1,IF(AT72&gt;0,1,0))),
        IF(AT73="-",0,IF(AT73&lt;0,-1,IF(AT73&gt;0,1,0))),
        IF(AT74="-",0,IF(AT74&lt;0,-1,IF(AT74&gt;0,1,0))),
        IF(AT75="-",0,IF(AT75&lt;0,-1,IF(AT75&gt;0,1,0))),
        IF(AT76="-",0,IF(AT76&lt;0,-1,IF(AT76&gt;0,1,0))),
        IF(AT77="-",0,IF(AT77&lt;0,-1,IF(AT77&gt;0,1,0))),
        IF(AT78="-",0,IF(AT78&lt;0,-1,IF(AT78&gt;0,1,0))),
        IF(AT79="-",0,IF(AT79&lt;0,-1,IF(AT79&gt;0,1,0))),
        IF(AT80="-",0,IF(AT80&lt;0,-1,IF(AT80&gt;0,1,0))),
        IF(AT81="-",0,IF(AT81&lt;0,-1,IF(AT81&gt;0,1,0))),
        IF(AT82="-",0,IF(AT82&lt;0,-1,IF(AT82&gt;0,1,0))),
        IF(AT83="-",0,IF(AT83&lt;0,-1,IF(AT83&gt;0,1,0))),
        IF(AT84="-",0,IF(AT84&lt;0,-1,IF(AT84&gt;0,1,0))),
        IF(AT85="-",0,IF(AT85&lt;0,-1,IF(AT85&gt;0,1,0))),
        IF(AT86="-",0,IF(AT86&lt;0,-1,IF(AT86&gt;0,1,0))),
        IF(AT87="-",0,IF(AT87&lt;0,-1,IF(AT87&gt;0,1,0)))
        )/44 &lt; -0.1, "BEARISH",
    IF(SUM(
        IF(AT56="-",0,IF(AT56&lt;0,-2,IF(AT56&gt;0,2,0))),
        IF(AT57="-",0,IF(AT57&lt;0,-2,IF(AT57&gt;0,2,0))),
        IF(AT58="-",0,IF(AT58&lt;0,-2,IF(AT58&gt;0,2,0))),
        IF(AT59="-",0,IF(AT59&lt;0,-2,IF(AT59&gt;0,2,0))),
        IF(AT60="-",0,IF(AT60&lt;0,-2,IF(AT60&gt;0,2,0))),
        IF(AT61="-",0,IF(AT61&lt;0,-2,IF(AT61&gt;0,2,0))),
        IF(AT62="-",0,IF(AT62&lt;0,-2,IF(AT62&gt;0,2,0))),
        IF(AT63="-",0,IF(AT63&lt;0,-2,IF(AT63&gt;0,2,0))),
        IF(AT64="-",0,IF(AT64&lt;0,-2,IF(AT64&gt;0,2,0))),
        IF(AT65="-",0,IF(AT65&lt;0,-2,IF(AT65&gt;0,2,0))),
        IF(AT66="-",0,IF(AT66&lt;0,-2,IF(AT66&gt;0,2,0))),
        IF(AT67="-",0,IF(AT67&lt;0,-2,IF(AT67&gt;0,2,0))),
        IF(AT68="-",0,IF(AT68&lt;0,-1,IF(AT68&gt;0,1,0))),
        IF(AT69="-",0,IF(AT69&lt;0,-1,IF(AT69&gt;0,1,0))),
        IF(AT70="-",0,IF(AT70&lt;0,-1,IF(AT70&gt;0,1,0))),
        IF(AT71="-",0,IF(AT71&lt;0,-1,IF(AT71&gt;0,1,0))),
        IF(AT72="-",0,IF(AT72&lt;0,-1,IF(AT72&gt;0,1,0))),
        IF(AT73="-",0,IF(AT73&lt;0,-1,IF(AT73&gt;0,1,0))),
        IF(AT74="-",0,IF(AT74&lt;0,-1,IF(AT74&gt;0,1,0))),
        IF(AT75="-",0,IF(AT75&lt;0,-1,IF(AT75&gt;0,1,0))),
        IF(AT76="-",0,IF(AT76&lt;0,-1,IF(AT76&gt;0,1,0))),
        IF(AT77="-",0,IF(AT77&lt;0,-1,IF(AT77&gt;0,1,0))),
        IF(AT78="-",0,IF(AT78&lt;0,-1,IF(AT78&gt;0,1,0))),
        IF(AT79="-",0,IF(AT79&lt;0,-1,IF(AT79&gt;0,1,0))),
        IF(AT80="-",0,IF(AT80&lt;0,-1,IF(AT80&gt;0,1,0))),
        IF(AT81="-",0,IF(AT81&lt;0,-1,IF(AT81&gt;0,1,0))),
        IF(AT82="-",0,IF(AT82&lt;0,-1,IF(AT82&gt;0,1,0))),
        IF(AT83="-",0,IF(AT83&lt;0,-1,IF(AT83&gt;0,1,0))),
        IF(AT84="-",0,IF(AT84&lt;0,-1,IF(AT84&gt;0,1,0))),
        IF(AT85="-",0,IF(AT85&lt;0,-1,IF(AT85&gt;0,1,0))),
        IF(AT86="-",0,IF(AT86&lt;0,-1,IF(AT86&gt;0,1,0))),
        IF(AT87="-",0,IF(AT87&lt;0,-1,IF(AT87&gt;0,1,0)))
        )/44 &lt;= 0.1, "NEUTRAL", ""))
    ))</f>
        <v>BEARISH</v>
      </c>
      <c r="AS55" s="332"/>
      <c r="AT55" s="332"/>
      <c r="AU55" s="332" t="str">
        <f>IF(AND(AW56="-",AW57="-",AW58="-",AW59="-",AW60="-",AW61="-",AW62="-",AW63="-",AW64="-",AW65="-",AW66="-",AW67="-",AW68="-",AW69="-",AW70="-",AW71="-",AW72="-",AW73="-",AW74="-",AW75="-",AW76="-",AW77="-",AW78="-",AW79="-",AW80="-",AW81="-",AW82="-",AW83="-",AW84="-",AW85="-",AW86="-",AW87="-"), "",
    IF(SUM(
        IF(AW56="-",0,IF(AW56&lt;0,-2,IF(AW56&gt;0,2,0))),
        IF(AW57="-",0,IF(AW57&lt;0,-2,IF(AW57&gt;0,2,0))),
        IF(AW58="-",0,IF(AW58&lt;0,-2,IF(AW58&gt;0,2,0))),
        IF(AW59="-",0,IF(AW59&lt;0,-2,IF(AW59&gt;0,2,0))),
        IF(AW60="-",0,IF(AW60&lt;0,-2,IF(AW60&gt;0,2,0))),
        IF(AW61="-",0,IF(AW61&lt;0,-2,IF(AW61&gt;0,2,0))),
        IF(AW62="-",0,IF(AW62&lt;0,-2,IF(AW62&gt;0,2,0))),
        IF(AW63="-",0,IF(AW63&lt;0,-2,IF(AW63&gt;0,2,0))),
        IF(AW64="-",0,IF(AW64&lt;0,-2,IF(AW64&gt;0,2,0))),
        IF(AW65="-",0,IF(AW65&lt;0,-2,IF(AW65&gt;0,2,0))),
        IF(AW66="-",0,IF(AW66&lt;0,-2,IF(AW66&gt;0,2,0))),
        IF(AW67="-",0,IF(AW67&lt;0,-2,IF(AW67&gt;0,2,0))),
        IF(AW68="-",0,IF(AW68&lt;0,-1,IF(AW68&gt;0,1,0))),
        IF(AW69="-",0,IF(AW69&lt;0,-1,IF(AW69&gt;0,1,0))),
        IF(AW70="-",0,IF(AW70&lt;0,-1,IF(AW70&gt;0,1,0))),
        IF(AW71="-",0,IF(AW71&lt;0,-1,IF(AW71&gt;0,1,0))),
        IF(AW72="-",0,IF(AW72&lt;0,-1,IF(AW72&gt;0,1,0))),
        IF(AW73="-",0,IF(AW73&lt;0,-1,IF(AW73&gt;0,1,0))),
        IF(AW74="-",0,IF(AW74&lt;0,-1,IF(AW74&gt;0,1,0))),
        IF(AW75="-",0,IF(AW75&lt;0,-1,IF(AW75&gt;0,1,0))),
        IF(AW76="-",0,IF(AW76&lt;0,-1,IF(AW76&gt;0,1,0))),
        IF(AW77="-",0,IF(AW77&lt;0,-1,IF(AW77&gt;0,1,0))),
        IF(AW78="-",0,IF(AW78&lt;0,-1,IF(AW78&gt;0,1,0))),
        IF(AW79="-",0,IF(AW79&lt;0,-1,IF(AW79&gt;0,1,0))),
        IF(AW80="-",0,IF(AW80&lt;0,-1,IF(AW80&gt;0,1,0))),
        IF(AW81="-",0,IF(AW81&lt;0,-1,IF(AW81&gt;0,1,0))),
        IF(AW82="-",0,IF(AW82&lt;0,-1,IF(AW82&gt;0,1,0))),
        IF(AW83="-",0,IF(AW83&lt;0,-1,IF(AW83&gt;0,1,0))),
        IF(AW84="-",0,IF(AW84&lt;0,-1,IF(AW84&gt;0,1,0))),
        IF(AW85="-",0,IF(AW85&lt;0,-1,IF(AW85&gt;0,1,0))),
        IF(AW86="-",0,IF(AW86&lt;0,-1,IF(AW86&gt;0,1,0))),
        IF(AW87="-",0,IF(AW87&lt;0,-1,IF(AW87&gt;0,1,0)))
        )/44 &gt; 0.1, "BULLISH",
    IF(SUM(
        IF(AW56="-",0,IF(AW56&lt;0,-2,IF(AW56&gt;0,2,0))),
        IF(AW57="-",0,IF(AW57&lt;0,-2,IF(AW57&gt;0,2,0))),
        IF(AW58="-",0,IF(AW58&lt;0,-2,IF(AW58&gt;0,2,0))),
        IF(AW59="-",0,IF(AW59&lt;0,-2,IF(AW59&gt;0,2,0))),
        IF(AW60="-",0,IF(AW60&lt;0,-2,IF(AW60&gt;0,2,0))),
        IF(AW61="-",0,IF(AW61&lt;0,-2,IF(AW61&gt;0,2,0))),
        IF(AW62="-",0,IF(AW62&lt;0,-2,IF(AW62&gt;0,2,0))),
        IF(AW63="-",0,IF(AW63&lt;0,-2,IF(AW63&gt;0,2,0))),
        IF(AW64="-",0,IF(AW64&lt;0,-2,IF(AW64&gt;0,2,0))),
        IF(AW65="-",0,IF(AW65&lt;0,-2,IF(AW65&gt;0,2,0))),
        IF(AW66="-",0,IF(AW66&lt;0,-2,IF(AW66&gt;0,2,0))),
        IF(AW67="-",0,IF(AW67&lt;0,-2,IF(AW67&gt;0,2,0))),
        IF(AW68="-",0,IF(AW68&lt;0,-1,IF(AW68&gt;0,1,0))),
        IF(AW69="-",0,IF(AW69&lt;0,-1,IF(AW69&gt;0,1,0))),
        IF(AW70="-",0,IF(AW70&lt;0,-1,IF(AW70&gt;0,1,0))),
        IF(AW71="-",0,IF(AW71&lt;0,-1,IF(AW71&gt;0,1,0))),
        IF(AW72="-",0,IF(AW72&lt;0,-1,IF(AW72&gt;0,1,0))),
        IF(AW73="-",0,IF(AW73&lt;0,-1,IF(AW73&gt;0,1,0))),
        IF(AW74="-",0,IF(AW74&lt;0,-1,IF(AW74&gt;0,1,0))),
        IF(AW75="-",0,IF(AW75&lt;0,-1,IF(AW75&gt;0,1,0))),
        IF(AW76="-",0,IF(AW76&lt;0,-1,IF(AW76&gt;0,1,0))),
        IF(AW77="-",0,IF(AW77&lt;0,-1,IF(AW77&gt;0,1,0))),
        IF(AW78="-",0,IF(AW78&lt;0,-1,IF(AW78&gt;0,1,0))),
        IF(AW79="-",0,IF(AW79&lt;0,-1,IF(AW79&gt;0,1,0))),
        IF(AW80="-",0,IF(AW80&lt;0,-1,IF(AW80&gt;0,1,0))),
        IF(AW81="-",0,IF(AW81&lt;0,-1,IF(AW81&gt;0,1,0))),
        IF(AW82="-",0,IF(AW82&lt;0,-1,IF(AW82&gt;0,1,0))),
        IF(AW83="-",0,IF(AW83&lt;0,-1,IF(AW83&gt;0,1,0))),
        IF(AW84="-",0,IF(AW84&lt;0,-1,IF(AW84&gt;0,1,0))),
        IF(AW85="-",0,IF(AW85&lt;0,-1,IF(AW85&gt;0,1,0))),
        IF(AW86="-",0,IF(AW86&lt;0,-1,IF(AW86&gt;0,1,0))),
        IF(AW87="-",0,IF(AW87&lt;0,-1,IF(AW87&gt;0,1,0)))
        )/44 &lt; -0.1, "BEARISH",
    IF(SUM(
        IF(AW56="-",0,IF(AW56&lt;0,-2,IF(AW56&gt;0,2,0))),
        IF(AW57="-",0,IF(AW57&lt;0,-2,IF(AW57&gt;0,2,0))),
        IF(AW58="-",0,IF(AW58&lt;0,-2,IF(AW58&gt;0,2,0))),
        IF(AW59="-",0,IF(AW59&lt;0,-2,IF(AW59&gt;0,2,0))),
        IF(AW60="-",0,IF(AW60&lt;0,-2,IF(AW60&gt;0,2,0))),
        IF(AW61="-",0,IF(AW61&lt;0,-2,IF(AW61&gt;0,2,0))),
        IF(AW62="-",0,IF(AW62&lt;0,-2,IF(AW62&gt;0,2,0))),
        IF(AW63="-",0,IF(AW63&lt;0,-2,IF(AW63&gt;0,2,0))),
        IF(AW64="-",0,IF(AW64&lt;0,-2,IF(AW64&gt;0,2,0))),
        IF(AW65="-",0,IF(AW65&lt;0,-2,IF(AW65&gt;0,2,0))),
        IF(AW66="-",0,IF(AW66&lt;0,-2,IF(AW66&gt;0,2,0))),
        IF(AW67="-",0,IF(AW67&lt;0,-2,IF(AW67&gt;0,2,0))),
        IF(AW68="-",0,IF(AW68&lt;0,-1,IF(AW68&gt;0,1,0))),
        IF(AW69="-",0,IF(AW69&lt;0,-1,IF(AW69&gt;0,1,0))),
        IF(AW70="-",0,IF(AW70&lt;0,-1,IF(AW70&gt;0,1,0))),
        IF(AW71="-",0,IF(AW71&lt;0,-1,IF(AW71&gt;0,1,0))),
        IF(AW72="-",0,IF(AW72&lt;0,-1,IF(AW72&gt;0,1,0))),
        IF(AW73="-",0,IF(AW73&lt;0,-1,IF(AW73&gt;0,1,0))),
        IF(AW74="-",0,IF(AW74&lt;0,-1,IF(AW74&gt;0,1,0))),
        IF(AW75="-",0,IF(AW75&lt;0,-1,IF(AW75&gt;0,1,0))),
        IF(AW76="-",0,IF(AW76&lt;0,-1,IF(AW76&gt;0,1,0))),
        IF(AW77="-",0,IF(AW77&lt;0,-1,IF(AW77&gt;0,1,0))),
        IF(AW78="-",0,IF(AW78&lt;0,-1,IF(AW78&gt;0,1,0))),
        IF(AW79="-",0,IF(AW79&lt;0,-1,IF(AW79&gt;0,1,0))),
        IF(AW80="-",0,IF(AW80&lt;0,-1,IF(AW80&gt;0,1,0))),
        IF(AW81="-",0,IF(AW81&lt;0,-1,IF(AW81&gt;0,1,0))),
        IF(AW82="-",0,IF(AW82&lt;0,-1,IF(AW82&gt;0,1,0))),
        IF(AW83="-",0,IF(AW83&lt;0,-1,IF(AW83&gt;0,1,0))),
        IF(AW84="-",0,IF(AW84&lt;0,-1,IF(AW84&gt;0,1,0))),
        IF(AW85="-",0,IF(AW85&lt;0,-1,IF(AW85&gt;0,1,0))),
        IF(AW86="-",0,IF(AW86&lt;0,-1,IF(AW86&gt;0,1,0))),
        IF(AW87="-",0,IF(AW87&lt;0,-1,IF(AW87&gt;0,1,0)))
        )/44 &lt;= 0.1, "NEUTRAL", ""))
    ))</f>
        <v>BULLISH</v>
      </c>
      <c r="AV55" s="332"/>
      <c r="AW55" s="332"/>
    </row>
    <row r="56" spans="1:49" s="293" customFormat="1" x14ac:dyDescent="0.25">
      <c r="A56" s="289" t="s">
        <v>51</v>
      </c>
      <c r="B56" s="291"/>
      <c r="C56" s="291"/>
      <c r="D56" s="221" t="str">
        <f t="array" ref="D56">IFERROR(_xlfn.IFS(ISBLANK(B56),"-",FIND("%",B56,1),(B56-C56)/100),B56-C56)</f>
        <v>-</v>
      </c>
      <c r="E56" s="291">
        <v>52.2</v>
      </c>
      <c r="F56" s="291">
        <v>52</v>
      </c>
      <c r="G56" s="221">
        <f t="array" ref="G56">IFERROR(_xlfn.IFS(ISBLANK(E56),"-",FIND("%",E56,1),(E56-F56)/100),E56-F56)</f>
        <v>0.20000000000000284</v>
      </c>
      <c r="H56" s="290"/>
      <c r="I56" s="290"/>
      <c r="J56" s="221" t="str">
        <f t="array" ref="J56">IFERROR(_xlfn.IFS(ISBLANK(H56),"-",FIND("%",H56,1),(H56-I56)/100),H56-I56)</f>
        <v>-</v>
      </c>
      <c r="K56" s="291">
        <v>0.30000000000000426</v>
      </c>
      <c r="L56" s="291">
        <v>-2</v>
      </c>
      <c r="M56" s="221">
        <f t="array" ref="M56">IFERROR(_xlfn.IFS(ISBLANK(K56),"-",FIND("%",K56,1),(K56-L56)/100),K56-L56)</f>
        <v>2.3000000000000043</v>
      </c>
      <c r="N56" s="291">
        <v>49.6</v>
      </c>
      <c r="O56" s="291">
        <v>48.8</v>
      </c>
      <c r="P56" s="221">
        <f t="array" ref="P56">IFERROR(_xlfn.IFS(ISBLANK(N56),"-",FIND("%",N56,1),(N56-O56)/100),N56-O56)</f>
        <v>0.80000000000000426</v>
      </c>
      <c r="Q56" s="291">
        <v>49.9</v>
      </c>
      <c r="R56" s="291">
        <v>49.1</v>
      </c>
      <c r="S56" s="221">
        <f t="array" ref="S56">IFERROR(_xlfn.IFS(ISBLANK(Q56),"-",FIND("%",Q56,1),(Q56-R56)/100),Q56-R56)</f>
        <v>0.79999999999999716</v>
      </c>
      <c r="T56" s="291">
        <v>49.2</v>
      </c>
      <c r="U56" s="291">
        <v>48.3</v>
      </c>
      <c r="V56" s="221">
        <f t="array" ref="V56">IFERROR(_xlfn.IFS(ISBLANK(T56),"-",FIND("%",T56,1),(T56-U56)/100),T56-U56)</f>
        <v>0.90000000000000568</v>
      </c>
      <c r="W56" s="291">
        <v>48.8</v>
      </c>
      <c r="X56" s="291">
        <v>48.3</v>
      </c>
      <c r="Y56" s="221">
        <f t="array" ref="Y56">IFERROR(_xlfn.IFS(ISBLANK(W56),"-",FIND("%",W56,1),(W56-X56)/100),W56-X56)</f>
        <v>0.5</v>
      </c>
      <c r="Z56" s="291">
        <v>48.3</v>
      </c>
      <c r="AA56" s="291">
        <v>46.5</v>
      </c>
      <c r="AB56" s="221">
        <f t="array" ref="AB56">IFERROR(_xlfn.IFS(ISBLANK(Z56),"-",FIND("%",Z56,1),(Z56-AA56)/100),Z56-AA56)</f>
        <v>1.7999999999999972</v>
      </c>
      <c r="AC56" s="291">
        <v>46.1</v>
      </c>
      <c r="AD56" s="291">
        <v>45</v>
      </c>
      <c r="AE56" s="221">
        <f t="array" ref="AE56">IFERROR(_xlfn.IFS(ISBLANK(AC56),"-",FIND("%",AC56,1),(AC56-AD56)/100),AC56-AD56)</f>
        <v>1.1000000000000014</v>
      </c>
      <c r="AF56" s="291">
        <v>44.1</v>
      </c>
      <c r="AG56" s="291">
        <v>43</v>
      </c>
      <c r="AH56" s="221">
        <f t="array" ref="AH56">IFERROR(_xlfn.IFS(ISBLANK(AF56),"-",FIND("%",AF56,1),(AF56-AG56)/100),AF56-AG56)</f>
        <v>1.1000000000000014</v>
      </c>
      <c r="AI56" s="291">
        <v>42.5</v>
      </c>
      <c r="AJ56" s="291">
        <v>40.6</v>
      </c>
      <c r="AK56" s="221">
        <f t="array" ref="AK56">IFERROR(_xlfn.IFS(ISBLANK(AI56),"-",FIND("%",AI56,1),(AI56-AJ56)/100),AI56-AJ56)</f>
        <v>1.8999999999999986</v>
      </c>
      <c r="AL56" s="291">
        <v>40.299999999999997</v>
      </c>
      <c r="AM56" s="291">
        <v>42.4</v>
      </c>
      <c r="AN56" s="221">
        <f t="array" ref="AN56">IFERROR(_xlfn.IFS(ISBLANK(AL56),"-",FIND("%",AL56,1),(AL56-AM56)/100),AL56-AM56)</f>
        <v>-2.1000000000000014</v>
      </c>
      <c r="AO56" s="291">
        <v>42.1</v>
      </c>
      <c r="AP56" s="291">
        <v>43.2</v>
      </c>
      <c r="AQ56" s="221">
        <f t="array" ref="AQ56">IFERROR(_xlfn.IFS(ISBLANK(AO56),"-",FIND("%",AO56,1),(AO56-AP56)/100),AO56-AP56)</f>
        <v>-1.1000000000000014</v>
      </c>
      <c r="AR56" s="291">
        <v>43.4</v>
      </c>
      <c r="AS56" s="291">
        <v>45.4</v>
      </c>
      <c r="AT56" s="221">
        <f t="array" ref="AT56">IFERROR(_xlfn.IFS(ISBLANK(AR56),"-",FIND("%",AR56,1),(AR56-AS56)/100),AR56-AS56)</f>
        <v>-2</v>
      </c>
      <c r="AU56" s="291">
        <v>42.2</v>
      </c>
      <c r="AV56" s="291">
        <v>41.9</v>
      </c>
      <c r="AW56" s="221">
        <f t="array" ref="AW56">IFERROR(_xlfn.IFS(ISBLANK(AU56),"-",FIND("%",AU56,1),(AU56-AV56)/100),AU56-AV56)</f>
        <v>0.30000000000000426</v>
      </c>
    </row>
    <row r="57" spans="1:49" s="293" customFormat="1" x14ac:dyDescent="0.25">
      <c r="A57" s="289" t="s">
        <v>52</v>
      </c>
      <c r="B57" s="291"/>
      <c r="C57" s="291"/>
      <c r="D57" s="221" t="str">
        <f>IFERROR(_xlfn.IFS(ISBLANK(B57),"-",FIND("%",B57,1),(B57-C57)/100),B57-C57)</f>
        <v>-</v>
      </c>
      <c r="E57" s="291"/>
      <c r="F57" s="291"/>
      <c r="G57" s="221" t="str">
        <f>IFERROR(_xlfn.IFS(ISBLANK(E57),"-",FIND("%",E57,1),(E57-F57)/100),E57-F57)</f>
        <v>-</v>
      </c>
      <c r="H57" s="290">
        <v>49.1</v>
      </c>
      <c r="I57" s="290">
        <v>48.7</v>
      </c>
      <c r="J57" s="221">
        <f>IFERROR(_xlfn.IFS(ISBLANK(H57),"-",FIND("%",H57,1),(H57-I57)/100),H57-I57)</f>
        <v>0.39999999999999858</v>
      </c>
      <c r="K57" s="291">
        <v>0.29999999999999716</v>
      </c>
      <c r="L57" s="291">
        <v>0.10000000000000142</v>
      </c>
      <c r="M57" s="221">
        <f>IFERROR(_xlfn.IFS(ISBLANK(K57),"-",FIND("%",K57,1),(K57-L57)/100),K57-L57)</f>
        <v>0.19999999999999574</v>
      </c>
      <c r="N57" s="291">
        <v>49.5</v>
      </c>
      <c r="O57" s="291">
        <v>48.5</v>
      </c>
      <c r="P57" s="221">
        <f>IFERROR(_xlfn.IFS(ISBLANK(N57),"-",FIND("%",N57,1),(N57-O57)/100),N57-O57)</f>
        <v>1</v>
      </c>
      <c r="Q57" s="291">
        <v>49.1</v>
      </c>
      <c r="R57" s="291">
        <v>49.2</v>
      </c>
      <c r="S57" s="221">
        <f>IFERROR(_xlfn.IFS(ISBLANK(Q57),"-",FIND("%",Q57,1),(Q57-R57)/100),Q57-R57)</f>
        <v>-0.10000000000000142</v>
      </c>
      <c r="T57" s="291">
        <v>49</v>
      </c>
      <c r="U57" s="291">
        <v>49</v>
      </c>
      <c r="V57" s="221">
        <f>IFERROR(_xlfn.IFS(ISBLANK(T57),"-",FIND("%",T57,1),(T57-U57)/100),T57-U57)</f>
        <v>0</v>
      </c>
      <c r="W57" s="291">
        <v>48.3</v>
      </c>
      <c r="X57" s="291">
        <v>48</v>
      </c>
      <c r="Y57" s="221">
        <f>IFERROR(_xlfn.IFS(ISBLANK(W57),"-",FIND("%",W57,1),(W57-X57)/100),W57-X57)</f>
        <v>0.29999999999999716</v>
      </c>
      <c r="Z57" s="291">
        <v>48.3</v>
      </c>
      <c r="AA57" s="291">
        <v>48.3</v>
      </c>
      <c r="AB57" s="221">
        <f>IFERROR(_xlfn.IFS(ISBLANK(Z57),"-",FIND("%",Z57,1),(Z57-AA57)/100),Z57-AA57)</f>
        <v>0</v>
      </c>
      <c r="AC57" s="291">
        <v>46.5</v>
      </c>
      <c r="AD57" s="291">
        <v>44.1</v>
      </c>
      <c r="AE57" s="221">
        <f>IFERROR(_xlfn.IFS(ISBLANK(AC57),"-",FIND("%",AC57,1),(AC57-AD57)/100),AC57-AD57)</f>
        <v>2.3999999999999986</v>
      </c>
      <c r="AF57" s="291">
        <v>42.5</v>
      </c>
      <c r="AG57" s="291">
        <v>42.5</v>
      </c>
      <c r="AH57" s="221">
        <f>IFERROR(_xlfn.IFS(ISBLANK(AF57),"-",FIND("%",AF57,1),(AF57-AG57)/100),AF57-AG57)</f>
        <v>0</v>
      </c>
      <c r="AI57" s="291">
        <v>43</v>
      </c>
      <c r="AJ57" s="291">
        <v>42.6</v>
      </c>
      <c r="AK57" s="221">
        <f>IFERROR(_xlfn.IFS(ISBLANK(AI57),"-",FIND("%",AI57,1),(AI57-AJ57)/100),AI57-AJ57)</f>
        <v>0.39999999999999858</v>
      </c>
      <c r="AL57" s="291"/>
      <c r="AM57" s="291"/>
      <c r="AN57" s="221" t="str">
        <f>IFERROR(_xlfn.IFS(ISBLANK(AL57),"-",FIND("%",AL57,1),(AL57-AM57)/100),AL57-AM57)</f>
        <v>-</v>
      </c>
      <c r="AO57" s="291">
        <v>42.4</v>
      </c>
      <c r="AP57" s="291">
        <v>42.1</v>
      </c>
      <c r="AQ57" s="221">
        <f>IFERROR(_xlfn.IFS(ISBLANK(AO57),"-",FIND("%",AO57,1),(AO57-AP57)/100),AO57-AP57)</f>
        <v>0.29999999999999716</v>
      </c>
      <c r="AR57" s="291">
        <v>43.5</v>
      </c>
      <c r="AS57" s="291">
        <v>43.4</v>
      </c>
      <c r="AT57" s="221">
        <f t="array" ref="AT57">IFERROR(_xlfn.IFS(ISBLANK(AR57),"-",FIND("%",AR57,1),(AR57-AS57)/100),AR57-AS57)</f>
        <v>0.10000000000000142</v>
      </c>
      <c r="AU57" s="291">
        <v>42.5</v>
      </c>
      <c r="AV57" s="291">
        <v>42.2</v>
      </c>
      <c r="AW57" s="221">
        <f t="array" ref="AW57">IFERROR(_xlfn.IFS(ISBLANK(AU57),"-",FIND("%",AU57,1),(AU57-AV57)/100),AU57-AV57)</f>
        <v>0.29999999999999716</v>
      </c>
    </row>
    <row r="58" spans="1:49" s="293" customFormat="1" x14ac:dyDescent="0.25">
      <c r="A58" s="289" t="s">
        <v>53</v>
      </c>
      <c r="B58" s="291"/>
      <c r="C58" s="291"/>
      <c r="D58" s="221" t="str">
        <f t="array" ref="D58">IFERROR(_xlfn.IFS(ISBLANK(B58),"-",FIND("%",B58,1),(B58-C58)/100),B58-C58)</f>
        <v>-</v>
      </c>
      <c r="E58" s="291">
        <v>47.4</v>
      </c>
      <c r="F58" s="291">
        <v>50.2</v>
      </c>
      <c r="G58" s="221">
        <f t="array" ref="G58">IFERROR(_xlfn.IFS(ISBLANK(E58),"-",FIND("%",E58,1),(E58-F58)/100),E58-F58)</f>
        <v>-2.8000000000000043</v>
      </c>
      <c r="H58" s="290"/>
      <c r="I58" s="290"/>
      <c r="J58" s="221" t="str">
        <f t="array" ref="J58">IFERROR(_xlfn.IFS(ISBLANK(H58),"-",FIND("%",H58,1),(H58-I58)/100),H58-I58)</f>
        <v>-</v>
      </c>
      <c r="K58" s="291">
        <v>3.1999999999999957</v>
      </c>
      <c r="L58" s="291">
        <v>-0.70000000000000284</v>
      </c>
      <c r="M58" s="221">
        <f t="array" ref="M58">IFERROR(_xlfn.IFS(ISBLANK(K58),"-",FIND("%",K58,1),(K58-L58)/100),K58-L58)</f>
        <v>3.8999999999999986</v>
      </c>
      <c r="N58" s="291">
        <v>54.5</v>
      </c>
      <c r="O58" s="291">
        <v>49.3</v>
      </c>
      <c r="P58" s="221">
        <f t="array" ref="P58">IFERROR(_xlfn.IFS(ISBLANK(N58),"-",FIND("%",N58,1),(N58-O58)/100),N58-O58)</f>
        <v>5.2000000000000028</v>
      </c>
      <c r="Q58" s="291">
        <v>50.1</v>
      </c>
      <c r="R58" s="291">
        <v>50.6</v>
      </c>
      <c r="S58" s="221">
        <f t="array" ref="S58">IFERROR(_xlfn.IFS(ISBLANK(Q58),"-",FIND("%",Q58,1),(Q58-R58)/100),Q58-R58)</f>
        <v>-0.5</v>
      </c>
      <c r="T58" s="291">
        <v>50.1</v>
      </c>
      <c r="U58" s="291">
        <v>47.1</v>
      </c>
      <c r="V58" s="221">
        <f t="array" ref="V58">IFERROR(_xlfn.IFS(ISBLANK(T58),"-",FIND("%",T58,1),(T58-U58)/100),T58-U58)</f>
        <v>3</v>
      </c>
      <c r="W58" s="291">
        <v>47.2</v>
      </c>
      <c r="X58" s="291">
        <v>50.9</v>
      </c>
      <c r="Y58" s="221">
        <f t="array" ref="Y58">IFERROR(_xlfn.IFS(ISBLANK(W58),"-",FIND("%",W58,1),(W58-X58)/100),W58-X58)</f>
        <v>-3.6999999999999957</v>
      </c>
      <c r="Z58" s="291">
        <v>50.2</v>
      </c>
      <c r="AA58" s="291">
        <v>51.1</v>
      </c>
      <c r="AB58" s="221">
        <f t="array" ref="AB58">IFERROR(_xlfn.IFS(ISBLANK(Z58),"-",FIND("%",Z58,1),(Z58-AA58)/100),Z58-AA58)</f>
        <v>-0.89999999999999858</v>
      </c>
      <c r="AC58" s="291">
        <v>52.2</v>
      </c>
      <c r="AD58" s="291">
        <v>52.5</v>
      </c>
      <c r="AE58" s="221">
        <f t="array" ref="AE58">IFERROR(_xlfn.IFS(ISBLANK(AC58),"-",FIND("%",AC58,1),(AC58-AD58)/100),AC58-AD58)</f>
        <v>-0.29999999999999716</v>
      </c>
      <c r="AF58" s="291">
        <v>52.5</v>
      </c>
      <c r="AG58" s="291">
        <v>49.3</v>
      </c>
      <c r="AH58" s="221">
        <f t="array" ref="AH58">IFERROR(_xlfn.IFS(ISBLANK(AF58),"-",FIND("%",AF58,1),(AF58-AG58)/100),AF58-AG58)</f>
        <v>3.2000000000000028</v>
      </c>
      <c r="AI58" s="291">
        <v>51</v>
      </c>
      <c r="AJ58" s="291">
        <v>50.6</v>
      </c>
      <c r="AK58" s="221">
        <f t="array" ref="AK58">IFERROR(_xlfn.IFS(ISBLANK(AI58),"-",FIND("%",AI58,1),(AI58-AJ58)/100),AI58-AJ58)</f>
        <v>0.39999999999999858</v>
      </c>
      <c r="AL58" s="291">
        <v>50.6</v>
      </c>
      <c r="AM58" s="291">
        <v>51.2</v>
      </c>
      <c r="AN58" s="221">
        <f t="array" ref="AN58">IFERROR(_xlfn.IFS(ISBLANK(AL58),"-",FIND("%",AL58,1),(AL58-AM58)/100),AL58-AM58)</f>
        <v>-0.60000000000000142</v>
      </c>
      <c r="AO58" s="291">
        <v>51.4</v>
      </c>
      <c r="AP58" s="291">
        <v>52.5</v>
      </c>
      <c r="AQ58" s="221">
        <f t="array" ref="AQ58">IFERROR(_xlfn.IFS(ISBLANK(AO58),"-",FIND("%",AO58,1),(AO58-AP58)/100),AO58-AP58)</f>
        <v>-1.1000000000000014</v>
      </c>
      <c r="AR58" s="291">
        <v>53.5</v>
      </c>
      <c r="AS58" s="291">
        <v>54.2</v>
      </c>
      <c r="AT58" s="221">
        <f t="array" ref="AT58">IFERROR(_xlfn.IFS(ISBLANK(AR58),"-",FIND("%",AR58,1),(AR58-AS58)/100),AR58-AS58)</f>
        <v>-0.70000000000000284</v>
      </c>
      <c r="AU58" s="291">
        <v>53.3</v>
      </c>
      <c r="AV58" s="291">
        <v>50.1</v>
      </c>
      <c r="AW58" s="221">
        <f t="array" ref="AW58">IFERROR(_xlfn.IFS(ISBLANK(AU58),"-",FIND("%",AU58,1),(AU58-AV58)/100),AU58-AV58)</f>
        <v>3.1999999999999957</v>
      </c>
    </row>
    <row r="59" spans="1:49" s="293" customFormat="1" x14ac:dyDescent="0.25">
      <c r="A59" s="289" t="s">
        <v>54</v>
      </c>
      <c r="B59" s="291"/>
      <c r="C59" s="291"/>
      <c r="D59" s="221" t="str">
        <f t="array" ref="D59">IFERROR(_xlfn.IFS(ISBLANK(B59),"-",FIND("%",B59,1),(B59-C59)/100),B59-C59)</f>
        <v>-</v>
      </c>
      <c r="E59" s="291"/>
      <c r="F59" s="291"/>
      <c r="G59" s="221" t="str">
        <f t="array" ref="G59">IFERROR(_xlfn.IFS(ISBLANK(E59),"-",FIND("%",E59,1),(E59-F59)/100),E59-F59)</f>
        <v>-</v>
      </c>
      <c r="H59" s="290">
        <v>51.4</v>
      </c>
      <c r="I59" s="290">
        <v>53.3</v>
      </c>
      <c r="J59" s="221">
        <f t="array" ref="J59">IFERROR(_xlfn.IFS(ISBLANK(H59),"-",FIND("%",H59,1),(H59-I59)/100),H59-I59)</f>
        <v>-1.8999999999999986</v>
      </c>
      <c r="K59" s="291">
        <v>0.30000000000000426</v>
      </c>
      <c r="L59" s="291">
        <v>-0.39999999999999858</v>
      </c>
      <c r="M59" s="221">
        <f t="array" ref="M59">IFERROR(_xlfn.IFS(ISBLANK(K59),"-",FIND("%",K59,1),(K59-L59)/100),K59-L59)</f>
        <v>0.70000000000000284</v>
      </c>
      <c r="N59" s="291">
        <v>51.5</v>
      </c>
      <c r="O59" s="291">
        <v>52.5</v>
      </c>
      <c r="P59" s="221">
        <f t="array" ref="P59">IFERROR(_xlfn.IFS(ISBLANK(N59),"-",FIND("%",N59,1),(N59-O59)/100),N59-O59)</f>
        <v>-1</v>
      </c>
      <c r="Q59" s="291">
        <v>49.3</v>
      </c>
      <c r="R59" s="291">
        <v>50.1</v>
      </c>
      <c r="S59" s="221">
        <f t="array" ref="S59">IFERROR(_xlfn.IFS(ISBLANK(Q59),"-",FIND("%",Q59,1),(Q59-R59)/100),Q59-R59)</f>
        <v>-0.80000000000000426</v>
      </c>
      <c r="T59" s="291">
        <v>49.7</v>
      </c>
      <c r="U59" s="291">
        <v>49.4</v>
      </c>
      <c r="V59" s="221">
        <f t="array" ref="V59">IFERROR(_xlfn.IFS(ISBLANK(T59),"-",FIND("%",T59,1),(T59-U59)/100),T59-U59)</f>
        <v>0.30000000000000426</v>
      </c>
      <c r="W59" s="291">
        <v>47.1</v>
      </c>
      <c r="X59" s="291">
        <v>48.8</v>
      </c>
      <c r="Y59" s="221">
        <f t="array" ref="Y59">IFERROR(_xlfn.IFS(ISBLANK(W59),"-",FIND("%",W59,1),(W59-X59)/100),W59-X59)</f>
        <v>-1.6999999999999957</v>
      </c>
      <c r="Z59" s="291">
        <v>51</v>
      </c>
      <c r="AA59" s="291">
        <v>50.4</v>
      </c>
      <c r="AB59" s="221">
        <f t="array" ref="AB59">IFERROR(_xlfn.IFS(ISBLANK(Z59),"-",FIND("%",Z59,1),(Z59-AA59)/100),Z59-AA59)</f>
        <v>0.60000000000000142</v>
      </c>
      <c r="AC59" s="291">
        <v>51.1</v>
      </c>
      <c r="AD59" s="291">
        <v>52.5</v>
      </c>
      <c r="AE59" s="221">
        <f t="array" ref="AE59">IFERROR(_xlfn.IFS(ISBLANK(AC59),"-",FIND("%",AC59,1),(AC59-AD59)/100),AC59-AD59)</f>
        <v>-1.3999999999999986</v>
      </c>
      <c r="AF59" s="291">
        <v>51.3</v>
      </c>
      <c r="AG59" s="291">
        <v>51</v>
      </c>
      <c r="AH59" s="221">
        <f t="array" ref="AH59">IFERROR(_xlfn.IFS(ISBLANK(AF59),"-",FIND("%",AF59,1),(AF59-AG59)/100),AF59-AG59)</f>
        <v>0.29999999999999716</v>
      </c>
      <c r="AI59" s="291"/>
      <c r="AJ59" s="291"/>
      <c r="AK59" s="221" t="str">
        <f t="array" ref="AK59">IFERROR(_xlfn.IFS(ISBLANK(AI59),"-",FIND("%",AI59,1),(AI59-AJ59)/100),AI59-AJ59)</f>
        <v>-</v>
      </c>
      <c r="AL59" s="291"/>
      <c r="AM59" s="291"/>
      <c r="AN59" s="221" t="str">
        <f t="array" ref="AN59">IFERROR(_xlfn.IFS(ISBLANK(AL59),"-",FIND("%",AL59,1),(AL59-AM59)/100),AL59-AM59)</f>
        <v>-</v>
      </c>
      <c r="AO59" s="291">
        <v>52.9</v>
      </c>
      <c r="AP59" s="291">
        <v>53.3</v>
      </c>
      <c r="AQ59" s="221">
        <f t="array" ref="AQ59">IFERROR(_xlfn.IFS(ISBLANK(AO59),"-",FIND("%",AO59,1),(AO59-AP59)/100),AO59-AP59)</f>
        <v>-0.39999999999999858</v>
      </c>
      <c r="AR59" s="291">
        <v>53.1</v>
      </c>
      <c r="AS59" s="291">
        <v>53.5</v>
      </c>
      <c r="AT59" s="221">
        <f t="array" ref="AT59">IFERROR(_xlfn.IFS(ISBLANK(AR59),"-",FIND("%",AR59,1),(AR59-AS59)/100),AR59-AS59)</f>
        <v>-0.39999999999999858</v>
      </c>
      <c r="AU59" s="291">
        <v>53.2</v>
      </c>
      <c r="AV59" s="291">
        <v>52.9</v>
      </c>
      <c r="AW59" s="221">
        <f t="array" ref="AW59">IFERROR(_xlfn.IFS(ISBLANK(AU59),"-",FIND("%",AU59,1),(AU59-AV59)/100),AU59-AV59)</f>
        <v>0.30000000000000426</v>
      </c>
    </row>
    <row r="60" spans="1:49" s="293" customFormat="1" x14ac:dyDescent="0.25">
      <c r="A60" s="289" t="s">
        <v>55</v>
      </c>
      <c r="B60" s="291"/>
      <c r="C60" s="291"/>
      <c r="D60" s="221" t="str">
        <f>IFERROR(_xlfn.IFS(ISBLANK(B60),"-",FIND("%",B60,1),(B60-C60)/100),B60-C60)</f>
        <v>-</v>
      </c>
      <c r="E60" s="291">
        <v>52.2</v>
      </c>
      <c r="F60" s="291">
        <v>51.6</v>
      </c>
      <c r="G60" s="221">
        <f>IFERROR(_xlfn.IFS(ISBLANK(E60),"-",FIND("%",E60,1),(E60-F60)/100),E60-F60)</f>
        <v>0.60000000000000142</v>
      </c>
      <c r="H60" s="290"/>
      <c r="I60" s="290"/>
      <c r="J60" s="221" t="str">
        <f>IFERROR(_xlfn.IFS(ISBLANK(H60),"-",FIND("%",H60,1),(H60-I60)/100),H60-I60)</f>
        <v>-</v>
      </c>
      <c r="K60" s="291">
        <v>-0.5</v>
      </c>
      <c r="L60" s="291">
        <v>-1.6999999999999957</v>
      </c>
      <c r="M60" s="221">
        <f>IFERROR(_xlfn.IFS(ISBLANK(K60),"-",FIND("%",K60,1),(K60-L60)/100),K60-L60)</f>
        <v>1.1999999999999957</v>
      </c>
      <c r="N60" s="291">
        <v>50</v>
      </c>
      <c r="O60" s="291">
        <v>50.7</v>
      </c>
      <c r="P60" s="221">
        <f>IFERROR(_xlfn.IFS(ISBLANK(N60),"-",FIND("%",N60,1),(N60-O60)/100),N60-O60)</f>
        <v>-0.70000000000000284</v>
      </c>
      <c r="Q60" s="291">
        <v>50.5</v>
      </c>
      <c r="R60" s="291">
        <v>49.8</v>
      </c>
      <c r="S60" s="221">
        <f>IFERROR(_xlfn.IFS(ISBLANK(Q60),"-",FIND("%",Q60,1),(Q60-R60)/100),Q60-R60)</f>
        <v>0.70000000000000284</v>
      </c>
      <c r="T60" s="291">
        <v>49.8</v>
      </c>
      <c r="U60" s="291">
        <v>49.4</v>
      </c>
      <c r="V60" s="221">
        <f>IFERROR(_xlfn.IFS(ISBLANK(T60),"-",FIND("%",T60,1),(T60-U60)/100),T60-U60)</f>
        <v>0.39999999999999858</v>
      </c>
      <c r="W60" s="291">
        <v>49.4</v>
      </c>
      <c r="X60" s="291">
        <v>48.6</v>
      </c>
      <c r="Y60" s="221">
        <f>IFERROR(_xlfn.IFS(ISBLANK(W60),"-",FIND("%",W60,1),(W60-X60)/100),W60-X60)</f>
        <v>0.79999999999999716</v>
      </c>
      <c r="Z60" s="291">
        <v>48.7</v>
      </c>
      <c r="AA60" s="291">
        <v>47.6</v>
      </c>
      <c r="AB60" s="221">
        <f>IFERROR(_xlfn.IFS(ISBLANK(Z60),"-",FIND("%",Z60,1),(Z60-AA60)/100),Z60-AA60)</f>
        <v>1.1000000000000014</v>
      </c>
      <c r="AC60" s="291">
        <v>47.3</v>
      </c>
      <c r="AD60" s="291">
        <v>46.6</v>
      </c>
      <c r="AE60" s="221">
        <f>IFERROR(_xlfn.IFS(ISBLANK(AC60),"-",FIND("%",AC60,1),(AC60-AD60)/100),AC60-AD60)</f>
        <v>0.69999999999999574</v>
      </c>
      <c r="AF60" s="291">
        <v>46.1</v>
      </c>
      <c r="AG60" s="291">
        <v>45.2</v>
      </c>
      <c r="AH60" s="221">
        <f>IFERROR(_xlfn.IFS(ISBLANK(AF60),"-",FIND("%",AF60,1),(AF60-AG60)/100),AF60-AG60)</f>
        <v>0.89999999999999858</v>
      </c>
      <c r="AI60" s="291">
        <v>45.2</v>
      </c>
      <c r="AJ60" s="291">
        <v>45</v>
      </c>
      <c r="AK60" s="221">
        <f>IFERROR(_xlfn.IFS(ISBLANK(AI60),"-",FIND("%",AI60,1),(AI60-AJ60)/100),AI60-AJ60)</f>
        <v>0.20000000000000284</v>
      </c>
      <c r="AL60" s="291">
        <v>44.8</v>
      </c>
      <c r="AM60" s="291">
        <v>45.8</v>
      </c>
      <c r="AN60" s="221">
        <f>IFERROR(_xlfn.IFS(ISBLANK(AL60),"-",FIND("%",AL60,1),(AL60-AM60)/100),AL60-AM60)</f>
        <v>-1</v>
      </c>
      <c r="AO60" s="291">
        <v>45.6</v>
      </c>
      <c r="AP60" s="291">
        <v>45.8</v>
      </c>
      <c r="AQ60" s="221">
        <f t="array" ref="AQ60">IFERROR(_xlfn.IFS(ISBLANK(AO60),"-",FIND("%",AO60,1),(AO60-AP60)/100),AO60-AP60)</f>
        <v>-0.19999999999999574</v>
      </c>
      <c r="AR60" s="291">
        <v>45.6</v>
      </c>
      <c r="AS60" s="291">
        <v>47.3</v>
      </c>
      <c r="AT60" s="221">
        <f t="array" ref="AT60">IFERROR(_xlfn.IFS(ISBLANK(AR60),"-",FIND("%",AR60,1),(AR60-AS60)/100),AR60-AS60)</f>
        <v>-1.6999999999999957</v>
      </c>
      <c r="AU60" s="291">
        <v>45.6</v>
      </c>
      <c r="AV60" s="291">
        <v>46.1</v>
      </c>
      <c r="AW60" s="221">
        <f t="array" ref="AW60">IFERROR(_xlfn.IFS(ISBLANK(AU60),"-",FIND("%",AU60,1),(AU60-AV60)/100),AU60-AV60)</f>
        <v>-0.5</v>
      </c>
    </row>
    <row r="61" spans="1:49" s="293" customFormat="1" x14ac:dyDescent="0.25">
      <c r="A61" s="289" t="s">
        <v>56</v>
      </c>
      <c r="B61" s="291"/>
      <c r="C61" s="291"/>
      <c r="D61" s="221" t="str">
        <f t="array" ref="D61">IFERROR(_xlfn.IFS(ISBLANK(B61),"-",FIND("%",B61,1),(B61-C61)/100),B61-C61)</f>
        <v>-</v>
      </c>
      <c r="E61" s="291"/>
      <c r="F61" s="291"/>
      <c r="G61" s="221" t="str">
        <f t="array" ref="G61">IFERROR(_xlfn.IFS(ISBLANK(E61),"-",FIND("%",E61,1),(E61-F61)/100),E61-F61)</f>
        <v>-</v>
      </c>
      <c r="H61" s="290">
        <v>49.5</v>
      </c>
      <c r="I61" s="290">
        <v>49.4</v>
      </c>
      <c r="J61" s="221">
        <f t="array" ref="J61">IFERROR(_xlfn.IFS(ISBLANK(H61),"-",FIND("%",H61,1),(H61-I61)/100),H61-I61)</f>
        <v>0.10000000000000142</v>
      </c>
      <c r="K61" s="291">
        <v>0.10000000000000142</v>
      </c>
      <c r="L61" s="291">
        <v>0.19999999999999574</v>
      </c>
      <c r="M61" s="221">
        <f t="array" ref="M61">IFERROR(_xlfn.IFS(ISBLANK(K61),"-",FIND("%",K61,1),(K61-L61)/100),K61-L61)</f>
        <v>-9.9999999999994316E-2</v>
      </c>
      <c r="N61" s="291">
        <v>49.8</v>
      </c>
      <c r="O61" s="291">
        <v>49.5</v>
      </c>
      <c r="P61" s="221">
        <f t="array" ref="P61">IFERROR(_xlfn.IFS(ISBLANK(N61),"-",FIND("%",N61,1),(N61-O61)/100),N61-O61)</f>
        <v>0.29999999999999716</v>
      </c>
      <c r="Q61" s="291">
        <v>49.8</v>
      </c>
      <c r="R61" s="291">
        <v>49.8</v>
      </c>
      <c r="S61" s="221">
        <f t="array" ref="S61">IFERROR(_xlfn.IFS(ISBLANK(Q61),"-",FIND("%",Q61,1),(Q61-R61)/100),Q61-R61)</f>
        <v>0</v>
      </c>
      <c r="T61" s="291">
        <v>49.5</v>
      </c>
      <c r="U61" s="291">
        <v>49.4</v>
      </c>
      <c r="V61" s="221">
        <f t="array" ref="V61">IFERROR(_xlfn.IFS(ISBLANK(T61),"-",FIND("%",T61,1),(T61-U61)/100),T61-U61)</f>
        <v>0.10000000000000142</v>
      </c>
      <c r="W61" s="291">
        <v>49.4</v>
      </c>
      <c r="X61" s="291">
        <v>48.7</v>
      </c>
      <c r="Y61" s="221">
        <f t="array" ref="Y61">IFERROR(_xlfn.IFS(ISBLANK(W61),"-",FIND("%",W61,1),(W61-X61)/100),W61-X61)</f>
        <v>0.69999999999999574</v>
      </c>
      <c r="Z61" s="291">
        <v>48.6</v>
      </c>
      <c r="AA61" s="291">
        <v>48.7</v>
      </c>
      <c r="AB61" s="221">
        <f t="array" ref="AB61">IFERROR(_xlfn.IFS(ISBLANK(Z61),"-",FIND("%",Z61,1),(Z61-AA61)/100),Z61-AA61)</f>
        <v>-0.10000000000000142</v>
      </c>
      <c r="AC61" s="291">
        <v>47.6</v>
      </c>
      <c r="AD61" s="291">
        <v>46.1</v>
      </c>
      <c r="AE61" s="221">
        <f t="array" ref="AE61">IFERROR(_xlfn.IFS(ISBLANK(AC61),"-",FIND("%",AC61,1),(AC61-AD61)/100),AC61-AD61)</f>
        <v>1.5</v>
      </c>
      <c r="AF61" s="291">
        <v>45.1</v>
      </c>
      <c r="AG61" s="291">
        <v>45.2</v>
      </c>
      <c r="AH61" s="221">
        <f t="array" ref="AH61">IFERROR(_xlfn.IFS(ISBLANK(AF61),"-",FIND("%",AF61,1),(AF61-AG61)/100),AF61-AG61)</f>
        <v>-0.10000000000000142</v>
      </c>
      <c r="AI61" s="291">
        <v>45.2</v>
      </c>
      <c r="AJ61" s="291">
        <v>45.9</v>
      </c>
      <c r="AK61" s="221">
        <f t="array" ref="AK61">IFERROR(_xlfn.IFS(ISBLANK(AI61),"-",FIND("%",AI61,1),(AI61-AJ61)/100),AI61-AJ61)</f>
        <v>-0.69999999999999574</v>
      </c>
      <c r="AL61" s="291"/>
      <c r="AM61" s="291"/>
      <c r="AN61" s="221" t="str">
        <f t="array" ref="AN61">IFERROR(_xlfn.IFS(ISBLANK(AL61),"-",FIND("%",AL61,1),(AL61-AM61)/100),AL61-AM61)</f>
        <v>-</v>
      </c>
      <c r="AO61" s="291">
        <v>45.8</v>
      </c>
      <c r="AP61" s="291">
        <v>45.6</v>
      </c>
      <c r="AQ61" s="221">
        <f t="array" ref="AQ61">IFERROR(_xlfn.IFS(ISBLANK(AO61),"-",FIND("%",AO61,1),(AO61-AP61)/100),AO61-AP61)</f>
        <v>0.19999999999999574</v>
      </c>
      <c r="AR61" s="291">
        <v>45.8</v>
      </c>
      <c r="AS61" s="291">
        <v>45.6</v>
      </c>
      <c r="AT61" s="221">
        <f t="array" ref="AT61">IFERROR(_xlfn.IFS(ISBLANK(AR61),"-",FIND("%",AR61,1),(AR61-AS61)/100),AR61-AS61)</f>
        <v>0.19999999999999574</v>
      </c>
      <c r="AU61" s="291">
        <v>45.7</v>
      </c>
      <c r="AV61" s="291">
        <v>45.6</v>
      </c>
      <c r="AW61" s="221">
        <f t="array" ref="AW61">IFERROR(_xlfn.IFS(ISBLANK(AU61),"-",FIND("%",AU61,1),(AU61-AV61)/100),AU61-AV61)</f>
        <v>0.10000000000000142</v>
      </c>
    </row>
    <row r="62" spans="1:49" s="293" customFormat="1" x14ac:dyDescent="0.25">
      <c r="A62" s="289" t="s">
        <v>57</v>
      </c>
      <c r="B62" s="291"/>
      <c r="C62" s="291"/>
      <c r="D62" s="221" t="str">
        <f t="array" ref="D62">IFERROR(_xlfn.IFS(ISBLANK(B62),"-",FIND("%",B62,1),(B62-C62)/100),B62-C62)</f>
        <v>-</v>
      </c>
      <c r="E62" s="291">
        <v>47.4</v>
      </c>
      <c r="F62" s="291">
        <v>50.2</v>
      </c>
      <c r="G62" s="221">
        <f t="array" ref="G62">IFERROR(_xlfn.IFS(ISBLANK(E62),"-",FIND("%",E62,1),(E62-F62)/100),E62-F62)</f>
        <v>-2.8000000000000043</v>
      </c>
      <c r="H62" s="290"/>
      <c r="I62" s="290"/>
      <c r="J62" s="221" t="str">
        <f t="array" ref="J62">IFERROR(_xlfn.IFS(ISBLANK(H62),"-",FIND("%",H62,1),(H62-I62)/100),H62-I62)</f>
        <v>-</v>
      </c>
      <c r="K62" s="291">
        <v>1.3999999999999986</v>
      </c>
      <c r="L62" s="291">
        <v>-0.60000000000000142</v>
      </c>
      <c r="M62" s="221">
        <f t="array" ref="M62">IFERROR(_xlfn.IFS(ISBLANK(K62),"-",FIND("%",K62,1),(K62-L62)/100),K62-L62)</f>
        <v>2</v>
      </c>
      <c r="N62" s="291">
        <v>52.6</v>
      </c>
      <c r="O62" s="291">
        <v>50.5</v>
      </c>
      <c r="P62" s="221">
        <f t="array" ref="P62">IFERROR(_xlfn.IFS(ISBLANK(N62),"-",FIND("%",N62,1),(N62-O62)/100),N62-O62)</f>
        <v>2.1000000000000014</v>
      </c>
      <c r="Q62" s="291">
        <v>50.7</v>
      </c>
      <c r="R62" s="291">
        <v>51</v>
      </c>
      <c r="S62" s="221">
        <f t="array" ref="S62">IFERROR(_xlfn.IFS(ISBLANK(Q62),"-",FIND("%",Q62,1),(Q62-R62)/100),Q62-R62)</f>
        <v>-0.29999999999999716</v>
      </c>
      <c r="T62" s="291">
        <v>51.2</v>
      </c>
      <c r="U62" s="291">
        <v>49.7</v>
      </c>
      <c r="V62" s="221">
        <f t="array" ref="V62">IFERROR(_xlfn.IFS(ISBLANK(T62),"-",FIND("%",T62,1),(T62-U62)/100),T62-U62)</f>
        <v>1.5</v>
      </c>
      <c r="W62" s="291">
        <v>48.9</v>
      </c>
      <c r="X62" s="291">
        <v>51</v>
      </c>
      <c r="Y62" s="221">
        <f t="array" ref="Y62">IFERROR(_xlfn.IFS(ISBLANK(W62),"-",FIND("%",W62,1),(W62-X62)/100),W62-X62)</f>
        <v>-2.1000000000000014</v>
      </c>
      <c r="Z62" s="291">
        <v>50.4</v>
      </c>
      <c r="AA62" s="291">
        <v>50.6</v>
      </c>
      <c r="AB62" s="221">
        <f t="array" ref="AB62">IFERROR(_xlfn.IFS(ISBLANK(Z62),"-",FIND("%",Z62,1),(Z62-AA62)/100),Z62-AA62)</f>
        <v>-0.20000000000000284</v>
      </c>
      <c r="AC62" s="291">
        <v>50.7</v>
      </c>
      <c r="AD62" s="291">
        <v>51.3</v>
      </c>
      <c r="AE62" s="221">
        <f t="array" ref="AE62">IFERROR(_xlfn.IFS(ISBLANK(AC62),"-",FIND("%",AC62,1),(AC62-AD62)/100),AC62-AD62)</f>
        <v>-0.59999999999999432</v>
      </c>
      <c r="AF62" s="291">
        <v>51.4</v>
      </c>
      <c r="AG62" s="291">
        <v>49.5</v>
      </c>
      <c r="AH62" s="221">
        <f t="array" ref="AH62">IFERROR(_xlfn.IFS(ISBLANK(AF62),"-",FIND("%",AF62,1),(AF62-AG62)/100),AF62-AG62)</f>
        <v>1.8999999999999986</v>
      </c>
      <c r="AI62" s="291">
        <v>51.4</v>
      </c>
      <c r="AJ62" s="291">
        <v>51.4</v>
      </c>
      <c r="AK62" s="221">
        <f t="array" ref="AK62">IFERROR(_xlfn.IFS(ISBLANK(AI62),"-",FIND("%",AI62,1),(AI62-AJ62)/100),AI62-AJ62)</f>
        <v>0</v>
      </c>
      <c r="AL62" s="291">
        <v>50.5</v>
      </c>
      <c r="AM62" s="291">
        <v>52.9</v>
      </c>
      <c r="AN62" s="221">
        <f t="array" ref="AN62">IFERROR(_xlfn.IFS(ISBLANK(AL62),"-",FIND("%",AL62,1),(AL62-AM62)/100),AL62-AM62)</f>
        <v>-2.3999999999999986</v>
      </c>
      <c r="AO62" s="291">
        <v>53.3</v>
      </c>
      <c r="AP62" s="291">
        <v>51.9</v>
      </c>
      <c r="AQ62" s="221">
        <f t="array" ref="AQ62">IFERROR(_xlfn.IFS(ISBLANK(AO62),"-",FIND("%",AO62,1),(AO62-AP62)/100),AO62-AP62)</f>
        <v>1.3999999999999986</v>
      </c>
      <c r="AR62" s="291">
        <v>52.6</v>
      </c>
      <c r="AS62" s="291">
        <v>53.2</v>
      </c>
      <c r="AT62" s="221">
        <f t="array" ref="AT62">IFERROR(_xlfn.IFS(ISBLANK(AR62),"-",FIND("%",AR62,1),(AR62-AS62)/100),AR62-AS62)</f>
        <v>-0.60000000000000142</v>
      </c>
      <c r="AU62" s="291">
        <v>52.9</v>
      </c>
      <c r="AV62" s="291">
        <v>51.5</v>
      </c>
      <c r="AW62" s="221">
        <f t="array" ref="AW62">IFERROR(_xlfn.IFS(ISBLANK(AU62),"-",FIND("%",AU62,1),(AU62-AV62)/100),AU62-AV62)</f>
        <v>1.3999999999999986</v>
      </c>
    </row>
    <row r="63" spans="1:49" s="293" customFormat="1" x14ac:dyDescent="0.25">
      <c r="A63" s="289" t="s">
        <v>58</v>
      </c>
      <c r="B63" s="291"/>
      <c r="C63" s="291"/>
      <c r="D63" s="221" t="str">
        <f t="array" ref="D63">IFERROR(_xlfn.IFS(ISBLANK(B63),"-",FIND("%",B63,1),(B63-C63)/100),B63-C63)</f>
        <v>-</v>
      </c>
      <c r="E63" s="291"/>
      <c r="F63" s="291"/>
      <c r="G63" s="221" t="str">
        <f t="array" ref="G63">IFERROR(_xlfn.IFS(ISBLANK(E63),"-",FIND("%",E63,1),(E63-F63)/100),E63-F63)</f>
        <v>-</v>
      </c>
      <c r="H63" s="290">
        <v>51.6</v>
      </c>
      <c r="I63" s="290">
        <v>51.9</v>
      </c>
      <c r="J63" s="221">
        <f t="array" ref="J63">IFERROR(_xlfn.IFS(ISBLANK(H63),"-",FIND("%",H63,1),(H63-I63)/100),H63-I63)</f>
        <v>-0.29999999999999716</v>
      </c>
      <c r="K63" s="291">
        <v>0.39999999999999858</v>
      </c>
      <c r="L63" s="291">
        <v>0.19999999999999574</v>
      </c>
      <c r="M63" s="221">
        <f t="array" ref="M63">IFERROR(_xlfn.IFS(ISBLANK(K63),"-",FIND("%",K63,1),(K63-L63)/100),K63-L63)</f>
        <v>0.20000000000000284</v>
      </c>
      <c r="N63" s="291">
        <v>51.3</v>
      </c>
      <c r="O63" s="291">
        <v>51.4</v>
      </c>
      <c r="P63" s="221">
        <f t="array" ref="P63">IFERROR(_xlfn.IFS(ISBLANK(N63),"-",FIND("%",N63,1),(N63-O63)/100),N63-O63)</f>
        <v>-0.10000000000000142</v>
      </c>
      <c r="Q63" s="291">
        <v>50.5</v>
      </c>
      <c r="R63" s="291">
        <v>51.2</v>
      </c>
      <c r="S63" s="221">
        <f t="array" ref="S63">IFERROR(_xlfn.IFS(ISBLANK(Q63),"-",FIND("%",Q63,1),(Q63-R63)/100),Q63-R63)</f>
        <v>-0.70000000000000284</v>
      </c>
      <c r="T63" s="291">
        <v>50.5</v>
      </c>
      <c r="U63" s="291">
        <v>50</v>
      </c>
      <c r="V63" s="221">
        <f t="array" ref="V63">IFERROR(_xlfn.IFS(ISBLANK(T63),"-",FIND("%",T63,1),(T63-U63)/100),T63-U63)</f>
        <v>0.5</v>
      </c>
      <c r="W63" s="291">
        <v>50.1</v>
      </c>
      <c r="X63" s="291">
        <v>49.7</v>
      </c>
      <c r="Y63" s="221">
        <f t="array" ref="Y63">IFERROR(_xlfn.IFS(ISBLANK(W63),"-",FIND("%",W63,1),(W63-X63)/100),W63-X63)</f>
        <v>0.39999999999999858</v>
      </c>
      <c r="Z63" s="291"/>
      <c r="AA63" s="291"/>
      <c r="AB63" s="221" t="str">
        <f t="array" ref="AB63">IFERROR(_xlfn.IFS(ISBLANK(Z63),"-",FIND("%",Z63,1),(Z63-AA63)/100),Z63-AA63)</f>
        <v>-</v>
      </c>
      <c r="AC63" s="291">
        <v>51.3</v>
      </c>
      <c r="AD63" s="291">
        <v>51.4</v>
      </c>
      <c r="AE63" s="221">
        <f t="array" ref="AE63">IFERROR(_xlfn.IFS(ISBLANK(AC63),"-",FIND("%",AC63,1),(AC63-AD63)/100),AC63-AD63)</f>
        <v>-0.10000000000000142</v>
      </c>
      <c r="AF63" s="291">
        <v>51.6</v>
      </c>
      <c r="AG63" s="291">
        <v>51.4</v>
      </c>
      <c r="AH63" s="221">
        <f t="array" ref="AH63">IFERROR(_xlfn.IFS(ISBLANK(AF63),"-",FIND("%",AF63,1),(AF63-AG63)/100),AF63-AG63)</f>
        <v>0.20000000000000284</v>
      </c>
      <c r="AI63" s="291">
        <v>49.5</v>
      </c>
      <c r="AJ63" s="291">
        <v>51.2</v>
      </c>
      <c r="AK63" s="221">
        <f t="array" ref="AK63">IFERROR(_xlfn.IFS(ISBLANK(AI63),"-",FIND("%",AI63,1),(AI63-AJ63)/100),AI63-AJ63)</f>
        <v>-1.7000000000000028</v>
      </c>
      <c r="AL63" s="291"/>
      <c r="AM63" s="291"/>
      <c r="AN63" s="221" t="str">
        <f t="array" ref="AN63">IFERROR(_xlfn.IFS(ISBLANK(AL63),"-",FIND("%",AL63,1),(AL63-AM63)/100),AL63-AM63)</f>
        <v>-</v>
      </c>
      <c r="AO63" s="291">
        <v>51.9</v>
      </c>
      <c r="AP63" s="291">
        <v>51.9</v>
      </c>
      <c r="AQ63" s="221">
        <f t="array" ref="AQ63">IFERROR(_xlfn.IFS(ISBLANK(AO63),"-",FIND("%",AO63,1),(AO63-AP63)/100),AO63-AP63)</f>
        <v>0</v>
      </c>
      <c r="AR63" s="291">
        <v>52.8</v>
      </c>
      <c r="AS63" s="291">
        <v>52.6</v>
      </c>
      <c r="AT63" s="221">
        <f t="array" ref="AT63">IFERROR(_xlfn.IFS(ISBLANK(AR63),"-",FIND("%",AR63,1),(AR63-AS63)/100),AR63-AS63)</f>
        <v>0.19999999999999574</v>
      </c>
      <c r="AU63" s="291">
        <v>53.3</v>
      </c>
      <c r="AV63" s="291">
        <v>52.9</v>
      </c>
      <c r="AW63" s="221">
        <f t="array" ref="AW63">IFERROR(_xlfn.IFS(ISBLANK(AU63),"-",FIND("%",AU63,1),(AU63-AV63)/100),AU63-AV63)</f>
        <v>0.39999999999999858</v>
      </c>
    </row>
    <row r="64" spans="1:49" s="293" customFormat="1" x14ac:dyDescent="0.25">
      <c r="A64" s="289" t="s">
        <v>59</v>
      </c>
      <c r="B64" s="291"/>
      <c r="C64" s="291"/>
      <c r="D64" s="221" t="str">
        <f t="array" ref="D64">IFERROR(_xlfn.IFS(ISBLANK(B64),"-",FIND("%",B64,1),(B64-C64)/100),B64-C64)</f>
        <v>-</v>
      </c>
      <c r="E64" s="291"/>
      <c r="F64" s="291"/>
      <c r="G64" s="221" t="str">
        <f t="array" ref="G64">IFERROR(_xlfn.IFS(ISBLANK(E64),"-",FIND("%",E64,1),(E64-F64)/100),E64-F64)</f>
        <v>-</v>
      </c>
      <c r="H64" s="290"/>
      <c r="I64" s="290"/>
      <c r="J64" s="221" t="str">
        <f t="array" ref="J64">IFERROR(_xlfn.IFS(ISBLANK(H64),"-",FIND("%",H64,1),(H64-I64)/100),H64-I64)</f>
        <v>-</v>
      </c>
      <c r="K64" s="291">
        <v>11.2</v>
      </c>
      <c r="L64" s="291">
        <v>-5.7000000000000028</v>
      </c>
      <c r="M64" s="221">
        <f t="array" ref="M64">IFERROR(_xlfn.IFS(ISBLANK(K64),"-",FIND("%",K64,1),(K64-L64)/100),K64-L64)</f>
        <v>16.900000000000002</v>
      </c>
      <c r="N64" s="291">
        <v>39.299999999999997</v>
      </c>
      <c r="O64" s="291">
        <v>34.700000000000003</v>
      </c>
      <c r="P64" s="221">
        <f t="array" ref="P64">IFERROR(_xlfn.IFS(ISBLANK(N64),"-",FIND("%",N64,1),(N64-O64)/100),N64-O64)</f>
        <v>4.5999999999999943</v>
      </c>
      <c r="Q64" s="291">
        <v>34.700000000000003</v>
      </c>
      <c r="R64" s="291">
        <v>52.7</v>
      </c>
      <c r="S64" s="221">
        <f t="array" ref="S64">IFERROR(_xlfn.IFS(ISBLANK(Q64),"-",FIND("%",Q64,1),(Q64-R64)/100),Q64-R64)</f>
        <v>-18</v>
      </c>
      <c r="T64" s="291">
        <v>52.7</v>
      </c>
      <c r="U64" s="291">
        <v>25.2</v>
      </c>
      <c r="V64" s="221">
        <f t="array" ref="V64">IFERROR(_xlfn.IFS(ISBLANK(T64),"-",FIND("%",T64,1),(T64-U64)/100),T64-U64)</f>
        <v>27.500000000000004</v>
      </c>
      <c r="W64" s="291">
        <v>25.2</v>
      </c>
      <c r="X64" s="291">
        <v>-14</v>
      </c>
      <c r="Y64" s="221">
        <f t="array" ref="Y64">IFERROR(_xlfn.IFS(ISBLANK(W64),"-",FIND("%",W64,1),(W64-X64)/100),W64-X64)</f>
        <v>39.200000000000003</v>
      </c>
      <c r="Z64" s="291">
        <v>-14</v>
      </c>
      <c r="AA64" s="291">
        <v>26</v>
      </c>
      <c r="AB64" s="221">
        <f t="array" ref="AB64">IFERROR(_xlfn.IFS(ISBLANK(Z64),"-",FIND("%",Z64,1),(Z64-AA64)/100),Z64-AA64)</f>
        <v>-40</v>
      </c>
      <c r="AC64" s="291">
        <v>26</v>
      </c>
      <c r="AD64" s="291">
        <v>10.3</v>
      </c>
      <c r="AE64" s="221">
        <f t="array" ref="AE64">IFERROR(_xlfn.IFS(ISBLANK(AC64),"-",FIND("%",AC64,1),(AC64-AD64)/100),AC64-AD64)</f>
        <v>15.7</v>
      </c>
      <c r="AF64" s="291">
        <v>10.3</v>
      </c>
      <c r="AG64" s="291">
        <v>7.4</v>
      </c>
      <c r="AH64" s="221">
        <f t="array" ref="AH64">IFERROR(_xlfn.IFS(ISBLANK(AF64),"-",FIND("%",AF64,1),(AF64-AG64)/100),AF64-AG64)</f>
        <v>2.9000000000000004</v>
      </c>
      <c r="AI64" s="291">
        <v>7.4</v>
      </c>
      <c r="AJ64" s="291">
        <v>13.1</v>
      </c>
      <c r="AK64" s="221">
        <f t="array" ref="AK64">IFERROR(_xlfn.IFS(ISBLANK(AI64),"-",FIND("%",AI64,1),(AI64-AJ64)/100),AI64-AJ64)</f>
        <v>-5.6999999999999993</v>
      </c>
      <c r="AL64" s="291">
        <v>13.1</v>
      </c>
      <c r="AM64" s="294">
        <v>3.6</v>
      </c>
      <c r="AN64" s="221">
        <f t="array" ref="AN64">IFERROR(_xlfn.IFS(ISBLANK(AL64),"-",FIND("%",AL64,1),(AL64-AM64)/100),AL64-AM64)</f>
        <v>9.5</v>
      </c>
      <c r="AO64" s="291">
        <v>19.2</v>
      </c>
      <c r="AP64" s="291">
        <v>41.8</v>
      </c>
      <c r="AQ64" s="221">
        <f t="array" ref="AQ64">IFERROR(_xlfn.IFS(ISBLANK(AO64),"-",FIND("%",AO64,1),(AO64-AP64)/100),AO64-AP64)</f>
        <v>-22.599999999999998</v>
      </c>
      <c r="AR64" s="291">
        <v>41.8</v>
      </c>
      <c r="AS64" s="291">
        <v>47.5</v>
      </c>
      <c r="AT64" s="221">
        <f t="array" ref="AT64">IFERROR(_xlfn.IFS(ISBLANK(AR64),"-",FIND("%",AR64,1),(AR64-AS64)/100),AR64-AS64)</f>
        <v>-5.7000000000000028</v>
      </c>
      <c r="AU64" s="291">
        <v>42.9</v>
      </c>
      <c r="AV64" s="291">
        <v>31.7</v>
      </c>
      <c r="AW64" s="221">
        <f t="array" ref="AW64">IFERROR(_xlfn.IFS(ISBLANK(AU64),"-",FIND("%",AU64,1),(AU64-AV64)/100),AU64-AV64)</f>
        <v>11.2</v>
      </c>
    </row>
    <row r="65" spans="1:49" s="293" customFormat="1" x14ac:dyDescent="0.25">
      <c r="A65" s="289" t="s">
        <v>60</v>
      </c>
      <c r="B65" s="291"/>
      <c r="C65" s="291"/>
      <c r="D65" s="221" t="str">
        <f t="array" ref="D65">IFERROR(_xlfn.IFS(ISBLANK(B65),"-",FIND("%",B65,1),(B65-C65)/100),B65-C65)</f>
        <v>-</v>
      </c>
      <c r="E65" s="291"/>
      <c r="F65" s="291"/>
      <c r="G65" s="221" t="str">
        <f t="array" ref="G65">IFERROR(_xlfn.IFS(ISBLANK(E65),"-",FIND("%",E65,1),(E65-F65)/100),E65-F65)</f>
        <v>-</v>
      </c>
      <c r="H65" s="290"/>
      <c r="I65" s="290"/>
      <c r="J65" s="221" t="str">
        <f t="array" ref="J65">IFERROR(_xlfn.IFS(ISBLANK(H65),"-",FIND("%",H65,1),(H65-I65)/100),H65-I65)</f>
        <v>-</v>
      </c>
      <c r="K65" s="291">
        <v>10.399999999999999</v>
      </c>
      <c r="L65" s="291">
        <v>-7.5999999999999943</v>
      </c>
      <c r="M65" s="221">
        <f t="array" ref="M65">IFERROR(_xlfn.IFS(ISBLANK(K65),"-",FIND("%",K65,1),(K65-L65)/100),K65-L65)</f>
        <v>17.999999999999993</v>
      </c>
      <c r="N65" s="291">
        <v>22.7</v>
      </c>
      <c r="O65" s="291">
        <v>25.1</v>
      </c>
      <c r="P65" s="221">
        <f t="array" ref="P65">IFERROR(_xlfn.IFS(ISBLANK(N65),"-",FIND("%",N65,1),(N65-O65)/100),N65-O65)</f>
        <v>-2.4000000000000021</v>
      </c>
      <c r="Q65" s="291">
        <v>26.1</v>
      </c>
      <c r="R65" s="291">
        <v>36.1</v>
      </c>
      <c r="S65" s="221">
        <f t="array" ref="S65">IFERROR(_xlfn.IFS(ISBLANK(Q65),"-",FIND("%",Q65,1),(Q65-R65)/100),Q65-R65)</f>
        <v>-10</v>
      </c>
      <c r="T65" s="291">
        <v>36.1</v>
      </c>
      <c r="U65" s="291">
        <v>11.6</v>
      </c>
      <c r="V65" s="221">
        <f t="array" ref="V65">IFERROR(_xlfn.IFS(ISBLANK(T65),"-",FIND("%",T65,1),(T65-U65)/100),T65-U65)</f>
        <v>24.5</v>
      </c>
      <c r="W65" s="291">
        <v>11.6</v>
      </c>
      <c r="X65" s="291">
        <v>-18.5</v>
      </c>
      <c r="Y65" s="221">
        <f t="array" ref="Y65">IFERROR(_xlfn.IFS(ISBLANK(W65),"-",FIND("%",W65,1),(W65-X65)/100),W65-X65)</f>
        <v>30.1</v>
      </c>
      <c r="Z65" s="291">
        <v>-18.5</v>
      </c>
      <c r="AA65" s="291">
        <v>24.2</v>
      </c>
      <c r="AB65" s="221">
        <f t="array" ref="AB65">IFERROR(_xlfn.IFS(ISBLANK(Z65),"-",FIND("%",Z65,1),(Z65-AA65)/100),Z65-AA65)</f>
        <v>-42.7</v>
      </c>
      <c r="AC65" s="291">
        <v>24.2</v>
      </c>
      <c r="AD65" s="291">
        <v>18</v>
      </c>
      <c r="AE65" s="221">
        <f t="array" ref="AE65">IFERROR(_xlfn.IFS(ISBLANK(AC65),"-",FIND("%",AC65,1),(AC65-AD65)/100),AC65-AD65)</f>
        <v>6.1999999999999993</v>
      </c>
      <c r="AF65" s="291">
        <v>18</v>
      </c>
      <c r="AG65" s="291">
        <v>12.5</v>
      </c>
      <c r="AH65" s="221">
        <f t="array" ref="AH65">IFERROR(_xlfn.IFS(ISBLANK(AF65),"-",FIND("%",AF65,1),(AF65-AG65)/100),AF65-AG65)</f>
        <v>5.5</v>
      </c>
      <c r="AI65" s="291">
        <v>12.5</v>
      </c>
      <c r="AJ65" s="291">
        <v>20.100000000000001</v>
      </c>
      <c r="AK65" s="221">
        <f t="array" ref="AK65">IFERROR(_xlfn.IFS(ISBLANK(AI65),"-",FIND("%",AI65,1),(AI65-AJ65)/100),AI65-AJ65)</f>
        <v>-7.6000000000000014</v>
      </c>
      <c r="AL65" s="291">
        <v>20.100000000000001</v>
      </c>
      <c r="AM65" s="291">
        <v>9.3000000000000007</v>
      </c>
      <c r="AN65" s="221">
        <f t="array" ref="AN65">IFERROR(_xlfn.IFS(ISBLANK(AL65),"-",FIND("%",AL65,1),(AL65-AM65)/100),AL65-AM65)</f>
        <v>10.8</v>
      </c>
      <c r="AO65" s="291">
        <v>17.899999999999999</v>
      </c>
      <c r="AP65" s="291">
        <v>43.7</v>
      </c>
      <c r="AQ65" s="221">
        <f t="array" ref="AQ65">IFERROR(_xlfn.IFS(ISBLANK(AO65),"-",FIND("%",AO65,1),(AO65-AP65)/100),AO65-AP65)</f>
        <v>-25.800000000000004</v>
      </c>
      <c r="AR65" s="291">
        <v>43.7</v>
      </c>
      <c r="AS65" s="291">
        <v>51.3</v>
      </c>
      <c r="AT65" s="221">
        <f t="array" ref="AT65">IFERROR(_xlfn.IFS(ISBLANK(AR65),"-",FIND("%",AR65,1),(AR65-AS65)/100),AR65-AS65)</f>
        <v>-7.5999999999999943</v>
      </c>
      <c r="AU65" s="291">
        <v>43.9</v>
      </c>
      <c r="AV65" s="291">
        <v>33.5</v>
      </c>
      <c r="AW65" s="221">
        <f t="array" ref="AW65">IFERROR(_xlfn.IFS(ISBLANK(AU65),"-",FIND("%",AU65,1),(AU65-AV65)/100),AU65-AV65)</f>
        <v>10.399999999999999</v>
      </c>
    </row>
    <row r="66" spans="1:49" s="293" customFormat="1" x14ac:dyDescent="0.25">
      <c r="A66" s="289" t="s">
        <v>61</v>
      </c>
      <c r="B66" s="291"/>
      <c r="C66" s="291"/>
      <c r="D66" s="221" t="str">
        <f t="array" ref="D66">IFERROR(_xlfn.IFS(ISBLANK(B66),"-",FIND("%",B66,1),(B66-C66)/100),B66-C66)</f>
        <v>-</v>
      </c>
      <c r="E66" s="291">
        <v>17.100000000000001</v>
      </c>
      <c r="F66" s="291">
        <v>13.6</v>
      </c>
      <c r="G66" s="221">
        <f t="array" ref="G66">IFERROR(_xlfn.IFS(ISBLANK(E66),"-",FIND("%",E66,1),(E66-F66)/100),E66-F66)</f>
        <v>3.5000000000000018</v>
      </c>
      <c r="H66" s="290"/>
      <c r="I66" s="290"/>
      <c r="J66" s="221" t="str">
        <f t="array" ref="J66">IFERROR(_xlfn.IFS(ISBLANK(H66),"-",FIND("%",H66,1),(H66-I66)/100),H66-I66)</f>
        <v>-</v>
      </c>
      <c r="K66" s="291">
        <v>0.90000000000000213</v>
      </c>
      <c r="L66" s="291">
        <v>2.6999999999999993</v>
      </c>
      <c r="M66" s="221">
        <f t="array" ref="M66">IFERROR(_xlfn.IFS(ISBLANK(K66),"-",FIND("%",K66,1),(K66-L66)/100),K66-L66)</f>
        <v>-1.7999999999999972</v>
      </c>
      <c r="N66" s="291">
        <v>14.7</v>
      </c>
      <c r="O66" s="291">
        <v>15.4</v>
      </c>
      <c r="P66" s="221">
        <f t="array" ref="P66">IFERROR(_xlfn.IFS(ISBLANK(N66),"-",FIND("%",N66,1),(N66-O66)/100),N66-O66)</f>
        <v>-0.70000000000000107</v>
      </c>
      <c r="Q66" s="291">
        <v>14.7</v>
      </c>
      <c r="R66" s="291">
        <v>15.54</v>
      </c>
      <c r="S66" s="221">
        <f t="array" ref="S66">IFERROR(_xlfn.IFS(ISBLANK(Q66),"-",FIND("%",Q66,1),(Q66-R66)/100),Q66-R66)</f>
        <v>-0.83999999999999986</v>
      </c>
      <c r="T66" s="291">
        <v>14.9</v>
      </c>
      <c r="U66" s="291"/>
      <c r="V66" s="221">
        <f t="array" ref="V66">IFERROR(_xlfn.IFS(ISBLANK(T66),"-",FIND("%",T66,1),(T66-U66)/100),T66-U66)</f>
        <v>14.9</v>
      </c>
      <c r="W66" s="291"/>
      <c r="X66" s="291"/>
      <c r="Y66" s="221" t="str">
        <f t="array" ref="Y66">IFERROR(_xlfn.IFS(ISBLANK(W66),"-",FIND("%",W66,1),(W66-X66)/100),W66-X66)</f>
        <v>-</v>
      </c>
      <c r="Z66" s="291"/>
      <c r="AA66" s="291"/>
      <c r="AB66" s="221" t="str">
        <f t="array" ref="AB66">IFERROR(_xlfn.IFS(ISBLANK(Z66),"-",FIND("%",Z66,1),(Z66-AA66)/100),Z66-AA66)</f>
        <v>-</v>
      </c>
      <c r="AC66" s="291"/>
      <c r="AD66" s="291"/>
      <c r="AE66" s="221" t="str">
        <f t="array" ref="AE66">IFERROR(_xlfn.IFS(ISBLANK(AC66),"-",FIND("%",AC66,1),(AC66-AD66)/100),AC66-AD66)</f>
        <v>-</v>
      </c>
      <c r="AF66" s="291">
        <v>13.4</v>
      </c>
      <c r="AG66" s="291">
        <v>16.899999999999999</v>
      </c>
      <c r="AH66" s="221">
        <f t="array" ref="AH66">IFERROR(_xlfn.IFS(ISBLANK(AF66),"-",FIND("%",AF66,1),(AF66-AG66)/100),AF66-AG66)</f>
        <v>-3.4999999999999982</v>
      </c>
      <c r="AI66" s="291">
        <v>17</v>
      </c>
      <c r="AJ66" s="291">
        <v>21.4</v>
      </c>
      <c r="AK66" s="221">
        <f t="array" ref="AK66">IFERROR(_xlfn.IFS(ISBLANK(AI66),"-",FIND("%",AI66,1),(AI66-AJ66)/100),AI66-AJ66)</f>
        <v>-4.3999999999999986</v>
      </c>
      <c r="AL66" s="291"/>
      <c r="AM66" s="291"/>
      <c r="AN66" s="221" t="str">
        <f t="array" ref="AN66">IFERROR(_xlfn.IFS(ISBLANK(AL66),"-",FIND("%",AL66,1),(AL66-AM66)/100),AL66-AM66)</f>
        <v>-</v>
      </c>
      <c r="AO66" s="291"/>
      <c r="AP66" s="291"/>
      <c r="AQ66" s="221" t="str">
        <f t="array" ref="AQ66">IFERROR(_xlfn.IFS(ISBLANK(AO66),"-",FIND("%",AO66,1),(AO66-AP66)/100),AO66-AP66)</f>
        <v>-</v>
      </c>
      <c r="AR66" s="292">
        <v>24.9</v>
      </c>
      <c r="AS66" s="291">
        <v>22.2</v>
      </c>
      <c r="AT66" s="221">
        <f t="array" ref="AT66">IFERROR(_xlfn.IFS(ISBLANK(AR66),"-",FIND("%",AR66,1),(AR66-AS66)/100),AR66-AS66)</f>
        <v>2.6999999999999993</v>
      </c>
      <c r="AU66" s="291">
        <v>22.3</v>
      </c>
      <c r="AV66" s="291">
        <v>21.4</v>
      </c>
      <c r="AW66" s="221">
        <f t="array" ref="AW66">IFERROR(_xlfn.IFS(ISBLANK(AU66),"-",FIND("%",AU66,1),(AU66-AV66)/100),AU66-AV66)</f>
        <v>0.90000000000000213</v>
      </c>
    </row>
    <row r="67" spans="1:49" s="293" customFormat="1" x14ac:dyDescent="0.25">
      <c r="A67" s="289" t="s">
        <v>62</v>
      </c>
      <c r="B67" s="291"/>
      <c r="C67" s="291"/>
      <c r="D67" s="221" t="str">
        <f t="array" ref="D67">IFERROR(_xlfn.IFS(ISBLANK(B67),"-",FIND("%",B67,1),(B67-C67)/100),B67-C67)</f>
        <v>-</v>
      </c>
      <c r="E67" s="291"/>
      <c r="F67" s="291"/>
      <c r="G67" s="221" t="str">
        <f t="array" ref="G67">IFERROR(_xlfn.IFS(ISBLANK(E67),"-",FIND("%",E67,1),(E67-F67)/100),E67-F67)</f>
        <v>-</v>
      </c>
      <c r="H67" s="290"/>
      <c r="I67" s="290"/>
      <c r="J67" s="221" t="str">
        <f t="array" ref="J67">IFERROR(_xlfn.IFS(ISBLANK(H67),"-",FIND("%",H67,1),(H67-I67)/100),H67-I67)</f>
        <v>-</v>
      </c>
      <c r="K67" s="291">
        <v>-9.2000000000000028</v>
      </c>
      <c r="L67" s="291">
        <v>-6.2799999999999976</v>
      </c>
      <c r="M67" s="221">
        <f t="array" ref="M67">IFERROR(_xlfn.IFS(ISBLANK(K67),"-",FIND("%",K67,1),(K67-L67)/100),K67-L67)</f>
        <v>-2.9200000000000053</v>
      </c>
      <c r="N67" s="291">
        <v>9.6999999999999993</v>
      </c>
      <c r="O67" s="291">
        <v>3.7</v>
      </c>
      <c r="P67" s="221">
        <f t="array" ref="P67">IFERROR(_xlfn.IFS(ISBLANK(N67),"-",FIND("%",N67,1),(N67-O67)/100),N67-O67)</f>
        <v>5.9999999999999991</v>
      </c>
      <c r="Q67" s="291">
        <v>5.3</v>
      </c>
      <c r="R67" s="291">
        <v>15.6</v>
      </c>
      <c r="S67" s="221">
        <f t="array" ref="S67">IFERROR(_xlfn.IFS(ISBLANK(Q67),"-",FIND("%",Q67,1),(Q67-R67)/100),Q67-R67)</f>
        <v>-10.3</v>
      </c>
      <c r="T67" s="291">
        <v>16.2</v>
      </c>
      <c r="U67" s="291">
        <v>28.8</v>
      </c>
      <c r="V67" s="221">
        <f t="array" ref="V67">IFERROR(_xlfn.IFS(ISBLANK(T67),"-",FIND("%",T67,1),(T67-U67)/100),T67-U67)</f>
        <v>-12.600000000000001</v>
      </c>
      <c r="W67" s="291">
        <v>27.9</v>
      </c>
      <c r="X67" s="291">
        <v>14.4</v>
      </c>
      <c r="Y67" s="221">
        <f t="array" ref="Y67">IFERROR(_xlfn.IFS(ISBLANK(W67),"-",FIND("%",W67,1),(W67-X67)/100),W67-X67)</f>
        <v>13.499999999999998</v>
      </c>
      <c r="Z67" s="291">
        <v>14</v>
      </c>
      <c r="AA67" s="291">
        <v>14.2</v>
      </c>
      <c r="AB67" s="221">
        <f t="array" ref="AB67">IFERROR(_xlfn.IFS(ISBLANK(Z67),"-",FIND("%",Z67,1),(Z67-AA67)/100),Z67-AA67)</f>
        <v>-0.19999999999999929</v>
      </c>
      <c r="AC67" s="291">
        <v>14.6</v>
      </c>
      <c r="AD67" s="291">
        <v>13.3</v>
      </c>
      <c r="AE67" s="221">
        <f t="array" ref="AE67">IFERROR(_xlfn.IFS(ISBLANK(AC67),"-",FIND("%",AC67,1),(AC67-AD67)/100),AC67-AD67)</f>
        <v>1.2999999999999989</v>
      </c>
      <c r="AF67" s="291">
        <v>12.9</v>
      </c>
      <c r="AG67" s="291">
        <v>12.6</v>
      </c>
      <c r="AH67" s="221">
        <f t="array" ref="AH67">IFERROR(_xlfn.IFS(ISBLANK(AF67),"-",FIND("%",AF67,1),(AF67-AG67)/100),AF67-AG67)</f>
        <v>0.30000000000000071</v>
      </c>
      <c r="AI67" s="291">
        <v>13.6</v>
      </c>
      <c r="AJ67" s="291">
        <v>10.8</v>
      </c>
      <c r="AK67" s="221">
        <f t="array" ref="AK67">IFERROR(_xlfn.IFS(ISBLANK(AI67),"-",FIND("%",AI67,1),(AI67-AJ67)/100),AI67-AJ67)</f>
        <v>2.7999999999999989</v>
      </c>
      <c r="AL67" s="291">
        <v>11</v>
      </c>
      <c r="AM67" s="291">
        <v>13.7</v>
      </c>
      <c r="AN67" s="221">
        <f t="array" ref="AN67">IFERROR(_xlfn.IFS(ISBLANK(AL67),"-",FIND("%",AL67,1),(AL67-AM67)/100),AL67-AM67)</f>
        <v>-2.6999999999999993</v>
      </c>
      <c r="AO67" s="291">
        <v>17.5</v>
      </c>
      <c r="AP67" s="291">
        <v>12.4</v>
      </c>
      <c r="AQ67" s="221">
        <f t="array" ref="AQ67">IFERROR(_xlfn.IFS(ISBLANK(AO67),"-",FIND("%",AO67,1),(AO67-AP67)/100),AO67-AP67)</f>
        <v>5.0999999999999996</v>
      </c>
      <c r="AR67" s="291">
        <v>12.3</v>
      </c>
      <c r="AS67" s="291">
        <v>18.579999999999998</v>
      </c>
      <c r="AT67" s="221">
        <f t="array" ref="AT67">IFERROR(_xlfn.IFS(ISBLANK(AR67),"-",FIND("%",AR67,1),(AR67-AS67)/100),AR67-AS67)</f>
        <v>-6.2799999999999976</v>
      </c>
      <c r="AU67" s="291">
        <v>17.899999999999999</v>
      </c>
      <c r="AV67" s="291">
        <v>27.1</v>
      </c>
      <c r="AW67" s="221">
        <f t="array" ref="AW67">IFERROR(_xlfn.IFS(ISBLANK(AU67),"-",FIND("%",AU67,1),(AU67-AV67)/100),AU67-AV67)</f>
        <v>-9.2000000000000028</v>
      </c>
    </row>
    <row r="68" spans="1:49" s="293" customFormat="1" x14ac:dyDescent="0.25">
      <c r="A68" s="283" t="s">
        <v>63</v>
      </c>
      <c r="B68" s="284"/>
      <c r="C68" s="284"/>
      <c r="D68" s="217" t="str">
        <f t="shared" ref="D68:D87" si="35">IF(ISBLANK(B68),"-",B68-C68)</f>
        <v>-</v>
      </c>
      <c r="E68" s="284"/>
      <c r="F68" s="284"/>
      <c r="G68" s="217" t="str">
        <f t="shared" ref="G68:G87" si="36">IF(ISBLANK(E68),"-",E68-F68)</f>
        <v>-</v>
      </c>
      <c r="H68" s="295"/>
      <c r="I68" s="295"/>
      <c r="J68" s="217" t="str">
        <f t="shared" ref="J68:J87" si="37">IF(ISBLANK(H68),"-",H68-I68)</f>
        <v>-</v>
      </c>
      <c r="K68" s="284">
        <v>-1.3000000000000043</v>
      </c>
      <c r="L68" s="284">
        <v>-1.1000000000000014</v>
      </c>
      <c r="M68" s="217">
        <f t="shared" ref="M68:M87" si="38">IF(ISBLANK(K68),"-",K68-L68)</f>
        <v>-0.20000000000000284</v>
      </c>
      <c r="N68" s="284">
        <v>48.3</v>
      </c>
      <c r="O68" s="284">
        <v>50.4</v>
      </c>
      <c r="P68" s="217">
        <f t="shared" ref="P68:P87" si="39">IF(ISBLANK(N68),"-",N68-O68)</f>
        <v>-2.1000000000000014</v>
      </c>
      <c r="Q68" s="284">
        <v>49.9</v>
      </c>
      <c r="R68" s="284">
        <v>48.2</v>
      </c>
      <c r="S68" s="217">
        <f t="shared" ref="S68:S87" si="40">IF(ISBLANK(Q68),"-",Q68-R68)</f>
        <v>1.6999999999999957</v>
      </c>
      <c r="T68" s="284">
        <v>48.4</v>
      </c>
      <c r="U68" s="284">
        <v>49.8</v>
      </c>
      <c r="V68" s="217">
        <f t="shared" ref="V68:V87" si="41">IF(ISBLANK(T68),"-",T68-U68)</f>
        <v>-1.3999999999999986</v>
      </c>
      <c r="W68" s="284">
        <v>49.5</v>
      </c>
      <c r="X68" s="284">
        <v>48.5</v>
      </c>
      <c r="Y68" s="217">
        <f t="shared" ref="Y68:Y87" si="42">IF(ISBLANK(W68),"-",W68-X68)</f>
        <v>1</v>
      </c>
      <c r="Z68" s="284">
        <v>48.9</v>
      </c>
      <c r="AA68" s="284">
        <v>45.8</v>
      </c>
      <c r="AB68" s="217">
        <f t="shared" ref="AB68:AB87" si="43">IF(ISBLANK(Z68),"-",Z68-AA68)</f>
        <v>3.1000000000000014</v>
      </c>
      <c r="AC68" s="284">
        <v>45.5</v>
      </c>
      <c r="AD68" s="284">
        <v>45</v>
      </c>
      <c r="AE68" s="217">
        <f t="shared" ref="AE68:AE87" si="44">IF(ISBLANK(AC68),"-",AC68-AD68)</f>
        <v>0.5</v>
      </c>
      <c r="AF68" s="284">
        <v>45.3</v>
      </c>
      <c r="AG68" s="284">
        <v>43.1</v>
      </c>
      <c r="AH68" s="217">
        <f t="shared" ref="AH68:AH87" si="45">IF(ISBLANK(AF68),"-",AF68-AG68)</f>
        <v>2.1999999999999957</v>
      </c>
      <c r="AI68" s="284">
        <v>43.1</v>
      </c>
      <c r="AJ68" s="284">
        <v>44.6</v>
      </c>
      <c r="AK68" s="217">
        <f t="shared" ref="AK68:AK87" si="46">IF(ISBLANK(AI68),"-",AI68-AJ68)</f>
        <v>-1.5</v>
      </c>
      <c r="AL68" s="284">
        <v>44</v>
      </c>
      <c r="AM68" s="284">
        <v>43.9</v>
      </c>
      <c r="AN68" s="217">
        <f t="shared" ref="AN68:AN87" si="47">IF(ISBLANK(AL68),"-",AL68-AM68)</f>
        <v>0.10000000000000142</v>
      </c>
      <c r="AO68" s="284">
        <v>42.1</v>
      </c>
      <c r="AP68" s="284">
        <v>44</v>
      </c>
      <c r="AQ68" s="217">
        <f t="shared" ref="AQ68:AQ87" si="48">IF(ISBLANK(AO68),"-",AO68-AP68)</f>
        <v>-1.8999999999999986</v>
      </c>
      <c r="AR68" s="284">
        <v>45.3</v>
      </c>
      <c r="AS68" s="284">
        <v>46.4</v>
      </c>
      <c r="AT68" s="217">
        <f t="shared" ref="AT68:AT87" si="49">IF(ISBLANK(AR68),"-",AR68-AS68)</f>
        <v>-1.1000000000000014</v>
      </c>
      <c r="AU68" s="284">
        <v>44.9</v>
      </c>
      <c r="AV68" s="284">
        <v>46.2</v>
      </c>
      <c r="AW68" s="217">
        <f t="shared" ref="AW68:AW87" si="50">IF(ISBLANK(AU68),"-",AU68-AV68)</f>
        <v>-1.3000000000000043</v>
      </c>
    </row>
    <row r="69" spans="1:49" s="293" customFormat="1" x14ac:dyDescent="0.25">
      <c r="A69" s="283" t="s">
        <v>64</v>
      </c>
      <c r="B69" s="284"/>
      <c r="C69" s="284"/>
      <c r="D69" s="217" t="str">
        <f t="shared" si="35"/>
        <v>-</v>
      </c>
      <c r="E69" s="284"/>
      <c r="F69" s="284"/>
      <c r="G69" s="217" t="str">
        <f t="shared" si="36"/>
        <v>-</v>
      </c>
      <c r="H69" s="295">
        <v>51.2</v>
      </c>
      <c r="I69" s="295">
        <v>51</v>
      </c>
      <c r="J69" s="217">
        <f t="shared" si="37"/>
        <v>0.20000000000000284</v>
      </c>
      <c r="K69" s="284">
        <v>0.39999999999999858</v>
      </c>
      <c r="L69" s="284">
        <v>0.10000000000000142</v>
      </c>
      <c r="M69" s="217">
        <f t="shared" si="38"/>
        <v>0.29999999999999716</v>
      </c>
      <c r="N69" s="284">
        <v>48.2</v>
      </c>
      <c r="O69" s="284">
        <v>48.1</v>
      </c>
      <c r="P69" s="217">
        <f t="shared" si="39"/>
        <v>0.10000000000000142</v>
      </c>
      <c r="Q69" s="284">
        <v>48.2</v>
      </c>
      <c r="R69" s="284">
        <v>48.4</v>
      </c>
      <c r="S69" s="217">
        <f t="shared" si="40"/>
        <v>-0.19999999999999574</v>
      </c>
      <c r="T69" s="284">
        <v>48.1</v>
      </c>
      <c r="U69" s="284">
        <v>47.8</v>
      </c>
      <c r="V69" s="217">
        <f t="shared" si="41"/>
        <v>0.30000000000000426</v>
      </c>
      <c r="W69" s="284">
        <v>49.8</v>
      </c>
      <c r="X69" s="284">
        <v>48.2</v>
      </c>
      <c r="Y69" s="217">
        <f t="shared" si="42"/>
        <v>1.5999999999999943</v>
      </c>
      <c r="Z69" s="284">
        <v>48.5</v>
      </c>
      <c r="AA69" s="284">
        <v>48.9</v>
      </c>
      <c r="AB69" s="217">
        <f t="shared" si="43"/>
        <v>-0.39999999999999858</v>
      </c>
      <c r="AC69" s="284">
        <v>45.8</v>
      </c>
      <c r="AD69" s="284">
        <v>45.3</v>
      </c>
      <c r="AE69" s="217">
        <f t="shared" si="44"/>
        <v>0.5</v>
      </c>
      <c r="AF69" s="284">
        <v>41.9</v>
      </c>
      <c r="AG69" s="284">
        <v>41.9</v>
      </c>
      <c r="AH69" s="217">
        <f t="shared" si="45"/>
        <v>0</v>
      </c>
      <c r="AI69" s="284">
        <v>43.1</v>
      </c>
      <c r="AJ69" s="284">
        <v>43.2</v>
      </c>
      <c r="AK69" s="217">
        <f t="shared" si="46"/>
        <v>-0.10000000000000142</v>
      </c>
      <c r="AL69" s="284"/>
      <c r="AM69" s="284"/>
      <c r="AN69" s="217" t="str">
        <f t="shared" si="47"/>
        <v>-</v>
      </c>
      <c r="AO69" s="284">
        <v>43.9</v>
      </c>
      <c r="AP69" s="284">
        <v>42.1</v>
      </c>
      <c r="AQ69" s="217">
        <f t="shared" si="48"/>
        <v>1.7999999999999972</v>
      </c>
      <c r="AR69" s="284">
        <v>45.4</v>
      </c>
      <c r="AS69" s="284">
        <v>45.3</v>
      </c>
      <c r="AT69" s="217">
        <f t="shared" si="49"/>
        <v>0.10000000000000142</v>
      </c>
      <c r="AU69" s="284">
        <v>45.3</v>
      </c>
      <c r="AV69" s="284">
        <v>44.9</v>
      </c>
      <c r="AW69" s="217">
        <f t="shared" si="50"/>
        <v>0.39999999999999858</v>
      </c>
    </row>
    <row r="70" spans="1:49" s="293" customFormat="1" x14ac:dyDescent="0.25">
      <c r="A70" s="283" t="s">
        <v>65</v>
      </c>
      <c r="B70" s="284"/>
      <c r="C70" s="284"/>
      <c r="D70" s="217" t="str">
        <f t="shared" si="35"/>
        <v>-</v>
      </c>
      <c r="E70" s="284"/>
      <c r="F70" s="284"/>
      <c r="G70" s="217" t="str">
        <f t="shared" si="36"/>
        <v>-</v>
      </c>
      <c r="H70" s="295"/>
      <c r="I70" s="295"/>
      <c r="J70" s="217" t="str">
        <f t="shared" si="37"/>
        <v>-</v>
      </c>
      <c r="K70" s="284">
        <v>2.2000000000000028</v>
      </c>
      <c r="L70" s="284">
        <v>-0.5</v>
      </c>
      <c r="M70" s="217">
        <f t="shared" si="38"/>
        <v>2.7000000000000028</v>
      </c>
      <c r="N70" s="284">
        <v>47.1</v>
      </c>
      <c r="O70" s="284">
        <v>49.8</v>
      </c>
      <c r="P70" s="217">
        <f t="shared" si="39"/>
        <v>-2.6999999999999957</v>
      </c>
      <c r="Q70" s="284">
        <v>49.7</v>
      </c>
      <c r="R70" s="284">
        <v>48.5</v>
      </c>
      <c r="S70" s="217">
        <f t="shared" si="40"/>
        <v>1.2000000000000028</v>
      </c>
      <c r="T70" s="284">
        <v>49.7</v>
      </c>
      <c r="U70" s="284">
        <v>49.2</v>
      </c>
      <c r="V70" s="217">
        <f t="shared" si="41"/>
        <v>0.5</v>
      </c>
      <c r="W70" s="284">
        <v>47.4</v>
      </c>
      <c r="X70" s="284">
        <v>47.9</v>
      </c>
      <c r="Y70" s="217">
        <f t="shared" si="42"/>
        <v>-0.5</v>
      </c>
      <c r="Z70" s="284">
        <v>46.6</v>
      </c>
      <c r="AA70" s="284">
        <v>45.3</v>
      </c>
      <c r="AB70" s="217">
        <f t="shared" si="43"/>
        <v>1.3000000000000043</v>
      </c>
      <c r="AC70" s="284">
        <v>44.5</v>
      </c>
      <c r="AD70" s="284">
        <v>48.2</v>
      </c>
      <c r="AE70" s="217">
        <f t="shared" si="44"/>
        <v>-3.7000000000000028</v>
      </c>
      <c r="AF70" s="284">
        <v>48.9</v>
      </c>
      <c r="AG70" s="284">
        <v>46.9</v>
      </c>
      <c r="AH70" s="217">
        <f t="shared" si="45"/>
        <v>2</v>
      </c>
      <c r="AI70" s="284">
        <v>48.2</v>
      </c>
      <c r="AJ70" s="284">
        <v>49.6</v>
      </c>
      <c r="AK70" s="217">
        <f t="shared" si="46"/>
        <v>-1.3999999999999986</v>
      </c>
      <c r="AL70" s="284">
        <v>48.3</v>
      </c>
      <c r="AM70" s="284">
        <v>55</v>
      </c>
      <c r="AN70" s="217">
        <f t="shared" si="47"/>
        <v>-6.7000000000000028</v>
      </c>
      <c r="AO70" s="284">
        <v>55</v>
      </c>
      <c r="AP70" s="284">
        <v>50.1</v>
      </c>
      <c r="AQ70" s="217">
        <f t="shared" si="48"/>
        <v>4.8999999999999986</v>
      </c>
      <c r="AR70" s="284">
        <v>48.8</v>
      </c>
      <c r="AS70" s="284">
        <v>49.3</v>
      </c>
      <c r="AT70" s="217">
        <f t="shared" si="49"/>
        <v>-0.5</v>
      </c>
      <c r="AU70" s="284">
        <v>50.5</v>
      </c>
      <c r="AV70" s="284">
        <v>48.3</v>
      </c>
      <c r="AW70" s="217">
        <f t="shared" si="50"/>
        <v>2.2000000000000028</v>
      </c>
    </row>
    <row r="71" spans="1:49" s="293" customFormat="1" x14ac:dyDescent="0.25">
      <c r="A71" s="296" t="s">
        <v>66</v>
      </c>
      <c r="B71" s="217"/>
      <c r="C71" s="217"/>
      <c r="D71" s="217" t="str">
        <f t="shared" si="35"/>
        <v>-</v>
      </c>
      <c r="E71" s="217"/>
      <c r="F71" s="217"/>
      <c r="G71" s="217" t="str">
        <f t="shared" si="36"/>
        <v>-</v>
      </c>
      <c r="H71" s="297">
        <v>48.4</v>
      </c>
      <c r="I71" s="297">
        <v>47.9</v>
      </c>
      <c r="J71" s="217">
        <f t="shared" si="37"/>
        <v>0.5</v>
      </c>
      <c r="K71" s="217">
        <v>0.79999999999999716</v>
      </c>
      <c r="L71" s="217">
        <v>0.80000000000000426</v>
      </c>
      <c r="M71" s="217">
        <f t="shared" si="38"/>
        <v>-7.1054273576010019E-15</v>
      </c>
      <c r="N71" s="217">
        <v>48.5</v>
      </c>
      <c r="O71" s="217">
        <v>48.9</v>
      </c>
      <c r="P71" s="217">
        <f t="shared" si="39"/>
        <v>-0.39999999999999858</v>
      </c>
      <c r="Q71" s="217">
        <v>49.8</v>
      </c>
      <c r="R71" s="217">
        <v>51.2</v>
      </c>
      <c r="S71" s="217">
        <f t="shared" si="40"/>
        <v>-1.4000000000000057</v>
      </c>
      <c r="T71" s="217">
        <v>49.6</v>
      </c>
      <c r="U71" s="217">
        <v>48.7</v>
      </c>
      <c r="V71" s="217">
        <f t="shared" si="41"/>
        <v>0.89999999999999858</v>
      </c>
      <c r="W71" s="217">
        <v>48.9</v>
      </c>
      <c r="X71" s="217">
        <v>47.4</v>
      </c>
      <c r="Y71" s="217">
        <f t="shared" si="42"/>
        <v>1.5</v>
      </c>
      <c r="Z71" s="217">
        <v>47.9</v>
      </c>
      <c r="AA71" s="217">
        <v>46.6</v>
      </c>
      <c r="AB71" s="217">
        <f t="shared" si="43"/>
        <v>1.2999999999999972</v>
      </c>
      <c r="AC71" s="217">
        <v>45.3</v>
      </c>
      <c r="AD71" s="217">
        <v>48.9</v>
      </c>
      <c r="AE71" s="217">
        <f t="shared" si="44"/>
        <v>-3.6000000000000014</v>
      </c>
      <c r="AF71" s="217">
        <v>49.3</v>
      </c>
      <c r="AG71" s="217">
        <v>48.2</v>
      </c>
      <c r="AH71" s="217">
        <f t="shared" si="45"/>
        <v>1.0999999999999943</v>
      </c>
      <c r="AI71" s="217">
        <v>46.9</v>
      </c>
      <c r="AJ71" s="217">
        <v>51.4</v>
      </c>
      <c r="AK71" s="217">
        <f t="shared" si="46"/>
        <v>-4.5</v>
      </c>
      <c r="AL71" s="217"/>
      <c r="AM71" s="217"/>
      <c r="AN71" s="217" t="str">
        <f t="shared" si="47"/>
        <v>-</v>
      </c>
      <c r="AO71" s="217">
        <v>55</v>
      </c>
      <c r="AP71" s="217">
        <v>55</v>
      </c>
      <c r="AQ71" s="217">
        <f t="shared" si="48"/>
        <v>0</v>
      </c>
      <c r="AR71" s="217">
        <v>49.6</v>
      </c>
      <c r="AS71" s="217">
        <v>48.8</v>
      </c>
      <c r="AT71" s="217">
        <f t="shared" si="49"/>
        <v>0.80000000000000426</v>
      </c>
      <c r="AU71" s="217">
        <v>51.3</v>
      </c>
      <c r="AV71" s="217">
        <v>50.5</v>
      </c>
      <c r="AW71" s="217">
        <f t="shared" si="50"/>
        <v>0.79999999999999716</v>
      </c>
    </row>
    <row r="72" spans="1:49" s="293" customFormat="1" x14ac:dyDescent="0.25">
      <c r="A72" s="283" t="s">
        <v>67</v>
      </c>
      <c r="B72" s="284"/>
      <c r="C72" s="284"/>
      <c r="D72" s="217" t="str">
        <f t="shared" si="35"/>
        <v>-</v>
      </c>
      <c r="E72" s="284"/>
      <c r="F72" s="284"/>
      <c r="G72" s="217" t="str">
        <f t="shared" si="36"/>
        <v>-</v>
      </c>
      <c r="H72" s="295">
        <v>49.2</v>
      </c>
      <c r="I72" s="295">
        <v>49.6</v>
      </c>
      <c r="J72" s="217">
        <f t="shared" si="37"/>
        <v>-0.39999999999999858</v>
      </c>
      <c r="K72" s="284">
        <v>0.80000000000000426</v>
      </c>
      <c r="L72" s="284">
        <v>-1.7000000000000028</v>
      </c>
      <c r="M72" s="217">
        <f t="shared" si="38"/>
        <v>2.5000000000000071</v>
      </c>
      <c r="N72" s="284">
        <v>51.5</v>
      </c>
      <c r="O72" s="284">
        <v>54.3</v>
      </c>
      <c r="P72" s="217">
        <f t="shared" si="39"/>
        <v>-2.7999999999999972</v>
      </c>
      <c r="Q72" s="284">
        <v>51.9</v>
      </c>
      <c r="R72" s="284">
        <v>51.4</v>
      </c>
      <c r="S72" s="217">
        <f t="shared" si="40"/>
        <v>0.5</v>
      </c>
      <c r="T72" s="284">
        <v>51.4</v>
      </c>
      <c r="U72" s="284">
        <v>50.5</v>
      </c>
      <c r="V72" s="217">
        <f t="shared" si="41"/>
        <v>0.89999999999999858</v>
      </c>
      <c r="W72" s="284">
        <v>50.5</v>
      </c>
      <c r="X72" s="284">
        <v>49.5</v>
      </c>
      <c r="Y72" s="217">
        <f t="shared" si="42"/>
        <v>1</v>
      </c>
      <c r="Z72" s="284">
        <v>49.5</v>
      </c>
      <c r="AA72" s="284">
        <v>49.7</v>
      </c>
      <c r="AB72" s="217">
        <f t="shared" si="43"/>
        <v>-0.20000000000000284</v>
      </c>
      <c r="AC72" s="284">
        <v>49.7</v>
      </c>
      <c r="AD72" s="284">
        <v>53.3</v>
      </c>
      <c r="AE72" s="217">
        <f t="shared" si="44"/>
        <v>-3.5999999999999943</v>
      </c>
      <c r="AF72" s="284">
        <v>53.3</v>
      </c>
      <c r="AG72" s="284">
        <v>53.1</v>
      </c>
      <c r="AH72" s="217">
        <f t="shared" si="45"/>
        <v>0.19999999999999574</v>
      </c>
      <c r="AI72" s="284">
        <v>53.1</v>
      </c>
      <c r="AJ72" s="284">
        <v>53</v>
      </c>
      <c r="AK72" s="217">
        <f t="shared" si="46"/>
        <v>0.10000000000000142</v>
      </c>
      <c r="AL72" s="284"/>
      <c r="AM72" s="284"/>
      <c r="AN72" s="217" t="str">
        <f t="shared" si="47"/>
        <v>-</v>
      </c>
      <c r="AO72" s="284">
        <v>50.5</v>
      </c>
      <c r="AP72" s="284">
        <v>51</v>
      </c>
      <c r="AQ72" s="217">
        <f t="shared" si="48"/>
        <v>-0.5</v>
      </c>
      <c r="AR72" s="284">
        <v>52.3</v>
      </c>
      <c r="AS72" s="284">
        <v>54</v>
      </c>
      <c r="AT72" s="217">
        <f t="shared" si="49"/>
        <v>-1.7000000000000028</v>
      </c>
      <c r="AU72" s="284">
        <v>52.2</v>
      </c>
      <c r="AV72" s="284">
        <v>51.4</v>
      </c>
      <c r="AW72" s="217">
        <f t="shared" si="50"/>
        <v>0.80000000000000426</v>
      </c>
    </row>
    <row r="73" spans="1:49" s="293" customFormat="1" x14ac:dyDescent="0.25">
      <c r="A73" s="283" t="s">
        <v>68</v>
      </c>
      <c r="B73" s="284"/>
      <c r="C73" s="284"/>
      <c r="D73" s="217" t="str">
        <f t="shared" si="35"/>
        <v>-</v>
      </c>
      <c r="E73" s="284"/>
      <c r="F73" s="284"/>
      <c r="G73" s="217" t="str">
        <f t="shared" si="36"/>
        <v>-</v>
      </c>
      <c r="H73" s="295">
        <v>53.5</v>
      </c>
      <c r="I73" s="295">
        <v>57.1</v>
      </c>
      <c r="J73" s="217">
        <f t="shared" si="37"/>
        <v>-3.6000000000000014</v>
      </c>
      <c r="K73" s="284">
        <v>-1.8999999999999986</v>
      </c>
      <c r="L73" s="284">
        <v>-0.10000000000000142</v>
      </c>
      <c r="M73" s="217">
        <f t="shared" si="38"/>
        <v>-1.7999999999999972</v>
      </c>
      <c r="N73" s="284">
        <v>54.3</v>
      </c>
      <c r="O73" s="284">
        <v>5.2</v>
      </c>
      <c r="P73" s="217">
        <f t="shared" si="39"/>
        <v>49.099999999999994</v>
      </c>
      <c r="Q73" s="284">
        <v>53.2</v>
      </c>
      <c r="R73" s="284">
        <v>51.9</v>
      </c>
      <c r="S73" s="217">
        <f t="shared" si="40"/>
        <v>1.3000000000000043</v>
      </c>
      <c r="T73" s="284">
        <v>51.9</v>
      </c>
      <c r="U73" s="284">
        <v>51.3</v>
      </c>
      <c r="V73" s="217">
        <f t="shared" si="41"/>
        <v>0.60000000000000142</v>
      </c>
      <c r="W73" s="284">
        <v>51.3</v>
      </c>
      <c r="X73" s="284">
        <v>54.7</v>
      </c>
      <c r="Y73" s="217">
        <f t="shared" si="42"/>
        <v>-3.4000000000000057</v>
      </c>
      <c r="Z73" s="284">
        <v>54.7</v>
      </c>
      <c r="AA73" s="284">
        <v>56.2</v>
      </c>
      <c r="AB73" s="217">
        <f t="shared" si="43"/>
        <v>-1.5</v>
      </c>
      <c r="AC73" s="284">
        <v>56.3</v>
      </c>
      <c r="AD73" s="284">
        <v>54.9</v>
      </c>
      <c r="AE73" s="217">
        <f t="shared" si="44"/>
        <v>1.3999999999999986</v>
      </c>
      <c r="AF73" s="284">
        <v>57.3</v>
      </c>
      <c r="AG73" s="284">
        <v>53.1</v>
      </c>
      <c r="AH73" s="217">
        <f t="shared" si="45"/>
        <v>4.1999999999999957</v>
      </c>
      <c r="AI73" s="284">
        <v>53.1</v>
      </c>
      <c r="AJ73" s="284">
        <v>54.9</v>
      </c>
      <c r="AK73" s="217">
        <f t="shared" si="46"/>
        <v>-1.7999999999999972</v>
      </c>
      <c r="AL73" s="284"/>
      <c r="AM73" s="284"/>
      <c r="AN73" s="217" t="str">
        <f t="shared" si="47"/>
        <v>-</v>
      </c>
      <c r="AO73" s="284">
        <v>54.6</v>
      </c>
      <c r="AP73" s="284">
        <v>53.9</v>
      </c>
      <c r="AQ73" s="217">
        <f t="shared" si="48"/>
        <v>0.70000000000000284</v>
      </c>
      <c r="AR73" s="284">
        <v>56.8</v>
      </c>
      <c r="AS73" s="284">
        <v>56.9</v>
      </c>
      <c r="AT73" s="217">
        <f t="shared" si="49"/>
        <v>-0.10000000000000142</v>
      </c>
      <c r="AU73" s="284">
        <v>54.2</v>
      </c>
      <c r="AV73" s="284">
        <v>56.1</v>
      </c>
      <c r="AW73" s="217">
        <f t="shared" si="50"/>
        <v>-1.8999999999999986</v>
      </c>
    </row>
    <row r="74" spans="1:49" s="293" customFormat="1" x14ac:dyDescent="0.25">
      <c r="A74" s="283" t="s">
        <v>69</v>
      </c>
      <c r="B74" s="284"/>
      <c r="C74" s="284"/>
      <c r="D74" s="217" t="str">
        <f t="shared" si="35"/>
        <v>-</v>
      </c>
      <c r="E74" s="284"/>
      <c r="F74" s="284"/>
      <c r="G74" s="217" t="str">
        <f t="shared" si="36"/>
        <v>-</v>
      </c>
      <c r="H74" s="295">
        <v>48.1</v>
      </c>
      <c r="I74" s="295">
        <v>47.9</v>
      </c>
      <c r="J74" s="217">
        <f t="shared" si="37"/>
        <v>0.20000000000000284</v>
      </c>
      <c r="K74" s="284">
        <v>-3.1000000000000014</v>
      </c>
      <c r="L74" s="284">
        <v>0.10000000000000142</v>
      </c>
      <c r="M74" s="217">
        <f t="shared" si="38"/>
        <v>-3.2000000000000028</v>
      </c>
      <c r="N74" s="284">
        <v>49</v>
      </c>
      <c r="O74" s="284">
        <v>50.4</v>
      </c>
      <c r="P74" s="217">
        <f t="shared" si="39"/>
        <v>-1.3999999999999986</v>
      </c>
      <c r="Q74" s="284">
        <v>49.8</v>
      </c>
      <c r="R74" s="284">
        <v>48.4</v>
      </c>
      <c r="S74" s="217">
        <f t="shared" si="40"/>
        <v>1.3999999999999986</v>
      </c>
      <c r="T74" s="284">
        <v>48.4</v>
      </c>
      <c r="U74" s="284">
        <v>49.2</v>
      </c>
      <c r="V74" s="217">
        <f t="shared" si="41"/>
        <v>-0.80000000000000426</v>
      </c>
      <c r="W74" s="284">
        <v>49.2</v>
      </c>
      <c r="X74" s="284">
        <v>46.6</v>
      </c>
      <c r="Y74" s="217">
        <f t="shared" si="42"/>
        <v>2.6000000000000014</v>
      </c>
      <c r="Z74" s="284">
        <v>46.6</v>
      </c>
      <c r="AA74" s="284">
        <v>47.4</v>
      </c>
      <c r="AB74" s="217">
        <f t="shared" si="43"/>
        <v>-0.79999999999999716</v>
      </c>
      <c r="AC74" s="284">
        <v>47.4</v>
      </c>
      <c r="AD74" s="284">
        <v>46.2</v>
      </c>
      <c r="AE74" s="217">
        <f t="shared" si="44"/>
        <v>1.1999999999999957</v>
      </c>
      <c r="AF74" s="284">
        <v>46.2</v>
      </c>
      <c r="AG74" s="284">
        <v>44.5</v>
      </c>
      <c r="AH74" s="217">
        <f t="shared" si="45"/>
        <v>1.7000000000000028</v>
      </c>
      <c r="AI74" s="284">
        <v>44.5</v>
      </c>
      <c r="AJ74" s="284">
        <v>48.3</v>
      </c>
      <c r="AK74" s="217">
        <f t="shared" si="46"/>
        <v>-3.7999999999999972</v>
      </c>
      <c r="AL74" s="284"/>
      <c r="AM74" s="284"/>
      <c r="AN74" s="217" t="str">
        <f t="shared" si="47"/>
        <v>-</v>
      </c>
      <c r="AO74" s="284">
        <v>49.4</v>
      </c>
      <c r="AP74" s="284">
        <v>47.4</v>
      </c>
      <c r="AQ74" s="217">
        <f t="shared" si="48"/>
        <v>2</v>
      </c>
      <c r="AR74" s="284">
        <v>45.7</v>
      </c>
      <c r="AS74" s="284">
        <v>45.6</v>
      </c>
      <c r="AT74" s="217">
        <f t="shared" si="49"/>
        <v>0.10000000000000142</v>
      </c>
      <c r="AU74" s="284">
        <v>47.3</v>
      </c>
      <c r="AV74" s="284">
        <v>50.4</v>
      </c>
      <c r="AW74" s="217">
        <f t="shared" si="50"/>
        <v>-3.1000000000000014</v>
      </c>
    </row>
    <row r="75" spans="1:49" s="293" customFormat="1" x14ac:dyDescent="0.25">
      <c r="A75" s="283" t="s">
        <v>70</v>
      </c>
      <c r="B75" s="284"/>
      <c r="C75" s="284"/>
      <c r="D75" s="217" t="str">
        <f t="shared" si="35"/>
        <v>-</v>
      </c>
      <c r="E75" s="284"/>
      <c r="F75" s="284"/>
      <c r="G75" s="217" t="str">
        <f t="shared" si="36"/>
        <v>-</v>
      </c>
      <c r="H75" s="295">
        <v>52.9</v>
      </c>
      <c r="I75" s="295">
        <v>51.5</v>
      </c>
      <c r="J75" s="217">
        <f t="shared" si="37"/>
        <v>1.3999999999999986</v>
      </c>
      <c r="K75" s="284">
        <v>-0.30000000000000426</v>
      </c>
      <c r="L75" s="284">
        <v>-0.5</v>
      </c>
      <c r="M75" s="217">
        <f t="shared" si="38"/>
        <v>0.19999999999999574</v>
      </c>
      <c r="N75" s="284">
        <v>52.5</v>
      </c>
      <c r="O75" s="284">
        <v>51.5</v>
      </c>
      <c r="P75" s="217">
        <f t="shared" si="39"/>
        <v>1</v>
      </c>
      <c r="Q75" s="284">
        <v>51.5</v>
      </c>
      <c r="R75" s="284">
        <v>52.1</v>
      </c>
      <c r="S75" s="217">
        <f t="shared" si="40"/>
        <v>-0.60000000000000142</v>
      </c>
      <c r="T75" s="284">
        <v>52.1</v>
      </c>
      <c r="U75" s="284">
        <v>53.2</v>
      </c>
      <c r="V75" s="217">
        <f t="shared" si="41"/>
        <v>-1.1000000000000014</v>
      </c>
      <c r="W75" s="284">
        <v>53.2</v>
      </c>
      <c r="X75" s="284">
        <v>52</v>
      </c>
      <c r="Y75" s="217">
        <f t="shared" si="42"/>
        <v>1.2000000000000028</v>
      </c>
      <c r="Z75" s="284">
        <v>52</v>
      </c>
      <c r="AA75" s="284">
        <v>53</v>
      </c>
      <c r="AB75" s="217">
        <f t="shared" si="43"/>
        <v>-1</v>
      </c>
      <c r="AC75" s="284">
        <v>53</v>
      </c>
      <c r="AD75" s="284">
        <v>50.4</v>
      </c>
      <c r="AE75" s="217">
        <f t="shared" si="44"/>
        <v>2.6000000000000014</v>
      </c>
      <c r="AF75" s="284">
        <v>50.7</v>
      </c>
      <c r="AG75" s="284">
        <v>49.2</v>
      </c>
      <c r="AH75" s="217">
        <f t="shared" si="45"/>
        <v>1.5</v>
      </c>
      <c r="AI75" s="284">
        <v>49.2</v>
      </c>
      <c r="AJ75" s="284">
        <v>52.4</v>
      </c>
      <c r="AK75" s="217">
        <f t="shared" si="46"/>
        <v>-3.1999999999999957</v>
      </c>
      <c r="AL75" s="284"/>
      <c r="AM75" s="284"/>
      <c r="AN75" s="217" t="str">
        <f t="shared" si="47"/>
        <v>-</v>
      </c>
      <c r="AO75" s="284">
        <v>51.4</v>
      </c>
      <c r="AP75" s="284">
        <v>51.7</v>
      </c>
      <c r="AQ75" s="217">
        <f t="shared" si="48"/>
        <v>-0.30000000000000426</v>
      </c>
      <c r="AR75" s="284">
        <v>53.7</v>
      </c>
      <c r="AS75" s="284">
        <v>54.2</v>
      </c>
      <c r="AT75" s="217">
        <f t="shared" si="49"/>
        <v>-0.5</v>
      </c>
      <c r="AU75" s="284">
        <v>54.3</v>
      </c>
      <c r="AV75" s="284">
        <v>54.6</v>
      </c>
      <c r="AW75" s="217">
        <f t="shared" si="50"/>
        <v>-0.30000000000000426</v>
      </c>
    </row>
    <row r="76" spans="1:49" s="293" customFormat="1" x14ac:dyDescent="0.25">
      <c r="A76" s="283" t="s">
        <v>71</v>
      </c>
      <c r="B76" s="284"/>
      <c r="C76" s="284"/>
      <c r="D76" s="217" t="str">
        <f t="shared" si="35"/>
        <v>-</v>
      </c>
      <c r="E76" s="284"/>
      <c r="F76" s="284"/>
      <c r="G76" s="217" t="str">
        <f t="shared" si="36"/>
        <v>-</v>
      </c>
      <c r="H76" s="295"/>
      <c r="I76" s="295"/>
      <c r="J76" s="217" t="str">
        <f t="shared" si="37"/>
        <v>-</v>
      </c>
      <c r="K76" s="284">
        <v>2.6999999999999993</v>
      </c>
      <c r="L76" s="284">
        <v>-3.5999999999999979</v>
      </c>
      <c r="M76" s="217">
        <f t="shared" si="38"/>
        <v>6.2999999999999972</v>
      </c>
      <c r="N76" s="284">
        <v>17.2</v>
      </c>
      <c r="O76" s="284">
        <v>16.3</v>
      </c>
      <c r="P76" s="217">
        <f t="shared" si="39"/>
        <v>0.89999999999999858</v>
      </c>
      <c r="Q76" s="284">
        <v>14.9</v>
      </c>
      <c r="R76" s="284">
        <v>18.5</v>
      </c>
      <c r="S76" s="217">
        <f t="shared" si="40"/>
        <v>-3.5999999999999996</v>
      </c>
      <c r="T76" s="284">
        <v>18.399999999999999</v>
      </c>
      <c r="U76" s="284">
        <v>21.3</v>
      </c>
      <c r="V76" s="217">
        <f t="shared" si="41"/>
        <v>-2.9000000000000021</v>
      </c>
      <c r="W76" s="284">
        <v>21.1</v>
      </c>
      <c r="X76" s="284">
        <v>18</v>
      </c>
      <c r="Y76" s="217">
        <f t="shared" si="42"/>
        <v>3.1000000000000014</v>
      </c>
      <c r="Z76" s="284">
        <v>17.7</v>
      </c>
      <c r="AA76" s="284">
        <v>20.7</v>
      </c>
      <c r="AB76" s="217">
        <f t="shared" si="43"/>
        <v>-3</v>
      </c>
      <c r="AC76" s="284">
        <v>20.7</v>
      </c>
      <c r="AD76" s="284">
        <v>19.2</v>
      </c>
      <c r="AE76" s="217">
        <f t="shared" si="44"/>
        <v>1.5</v>
      </c>
      <c r="AF76" s="284">
        <v>19.7</v>
      </c>
      <c r="AG76" s="284">
        <v>13.4</v>
      </c>
      <c r="AH76" s="217">
        <f t="shared" si="45"/>
        <v>6.2999999999999989</v>
      </c>
      <c r="AI76" s="284">
        <v>13.4</v>
      </c>
      <c r="AJ76" s="284">
        <v>21.4</v>
      </c>
      <c r="AK76" s="217">
        <f t="shared" si="46"/>
        <v>-7.9999999999999982</v>
      </c>
      <c r="AL76" s="284">
        <v>22.5</v>
      </c>
      <c r="AM76" s="284">
        <v>16.899999999999999</v>
      </c>
      <c r="AN76" s="217">
        <f t="shared" si="47"/>
        <v>5.6000000000000014</v>
      </c>
      <c r="AO76" s="284">
        <v>16.8</v>
      </c>
      <c r="AP76" s="284">
        <v>20.399999999999999</v>
      </c>
      <c r="AQ76" s="217">
        <f t="shared" si="48"/>
        <v>-3.5999999999999979</v>
      </c>
      <c r="AR76" s="284">
        <v>24.9</v>
      </c>
      <c r="AS76" s="284">
        <v>22.2</v>
      </c>
      <c r="AT76" s="217">
        <f t="shared" si="49"/>
        <v>2.6999999999999993</v>
      </c>
      <c r="AU76" s="284"/>
      <c r="AV76" s="284"/>
      <c r="AW76" s="217" t="str">
        <f t="shared" si="50"/>
        <v>-</v>
      </c>
    </row>
    <row r="77" spans="1:49" s="293" customFormat="1" x14ac:dyDescent="0.25">
      <c r="A77" s="283" t="s">
        <v>72</v>
      </c>
      <c r="B77" s="284"/>
      <c r="C77" s="284"/>
      <c r="D77" s="217" t="str">
        <f t="shared" si="35"/>
        <v>-</v>
      </c>
      <c r="E77" s="284">
        <v>-4.8</v>
      </c>
      <c r="F77" s="284">
        <v>-4</v>
      </c>
      <c r="G77" s="217">
        <f t="shared" si="36"/>
        <v>-0.79999999999999982</v>
      </c>
      <c r="H77" s="295"/>
      <c r="I77" s="295"/>
      <c r="J77" s="217" t="str">
        <f t="shared" si="37"/>
        <v>-</v>
      </c>
      <c r="K77" s="284">
        <v>9.9999999999999645E-2</v>
      </c>
      <c r="L77" s="284">
        <v>-1.2000000000000011</v>
      </c>
      <c r="M77" s="217">
        <f t="shared" si="38"/>
        <v>1.3000000000000007</v>
      </c>
      <c r="N77" s="284">
        <v>-5.5</v>
      </c>
      <c r="O77" s="284">
        <v>-5.7</v>
      </c>
      <c r="P77" s="217">
        <f t="shared" si="39"/>
        <v>0.20000000000000018</v>
      </c>
      <c r="Q77" s="284">
        <v>-5.6</v>
      </c>
      <c r="R77" s="284">
        <v>-7.6</v>
      </c>
      <c r="S77" s="217">
        <f t="shared" si="40"/>
        <v>2</v>
      </c>
      <c r="T77" s="284">
        <v>-7.8</v>
      </c>
      <c r="U77" s="284">
        <v>-6.3</v>
      </c>
      <c r="V77" s="217">
        <f t="shared" si="41"/>
        <v>-1.5</v>
      </c>
      <c r="W77" s="284">
        <v>-6.2</v>
      </c>
      <c r="X77" s="284">
        <v>-7.7</v>
      </c>
      <c r="Y77" s="217">
        <f t="shared" si="42"/>
        <v>1.5</v>
      </c>
      <c r="Z77" s="284">
        <v>-7.9</v>
      </c>
      <c r="AA77" s="284">
        <v>-3.5</v>
      </c>
      <c r="AB77" s="217">
        <f t="shared" si="43"/>
        <v>-4.4000000000000004</v>
      </c>
      <c r="AC77" s="284">
        <v>-3.9</v>
      </c>
      <c r="AD77" s="284">
        <v>-6.3</v>
      </c>
      <c r="AE77" s="217">
        <f t="shared" si="44"/>
        <v>2.4</v>
      </c>
      <c r="AF77" s="284">
        <v>-7.1</v>
      </c>
      <c r="AG77" s="284">
        <v>-7.5</v>
      </c>
      <c r="AH77" s="217">
        <f t="shared" si="45"/>
        <v>0.40000000000000036</v>
      </c>
      <c r="AI77" s="284">
        <v>-7.7</v>
      </c>
      <c r="AJ77" s="284">
        <v>-7.7</v>
      </c>
      <c r="AK77" s="217">
        <f t="shared" si="46"/>
        <v>0</v>
      </c>
      <c r="AL77" s="284"/>
      <c r="AM77" s="284"/>
      <c r="AN77" s="217" t="str">
        <f t="shared" si="47"/>
        <v>-</v>
      </c>
      <c r="AO77" s="284">
        <v>-5.9</v>
      </c>
      <c r="AP77" s="284">
        <v>-6</v>
      </c>
      <c r="AQ77" s="217">
        <f t="shared" si="48"/>
        <v>9.9999999999999645E-2</v>
      </c>
      <c r="AR77" s="298">
        <v>-8.8000000000000007</v>
      </c>
      <c r="AS77" s="298">
        <v>-7.6</v>
      </c>
      <c r="AT77" s="217">
        <f t="shared" si="49"/>
        <v>-1.2000000000000011</v>
      </c>
      <c r="AU77" s="284">
        <v>-5.5</v>
      </c>
      <c r="AV77" s="284">
        <v>-5.6</v>
      </c>
      <c r="AW77" s="217">
        <f t="shared" si="50"/>
        <v>9.9999999999999645E-2</v>
      </c>
    </row>
    <row r="78" spans="1:49" s="293" customFormat="1" x14ac:dyDescent="0.25">
      <c r="A78" s="283" t="s">
        <v>73</v>
      </c>
      <c r="B78" s="284"/>
      <c r="C78" s="284"/>
      <c r="D78" s="217" t="str">
        <f t="shared" si="35"/>
        <v>-</v>
      </c>
      <c r="E78" s="284"/>
      <c r="F78" s="284"/>
      <c r="G78" s="217" t="str">
        <f t="shared" si="36"/>
        <v>-</v>
      </c>
      <c r="H78" s="295"/>
      <c r="I78" s="295"/>
      <c r="J78" s="217" t="str">
        <f t="shared" si="37"/>
        <v>-</v>
      </c>
      <c r="K78" s="284">
        <v>3.5</v>
      </c>
      <c r="L78" s="284">
        <v>1.63</v>
      </c>
      <c r="M78" s="217">
        <f t="shared" si="38"/>
        <v>1.87</v>
      </c>
      <c r="N78" s="284">
        <v>2.0499999999999998</v>
      </c>
      <c r="O78" s="284">
        <v>5.38</v>
      </c>
      <c r="P78" s="217">
        <f t="shared" si="39"/>
        <v>-3.33</v>
      </c>
      <c r="Q78" s="284">
        <v>7.91</v>
      </c>
      <c r="R78" s="284">
        <v>6.16</v>
      </c>
      <c r="S78" s="217">
        <f t="shared" si="40"/>
        <v>1.75</v>
      </c>
      <c r="T78" s="284">
        <v>6.16</v>
      </c>
      <c r="U78" s="284">
        <v>4.71</v>
      </c>
      <c r="V78" s="217">
        <f t="shared" si="41"/>
        <v>1.4500000000000002</v>
      </c>
      <c r="W78" s="284">
        <v>3.66</v>
      </c>
      <c r="X78" s="284">
        <v>-0.26</v>
      </c>
      <c r="Y78" s="217">
        <f t="shared" si="42"/>
        <v>3.92</v>
      </c>
      <c r="Z78" s="284">
        <v>-0.26</v>
      </c>
      <c r="AA78" s="284">
        <v>5.82</v>
      </c>
      <c r="AB78" s="217">
        <f t="shared" si="43"/>
        <v>-6.08</v>
      </c>
      <c r="AC78" s="284">
        <v>5.98</v>
      </c>
      <c r="AD78" s="284">
        <v>4</v>
      </c>
      <c r="AE78" s="217">
        <f t="shared" si="44"/>
        <v>1.9800000000000004</v>
      </c>
      <c r="AF78" s="284">
        <v>4.22</v>
      </c>
      <c r="AG78" s="284">
        <v>2.58</v>
      </c>
      <c r="AH78" s="217">
        <f t="shared" si="45"/>
        <v>1.6399999999999997</v>
      </c>
      <c r="AI78" s="284">
        <v>2.58</v>
      </c>
      <c r="AJ78" s="284">
        <v>1.34</v>
      </c>
      <c r="AK78" s="217">
        <f t="shared" si="46"/>
        <v>1.24</v>
      </c>
      <c r="AL78" s="284">
        <v>1.43</v>
      </c>
      <c r="AM78" s="284">
        <v>6.82</v>
      </c>
      <c r="AN78" s="217">
        <f t="shared" si="47"/>
        <v>-5.3900000000000006</v>
      </c>
      <c r="AO78" s="284">
        <v>5.07</v>
      </c>
      <c r="AP78" s="284">
        <v>6.38</v>
      </c>
      <c r="AQ78" s="217">
        <f t="shared" si="48"/>
        <v>-1.3099999999999996</v>
      </c>
      <c r="AR78" s="284">
        <v>6.43</v>
      </c>
      <c r="AS78" s="284">
        <v>4.8</v>
      </c>
      <c r="AT78" s="217">
        <f t="shared" si="49"/>
        <v>1.63</v>
      </c>
      <c r="AU78" s="284">
        <v>6</v>
      </c>
      <c r="AV78" s="284">
        <v>2.5</v>
      </c>
      <c r="AW78" s="217">
        <f t="shared" si="50"/>
        <v>3.5</v>
      </c>
    </row>
    <row r="79" spans="1:49" s="252" customFormat="1" x14ac:dyDescent="0.25">
      <c r="A79" s="269" t="s">
        <v>74</v>
      </c>
      <c r="B79" s="270"/>
      <c r="C79" s="270"/>
      <c r="D79" s="226" t="str">
        <f t="shared" si="35"/>
        <v>-</v>
      </c>
      <c r="E79" s="270"/>
      <c r="F79" s="270"/>
      <c r="G79" s="226" t="str">
        <f t="shared" si="36"/>
        <v>-</v>
      </c>
      <c r="H79" s="271">
        <v>0.03</v>
      </c>
      <c r="I79" s="271">
        <v>2.9000000000000001E-2</v>
      </c>
      <c r="J79" s="226">
        <f t="shared" si="37"/>
        <v>9.9999999999999742E-4</v>
      </c>
      <c r="K79" s="270">
        <v>-1E-3</v>
      </c>
      <c r="L79" s="270">
        <v>1E-3</v>
      </c>
      <c r="M79" s="226">
        <f t="shared" si="38"/>
        <v>-2E-3</v>
      </c>
      <c r="N79" s="272">
        <v>2.5000000000000001E-2</v>
      </c>
      <c r="O79" s="272">
        <v>2.4E-2</v>
      </c>
      <c r="P79" s="226">
        <f t="shared" si="39"/>
        <v>1.0000000000000009E-3</v>
      </c>
      <c r="Q79" s="272">
        <v>2.4E-2</v>
      </c>
      <c r="R79" s="273">
        <v>0.02</v>
      </c>
      <c r="S79" s="226">
        <f t="shared" si="40"/>
        <v>4.0000000000000001E-3</v>
      </c>
      <c r="T79" s="273">
        <v>0.02</v>
      </c>
      <c r="U79" s="272">
        <v>1.9E-2</v>
      </c>
      <c r="V79" s="226">
        <f t="shared" si="41"/>
        <v>1.0000000000000009E-3</v>
      </c>
      <c r="W79" s="272">
        <v>1.9E-2</v>
      </c>
      <c r="X79" s="272">
        <v>1.7000000000000001E-2</v>
      </c>
      <c r="Y79" s="226">
        <f t="shared" si="42"/>
        <v>1.9999999999999983E-3</v>
      </c>
      <c r="Z79" s="272">
        <v>1.4999999999999999E-2</v>
      </c>
      <c r="AA79" s="272">
        <v>1.2999999999999999E-2</v>
      </c>
      <c r="AB79" s="226">
        <f t="shared" si="43"/>
        <v>2E-3</v>
      </c>
      <c r="AC79" s="272">
        <v>1.2999999999999999E-2</v>
      </c>
      <c r="AD79" s="272">
        <v>1.0999999999999999E-2</v>
      </c>
      <c r="AE79" s="226">
        <f t="shared" si="44"/>
        <v>2E-3</v>
      </c>
      <c r="AF79" s="272">
        <v>1.0999999999999999E-2</v>
      </c>
      <c r="AG79" s="272">
        <v>8.0000000000000002E-3</v>
      </c>
      <c r="AH79" s="226">
        <f t="shared" si="45"/>
        <v>2.9999999999999992E-3</v>
      </c>
      <c r="AI79" s="272">
        <v>8.0000000000000002E-3</v>
      </c>
      <c r="AJ79" s="272">
        <v>7.0000000000000001E-3</v>
      </c>
      <c r="AK79" s="226">
        <f t="shared" si="46"/>
        <v>1E-3</v>
      </c>
      <c r="AL79" s="270"/>
      <c r="AM79" s="270"/>
      <c r="AN79" s="226" t="str">
        <f t="shared" si="47"/>
        <v>-</v>
      </c>
      <c r="AO79" s="272">
        <v>5.0000000000000001E-3</v>
      </c>
      <c r="AP79" s="272">
        <v>3.0000000000000001E-3</v>
      </c>
      <c r="AQ79" s="226">
        <f t="shared" si="48"/>
        <v>2E-3</v>
      </c>
      <c r="AR79" s="272">
        <v>3.0000000000000001E-3</v>
      </c>
      <c r="AS79" s="272">
        <v>2E-3</v>
      </c>
      <c r="AT79" s="226">
        <f t="shared" si="49"/>
        <v>1E-3</v>
      </c>
      <c r="AU79" s="272">
        <v>2E-3</v>
      </c>
      <c r="AV79" s="272">
        <v>3.0000000000000001E-3</v>
      </c>
      <c r="AW79" s="226">
        <f t="shared" si="50"/>
        <v>-1E-3</v>
      </c>
    </row>
    <row r="80" spans="1:49" s="293" customFormat="1" x14ac:dyDescent="0.25">
      <c r="A80" s="283" t="s">
        <v>75</v>
      </c>
      <c r="B80" s="284"/>
      <c r="C80" s="284"/>
      <c r="D80" s="281" t="str">
        <f t="shared" si="35"/>
        <v>-</v>
      </c>
      <c r="E80" s="284"/>
      <c r="F80" s="284"/>
      <c r="G80" s="281" t="str">
        <f t="shared" si="36"/>
        <v>-</v>
      </c>
      <c r="H80" s="295">
        <v>87.6</v>
      </c>
      <c r="I80" s="295">
        <v>87.6</v>
      </c>
      <c r="J80" s="281">
        <f t="shared" si="37"/>
        <v>0</v>
      </c>
      <c r="K80" s="284">
        <v>1.5</v>
      </c>
      <c r="L80" s="284">
        <v>-0.70000000000000284</v>
      </c>
      <c r="M80" s="281">
        <f t="shared" si="38"/>
        <v>2.2000000000000028</v>
      </c>
      <c r="N80" s="284">
        <v>87.7</v>
      </c>
      <c r="O80" s="284">
        <v>88.9</v>
      </c>
      <c r="P80" s="281">
        <f t="shared" si="39"/>
        <v>-1.2000000000000028</v>
      </c>
      <c r="Q80" s="284">
        <v>89</v>
      </c>
      <c r="R80" s="284">
        <v>88.4</v>
      </c>
      <c r="S80" s="281">
        <f t="shared" si="40"/>
        <v>0.59999999999999432</v>
      </c>
      <c r="T80" s="284">
        <v>88.4</v>
      </c>
      <c r="U80" s="284">
        <v>87.5</v>
      </c>
      <c r="V80" s="281">
        <f t="shared" si="41"/>
        <v>0.90000000000000568</v>
      </c>
      <c r="W80" s="284">
        <v>87.5</v>
      </c>
      <c r="X80" s="284">
        <v>86.7</v>
      </c>
      <c r="Y80" s="281">
        <f t="shared" si="42"/>
        <v>0.79999999999999716</v>
      </c>
      <c r="Z80" s="284">
        <v>86.7</v>
      </c>
      <c r="AA80" s="284">
        <v>85.3</v>
      </c>
      <c r="AB80" s="281">
        <f t="shared" si="43"/>
        <v>1.4000000000000057</v>
      </c>
      <c r="AC80" s="284">
        <v>85.2</v>
      </c>
      <c r="AD80" s="284">
        <v>85.2</v>
      </c>
      <c r="AE80" s="281">
        <f t="shared" si="44"/>
        <v>0</v>
      </c>
      <c r="AF80" s="284">
        <v>85.1</v>
      </c>
      <c r="AG80" s="284">
        <v>85.6</v>
      </c>
      <c r="AH80" s="281">
        <f t="shared" si="45"/>
        <v>-0.5</v>
      </c>
      <c r="AI80" s="284">
        <v>85.7</v>
      </c>
      <c r="AJ80" s="284">
        <v>85.4</v>
      </c>
      <c r="AK80" s="281">
        <f t="shared" si="46"/>
        <v>0.29999999999999716</v>
      </c>
      <c r="AL80" s="284">
        <v>85.4</v>
      </c>
      <c r="AM80" s="284">
        <v>86.6</v>
      </c>
      <c r="AN80" s="281">
        <f t="shared" si="47"/>
        <v>-1.1999999999999886</v>
      </c>
      <c r="AO80" s="284">
        <v>86.6</v>
      </c>
      <c r="AP80" s="284">
        <v>87</v>
      </c>
      <c r="AQ80" s="281">
        <f t="shared" si="48"/>
        <v>-0.40000000000000568</v>
      </c>
      <c r="AR80" s="284">
        <v>88.6</v>
      </c>
      <c r="AS80" s="284">
        <v>89.3</v>
      </c>
      <c r="AT80" s="281">
        <f t="shared" si="49"/>
        <v>-0.70000000000000284</v>
      </c>
      <c r="AU80" s="284">
        <v>89.4</v>
      </c>
      <c r="AV80" s="284">
        <v>87.9</v>
      </c>
      <c r="AW80" s="281">
        <f t="shared" si="50"/>
        <v>1.5</v>
      </c>
    </row>
    <row r="81" spans="1:49" s="293" customFormat="1" x14ac:dyDescent="0.25">
      <c r="A81" s="283" t="s">
        <v>76</v>
      </c>
      <c r="B81" s="284"/>
      <c r="C81" s="284"/>
      <c r="D81" s="217" t="str">
        <f t="shared" si="35"/>
        <v>-</v>
      </c>
      <c r="E81" s="284"/>
      <c r="F81" s="284"/>
      <c r="G81" s="217" t="str">
        <f t="shared" si="36"/>
        <v>-</v>
      </c>
      <c r="H81" s="295"/>
      <c r="I81" s="295"/>
      <c r="J81" s="217" t="str">
        <f t="shared" si="37"/>
        <v>-</v>
      </c>
      <c r="K81" s="284">
        <v>2.3000000000000003</v>
      </c>
      <c r="L81" s="284">
        <v>-7.6</v>
      </c>
      <c r="M81" s="217">
        <f t="shared" si="38"/>
        <v>9.9</v>
      </c>
      <c r="N81" s="284">
        <v>-5.4</v>
      </c>
      <c r="O81" s="284">
        <v>-3.7</v>
      </c>
      <c r="P81" s="217">
        <f t="shared" si="39"/>
        <v>-1.7000000000000002</v>
      </c>
      <c r="Q81" s="284">
        <v>-9.1999999999999993</v>
      </c>
      <c r="R81" s="284">
        <v>4.5</v>
      </c>
      <c r="S81" s="217">
        <f t="shared" si="40"/>
        <v>-13.7</v>
      </c>
      <c r="T81" s="284">
        <v>4.5</v>
      </c>
      <c r="U81" s="284">
        <v>-8.1</v>
      </c>
      <c r="V81" s="217">
        <f t="shared" si="41"/>
        <v>12.6</v>
      </c>
      <c r="W81" s="284">
        <v>-8.1</v>
      </c>
      <c r="X81" s="284">
        <v>-19.5</v>
      </c>
      <c r="Y81" s="217">
        <f t="shared" si="42"/>
        <v>11.4</v>
      </c>
      <c r="Z81" s="284">
        <v>-19.5</v>
      </c>
      <c r="AA81" s="284">
        <v>-2.9</v>
      </c>
      <c r="AB81" s="217">
        <f t="shared" si="43"/>
        <v>-16.600000000000001</v>
      </c>
      <c r="AC81" s="284">
        <v>-12.7</v>
      </c>
      <c r="AD81" s="284">
        <v>-17.7</v>
      </c>
      <c r="AE81" s="217">
        <f t="shared" si="44"/>
        <v>5</v>
      </c>
      <c r="AF81" s="284">
        <v>-17.7</v>
      </c>
      <c r="AG81" s="284">
        <v>-17.5</v>
      </c>
      <c r="AH81" s="217">
        <f t="shared" si="45"/>
        <v>-0.19999999999999929</v>
      </c>
      <c r="AI81" s="284">
        <v>-17.5</v>
      </c>
      <c r="AJ81" s="284">
        <v>13.9</v>
      </c>
      <c r="AK81" s="217">
        <f t="shared" si="46"/>
        <v>-31.4</v>
      </c>
      <c r="AL81" s="284">
        <v>-13.8</v>
      </c>
      <c r="AM81" s="284">
        <v>-15.4</v>
      </c>
      <c r="AN81" s="217">
        <f t="shared" si="47"/>
        <v>1.5999999999999996</v>
      </c>
      <c r="AO81" s="284">
        <v>-13.9</v>
      </c>
      <c r="AP81" s="284">
        <v>-7.3</v>
      </c>
      <c r="AQ81" s="217">
        <f t="shared" si="48"/>
        <v>-6.6000000000000005</v>
      </c>
      <c r="AR81" s="284">
        <v>-7.3</v>
      </c>
      <c r="AS81" s="284">
        <v>0.3</v>
      </c>
      <c r="AT81" s="217">
        <f t="shared" si="49"/>
        <v>-7.6</v>
      </c>
      <c r="AU81" s="284">
        <v>-3.6</v>
      </c>
      <c r="AV81" s="284">
        <v>-5.9</v>
      </c>
      <c r="AW81" s="217">
        <f t="shared" si="50"/>
        <v>2.3000000000000003</v>
      </c>
    </row>
    <row r="82" spans="1:49" s="293" customFormat="1" x14ac:dyDescent="0.25">
      <c r="A82" s="283" t="s">
        <v>77</v>
      </c>
      <c r="B82" s="284"/>
      <c r="C82" s="284"/>
      <c r="D82" s="217" t="str">
        <f>IF(ISBLANK(B82),"-",B82-C82)</f>
        <v>-</v>
      </c>
      <c r="E82" s="284"/>
      <c r="F82" s="284"/>
      <c r="G82" s="217" t="str">
        <f>IF(ISBLANK(E82),"-",E82-F82)</f>
        <v>-</v>
      </c>
      <c r="H82" s="295">
        <v>-8.8000000000000007</v>
      </c>
      <c r="I82" s="295">
        <v>-11.9</v>
      </c>
      <c r="J82" s="217">
        <f>IF(ISBLANK(H82),"-",H82-I82)</f>
        <v>3.0999999999999996</v>
      </c>
      <c r="K82" s="284">
        <v>-1.5</v>
      </c>
      <c r="L82" s="284">
        <v>-9.9999999999999645E-2</v>
      </c>
      <c r="M82" s="217">
        <f>IF(ISBLANK(K82),"-",K82-L82)</f>
        <v>-1.4000000000000004</v>
      </c>
      <c r="N82" s="284">
        <v>-9.1</v>
      </c>
      <c r="O82" s="284">
        <v>-8.9</v>
      </c>
      <c r="P82" s="217">
        <f>IF(ISBLANK(N82),"-",N82-O82)</f>
        <v>-0.19999999999999929</v>
      </c>
      <c r="Q82" s="284">
        <v>-8.9</v>
      </c>
      <c r="R82" s="284">
        <v>-10.1</v>
      </c>
      <c r="S82" s="217">
        <f>IF(ISBLANK(Q82),"-",Q82-R82)</f>
        <v>1.1999999999999993</v>
      </c>
      <c r="T82" s="284">
        <v>-10.1</v>
      </c>
      <c r="U82" s="284">
        <v>-13.5</v>
      </c>
      <c r="V82" s="217">
        <f>IF(ISBLANK(T82),"-",T82-U82)</f>
        <v>3.4000000000000004</v>
      </c>
      <c r="W82" s="284">
        <v>-13.5</v>
      </c>
      <c r="X82" s="284">
        <v>-15.1</v>
      </c>
      <c r="Y82" s="217">
        <f>IF(ISBLANK(W82),"-",W82-X82)</f>
        <v>1.5999999999999996</v>
      </c>
      <c r="Z82" s="284">
        <v>-15.1</v>
      </c>
      <c r="AA82" s="284">
        <v>-12.3</v>
      </c>
      <c r="AB82" s="217">
        <f>IF(ISBLANK(Z82),"-",Z82-AA82)</f>
        <v>-2.7999999999999989</v>
      </c>
      <c r="AC82" s="284">
        <v>-12.3</v>
      </c>
      <c r="AD82" s="284">
        <v>-13.6</v>
      </c>
      <c r="AE82" s="217">
        <f>IF(ISBLANK(AC82),"-",AC82-AD82)</f>
        <v>1.2999999999999989</v>
      </c>
      <c r="AF82" s="284">
        <v>-13.6</v>
      </c>
      <c r="AG82" s="284">
        <v>-11.1</v>
      </c>
      <c r="AH82" s="217">
        <f>IF(ISBLANK(AF82),"-",AF82-AG82)</f>
        <v>-2.5</v>
      </c>
      <c r="AI82" s="284">
        <v>-11.1</v>
      </c>
      <c r="AJ82" s="284">
        <v>-12.8</v>
      </c>
      <c r="AK82" s="217">
        <f>IF(ISBLANK(AI82),"-",AI82-AJ82)</f>
        <v>1.7000000000000011</v>
      </c>
      <c r="AL82" s="284">
        <v>-13.3</v>
      </c>
      <c r="AM82" s="284">
        <v>-12.6</v>
      </c>
      <c r="AN82" s="217">
        <f>IF(ISBLANK(AL82),"-",AL82-AM82)</f>
        <v>-0.70000000000000107</v>
      </c>
      <c r="AO82" s="284">
        <v>-12.6</v>
      </c>
      <c r="AP82" s="284">
        <v>-12.3</v>
      </c>
      <c r="AQ82" s="217">
        <f>IF(ISBLANK(AO82),"-",AO82-AP82)</f>
        <v>-0.29999999999999893</v>
      </c>
      <c r="AR82" s="284">
        <v>-11.1</v>
      </c>
      <c r="AS82" s="284">
        <v>-11</v>
      </c>
      <c r="AT82" s="217">
        <f>IF(ISBLANK(AR82),"-",AR82-AS82)</f>
        <v>-9.9999999999999645E-2</v>
      </c>
      <c r="AU82" s="284">
        <v>-11.9</v>
      </c>
      <c r="AV82" s="284">
        <v>-10.4</v>
      </c>
      <c r="AW82" s="217">
        <f>IF(ISBLANK(AU82),"-",AU82-AV82)</f>
        <v>-1.5</v>
      </c>
    </row>
    <row r="83" spans="1:49" s="301" customFormat="1" x14ac:dyDescent="0.25">
      <c r="A83" s="299" t="s">
        <v>78</v>
      </c>
      <c r="B83" s="271"/>
      <c r="C83" s="271"/>
      <c r="D83" s="300" t="str">
        <f>IF(ISBLANK(B83),"-",B83-C83)</f>
        <v>-</v>
      </c>
      <c r="E83" s="271"/>
      <c r="F83" s="271"/>
      <c r="G83" s="300" t="str">
        <f>IF(ISBLANK(E83),"-",E83-F83)</f>
        <v>-</v>
      </c>
      <c r="H83" s="271"/>
      <c r="I83" s="271"/>
      <c r="J83" s="300" t="str">
        <f>IF(ISBLANK(H83),"-",H83-I83)</f>
        <v>-</v>
      </c>
      <c r="K83" s="271">
        <v>3.7999999999999999E-2</v>
      </c>
      <c r="L83" s="271">
        <v>-6.0000000000000001E-3</v>
      </c>
      <c r="M83" s="300">
        <f>IF(ISBLANK(K83),"-",K83-L83)</f>
        <v>4.3999999999999997E-2</v>
      </c>
      <c r="N83" s="271">
        <v>-1.2E-2</v>
      </c>
      <c r="O83" s="271">
        <v>-6.0000000000000001E-3</v>
      </c>
      <c r="P83" s="300">
        <f>IF(ISBLANK(N83),"-",N83-O83)</f>
        <v>-6.0000000000000001E-3</v>
      </c>
      <c r="Q83" s="271">
        <v>-6.0000000000000001E-3</v>
      </c>
      <c r="R83" s="271">
        <v>1.0999999999999999E-2</v>
      </c>
      <c r="S83" s="300">
        <f>IF(ISBLANK(Q83),"-",Q83-R83)</f>
        <v>-1.7000000000000001E-2</v>
      </c>
      <c r="T83" s="271">
        <v>1.7000000000000001E-2</v>
      </c>
      <c r="U83" s="271">
        <v>2.4E-2</v>
      </c>
      <c r="V83" s="300">
        <f>IF(ISBLANK(T83),"-",T83-U83)</f>
        <v>-6.9999999999999993E-3</v>
      </c>
      <c r="W83" s="271">
        <v>2.5999999999999999E-2</v>
      </c>
      <c r="X83" s="271">
        <v>1.0999999999999999E-2</v>
      </c>
      <c r="Y83" s="300">
        <f>IF(ISBLANK(W83),"-",W83-X83)</f>
        <v>1.4999999999999999E-2</v>
      </c>
      <c r="Z83" s="271">
        <v>1.0999999999999999E-2</v>
      </c>
      <c r="AA83" s="271">
        <v>-4.0000000000000001E-3</v>
      </c>
      <c r="AB83" s="300">
        <f>IF(ISBLANK(Z83),"-",Z83-AA83)</f>
        <v>1.4999999999999999E-2</v>
      </c>
      <c r="AC83" s="271">
        <v>-1.0999999999999999E-2</v>
      </c>
      <c r="AD83" s="271">
        <v>4.0000000000000001E-3</v>
      </c>
      <c r="AE83" s="300">
        <f>IF(ISBLANK(AC83),"-",AC83-AD83)</f>
        <v>-1.4999999999999999E-2</v>
      </c>
      <c r="AF83" s="271">
        <v>2E-3</v>
      </c>
      <c r="AG83" s="271">
        <v>-1.4999999999999999E-2</v>
      </c>
      <c r="AH83" s="300">
        <f>IF(ISBLANK(AF83),"-",AF83-AG83)</f>
        <v>1.7000000000000001E-2</v>
      </c>
      <c r="AI83" s="271">
        <v>0</v>
      </c>
      <c r="AJ83" s="271">
        <v>1.4999999999999999E-2</v>
      </c>
      <c r="AK83" s="300">
        <f>IF(ISBLANK(AI83),"-",AI83-AJ83)</f>
        <v>-1.4999999999999999E-2</v>
      </c>
      <c r="AL83" s="271">
        <v>-3.0000000000000001E-3</v>
      </c>
      <c r="AM83" s="271">
        <v>0</v>
      </c>
      <c r="AN83" s="300">
        <f>IF(ISBLANK(AL83),"-",AL83-AM83)</f>
        <v>-3.0000000000000001E-3</v>
      </c>
      <c r="AO83" s="271">
        <v>-1E-3</v>
      </c>
      <c r="AP83" s="271">
        <v>-8.9999999999999993E-3</v>
      </c>
      <c r="AQ83" s="300">
        <f>IF(ISBLANK(AO83),"-",AO83-AP83)</f>
        <v>8.0000000000000002E-3</v>
      </c>
      <c r="AR83" s="271">
        <v>-6.0000000000000001E-3</v>
      </c>
      <c r="AS83" s="271">
        <v>0</v>
      </c>
      <c r="AT83" s="300">
        <f>IF(ISBLANK(AR83),"-",AR83-AS83)</f>
        <v>-6.0000000000000001E-3</v>
      </c>
      <c r="AU83" s="271">
        <v>8.0000000000000002E-3</v>
      </c>
      <c r="AV83" s="271">
        <v>-0.03</v>
      </c>
      <c r="AW83" s="300">
        <f>IF(ISBLANK(AU83),"-",AU83-AV83)</f>
        <v>3.7999999999999999E-2</v>
      </c>
    </row>
    <row r="84" spans="1:49" s="301" customFormat="1" x14ac:dyDescent="0.25">
      <c r="A84" s="299" t="s">
        <v>79</v>
      </c>
      <c r="B84" s="271"/>
      <c r="C84" s="271"/>
      <c r="D84" s="300" t="str">
        <f t="shared" si="35"/>
        <v>-</v>
      </c>
      <c r="E84" s="271">
        <v>-1.9E-2</v>
      </c>
      <c r="F84" s="271">
        <v>-2E-3</v>
      </c>
      <c r="G84" s="300">
        <f t="shared" si="36"/>
        <v>-1.7000000000000001E-2</v>
      </c>
      <c r="H84" s="271"/>
      <c r="I84" s="271"/>
      <c r="J84" s="300" t="str">
        <f t="shared" si="37"/>
        <v>-</v>
      </c>
      <c r="K84" s="271">
        <v>-2.1000000000000001E-2</v>
      </c>
      <c r="L84" s="271">
        <v>-2.6000000000000002E-2</v>
      </c>
      <c r="M84" s="300">
        <f t="shared" si="38"/>
        <v>5.000000000000001E-3</v>
      </c>
      <c r="N84" s="271">
        <v>-4.2999999999999997E-2</v>
      </c>
      <c r="O84" s="271">
        <v>-1E-3</v>
      </c>
      <c r="P84" s="300">
        <f t="shared" si="39"/>
        <v>-4.1999999999999996E-2</v>
      </c>
      <c r="Q84" s="271">
        <v>-1E-3</v>
      </c>
      <c r="R84" s="271">
        <v>-1E-3</v>
      </c>
      <c r="S84" s="300">
        <f t="shared" si="40"/>
        <v>0</v>
      </c>
      <c r="T84" s="271">
        <v>1.2E-2</v>
      </c>
      <c r="U84" s="271">
        <v>-8.9999999999999993E-3</v>
      </c>
      <c r="V84" s="300">
        <f t="shared" si="41"/>
        <v>2.0999999999999998E-2</v>
      </c>
      <c r="W84" s="271">
        <v>0.03</v>
      </c>
      <c r="X84" s="271">
        <v>-1.2999999999999999E-2</v>
      </c>
      <c r="Y84" s="300">
        <f t="shared" si="42"/>
        <v>4.2999999999999997E-2</v>
      </c>
      <c r="Z84" s="271">
        <v>-1.2999999999999999E-2</v>
      </c>
      <c r="AA84" s="271">
        <v>-1.4999999999999999E-2</v>
      </c>
      <c r="AB84" s="300">
        <f t="shared" si="43"/>
        <v>2E-3</v>
      </c>
      <c r="AC84" s="271">
        <v>-2.4E-2</v>
      </c>
      <c r="AD84" s="271">
        <v>1.2999999999999999E-2</v>
      </c>
      <c r="AE84" s="300">
        <f t="shared" si="44"/>
        <v>-3.6999999999999998E-2</v>
      </c>
      <c r="AF84" s="271">
        <v>1.4999999999999999E-2</v>
      </c>
      <c r="AG84" s="271">
        <v>-4.0000000000000001E-3</v>
      </c>
      <c r="AH84" s="300">
        <f t="shared" si="45"/>
        <v>1.9E-2</v>
      </c>
      <c r="AI84" s="271">
        <v>-0.01</v>
      </c>
      <c r="AJ84" s="271">
        <v>2.5999999999999999E-2</v>
      </c>
      <c r="AK84" s="300">
        <f t="shared" si="46"/>
        <v>-3.5999999999999997E-2</v>
      </c>
      <c r="AL84" s="271">
        <v>1.7999999999999999E-2</v>
      </c>
      <c r="AM84" s="271">
        <v>-5.0000000000000001E-3</v>
      </c>
      <c r="AN84" s="300">
        <f t="shared" si="47"/>
        <v>2.3E-2</v>
      </c>
      <c r="AO84" s="271">
        <v>-1.4E-2</v>
      </c>
      <c r="AP84" s="271">
        <v>1.7000000000000001E-2</v>
      </c>
      <c r="AQ84" s="300">
        <f t="shared" si="48"/>
        <v>-3.1E-2</v>
      </c>
      <c r="AR84" s="271">
        <v>-2.5000000000000001E-2</v>
      </c>
      <c r="AS84" s="271">
        <v>1E-3</v>
      </c>
      <c r="AT84" s="300">
        <f t="shared" si="49"/>
        <v>-2.6000000000000002E-2</v>
      </c>
      <c r="AU84" s="271">
        <v>-4.0000000000000001E-3</v>
      </c>
      <c r="AV84" s="271">
        <v>1.7000000000000001E-2</v>
      </c>
      <c r="AW84" s="300">
        <f t="shared" si="50"/>
        <v>-2.1000000000000001E-2</v>
      </c>
    </row>
    <row r="85" spans="1:49" s="301" customFormat="1" x14ac:dyDescent="0.25">
      <c r="A85" s="299" t="s">
        <v>80</v>
      </c>
      <c r="B85" s="271"/>
      <c r="C85" s="271"/>
      <c r="D85" s="300" t="str">
        <f>IF(ISBLANK(B85),"-",B85-C85)</f>
        <v>-</v>
      </c>
      <c r="E85" s="271"/>
      <c r="F85" s="271"/>
      <c r="G85" s="300" t="str">
        <f>IF(ISBLANK(E85),"-",E85-F85)</f>
        <v>-</v>
      </c>
      <c r="H85" s="271">
        <v>-0.7</v>
      </c>
      <c r="I85" s="271">
        <v>-0.01</v>
      </c>
      <c r="J85" s="300">
        <f>IF(ISBLANK(H85),"-",H85-I85)</f>
        <v>-0.69</v>
      </c>
      <c r="K85" s="271">
        <v>-5.0000000000000001E-3</v>
      </c>
      <c r="L85" s="271">
        <v>-2.7000000000000003E-2</v>
      </c>
      <c r="M85" s="300">
        <f>IF(ISBLANK(K85),"-",K85-L85)</f>
        <v>2.2000000000000002E-2</v>
      </c>
      <c r="N85" s="271">
        <v>-7.0000000000000001E-3</v>
      </c>
      <c r="O85" s="271">
        <v>3.6999999999999998E-2</v>
      </c>
      <c r="P85" s="300">
        <f>IF(ISBLANK(N85),"-",N85-O85)</f>
        <v>-4.3999999999999997E-2</v>
      </c>
      <c r="Q85" s="271">
        <v>3.6999999999999998E-2</v>
      </c>
      <c r="R85" s="271">
        <v>-7.0000000000000001E-3</v>
      </c>
      <c r="S85" s="300">
        <f>IF(ISBLANK(Q85),"-",Q85-R85)</f>
        <v>4.3999999999999997E-2</v>
      </c>
      <c r="T85" s="271">
        <v>-5.0000000000000001E-3</v>
      </c>
      <c r="U85" s="271">
        <v>-1.4E-2</v>
      </c>
      <c r="V85" s="300">
        <f>IF(ISBLANK(T85),"-",T85-U85)</f>
        <v>9.0000000000000011E-3</v>
      </c>
      <c r="W85" s="271">
        <v>2E-3</v>
      </c>
      <c r="X85" s="271">
        <v>0.01</v>
      </c>
      <c r="Y85" s="300">
        <f>IF(ISBLANK(W85),"-",W85-X85)</f>
        <v>-8.0000000000000002E-3</v>
      </c>
      <c r="Z85" s="271">
        <v>7.0000000000000001E-3</v>
      </c>
      <c r="AA85" s="271">
        <v>-5.0000000000000001E-3</v>
      </c>
      <c r="AB85" s="300">
        <f>IF(ISBLANK(Z85),"-",Z85-AA85)</f>
        <v>1.2E-2</v>
      </c>
      <c r="AC85" s="271">
        <v>-6.0000000000000001E-3</v>
      </c>
      <c r="AD85" s="271">
        <v>1E-3</v>
      </c>
      <c r="AE85" s="300">
        <f>IF(ISBLANK(AC85),"-",AC85-AD85)</f>
        <v>-7.0000000000000001E-3</v>
      </c>
      <c r="AF85" s="271">
        <v>2E-3</v>
      </c>
      <c r="AG85" s="271">
        <v>-3.0000000000000001E-3</v>
      </c>
      <c r="AH85" s="300">
        <f>IF(ISBLANK(AF85),"-",AF85-AG85)</f>
        <v>5.0000000000000001E-3</v>
      </c>
      <c r="AI85" s="271">
        <v>-1E-3</v>
      </c>
      <c r="AJ85" s="271">
        <v>-8.0000000000000002E-3</v>
      </c>
      <c r="AK85" s="300">
        <f>IF(ISBLANK(AI85),"-",AI85-AJ85)</f>
        <v>7.0000000000000001E-3</v>
      </c>
      <c r="AL85" s="271">
        <v>1.4E-2</v>
      </c>
      <c r="AM85" s="271">
        <v>2E-3</v>
      </c>
      <c r="AN85" s="300">
        <f t="shared" si="47"/>
        <v>1.2E-2</v>
      </c>
      <c r="AO85" s="271">
        <v>-5.0000000000000001E-3</v>
      </c>
      <c r="AP85" s="271">
        <v>8.0000000000000002E-3</v>
      </c>
      <c r="AQ85" s="300">
        <f t="shared" si="48"/>
        <v>-1.3000000000000001E-2</v>
      </c>
      <c r="AR85" s="271">
        <v>-2.1000000000000001E-2</v>
      </c>
      <c r="AS85" s="271">
        <v>6.0000000000000001E-3</v>
      </c>
      <c r="AT85" s="300">
        <f t="shared" si="49"/>
        <v>-2.7000000000000003E-2</v>
      </c>
      <c r="AU85" s="271">
        <v>-3.0000000000000001E-3</v>
      </c>
      <c r="AV85" s="271">
        <v>2E-3</v>
      </c>
      <c r="AW85" s="300">
        <f t="shared" si="50"/>
        <v>-5.0000000000000001E-3</v>
      </c>
    </row>
    <row r="86" spans="1:49" s="301" customFormat="1" x14ac:dyDescent="0.25">
      <c r="A86" s="299" t="s">
        <v>81</v>
      </c>
      <c r="B86" s="271"/>
      <c r="C86" s="271"/>
      <c r="D86" s="300" t="str">
        <f t="shared" si="35"/>
        <v>-</v>
      </c>
      <c r="E86" s="271"/>
      <c r="F86" s="271"/>
      <c r="G86" s="300" t="str">
        <f t="shared" si="36"/>
        <v>-</v>
      </c>
      <c r="H86" s="271">
        <v>-8.0000000000000002E-3</v>
      </c>
      <c r="I86" s="271">
        <v>5.0000000000000001E-3</v>
      </c>
      <c r="J86" s="300">
        <f t="shared" si="37"/>
        <v>-1.3000000000000001E-2</v>
      </c>
      <c r="K86" s="271">
        <v>-5.0000000000000001E-3</v>
      </c>
      <c r="L86" s="271">
        <v>1.4999999999999999E-2</v>
      </c>
      <c r="M86" s="300">
        <f t="shared" si="38"/>
        <v>-0.02</v>
      </c>
      <c r="N86" s="271">
        <v>-2.4E-2</v>
      </c>
      <c r="O86" s="271">
        <v>2E-3</v>
      </c>
      <c r="P86" s="300">
        <f t="shared" si="39"/>
        <v>-2.6000000000000002E-2</v>
      </c>
      <c r="Q86" s="271">
        <v>2E-3</v>
      </c>
      <c r="R86" s="271">
        <v>-8.0000000000000002E-3</v>
      </c>
      <c r="S86" s="300">
        <f t="shared" si="40"/>
        <v>0.01</v>
      </c>
      <c r="T86" s="271">
        <v>-7.0000000000000001E-3</v>
      </c>
      <c r="U86" s="271">
        <v>0</v>
      </c>
      <c r="V86" s="300">
        <f t="shared" si="41"/>
        <v>-7.0000000000000001E-3</v>
      </c>
      <c r="W86" s="271">
        <v>1E-3</v>
      </c>
      <c r="X86" s="271">
        <v>-8.9999999999999993E-3</v>
      </c>
      <c r="Y86" s="300">
        <f t="shared" si="42"/>
        <v>9.9999999999999985E-3</v>
      </c>
      <c r="Z86" s="271">
        <v>-0.9</v>
      </c>
      <c r="AA86" s="271">
        <v>-2.7E-2</v>
      </c>
      <c r="AB86" s="300">
        <f t="shared" si="43"/>
        <v>-0.873</v>
      </c>
      <c r="AC86" s="271">
        <v>-3.1E-2</v>
      </c>
      <c r="AD86" s="271">
        <v>3.0000000000000001E-3</v>
      </c>
      <c r="AE86" s="300">
        <f t="shared" si="44"/>
        <v>-3.4000000000000002E-2</v>
      </c>
      <c r="AF86" s="271">
        <v>3.0000000000000001E-3</v>
      </c>
      <c r="AG86" s="271">
        <v>1E-3</v>
      </c>
      <c r="AH86" s="300">
        <f t="shared" si="45"/>
        <v>2E-3</v>
      </c>
      <c r="AI86" s="271">
        <v>0</v>
      </c>
      <c r="AJ86" s="271">
        <v>0</v>
      </c>
      <c r="AK86" s="300">
        <f t="shared" si="46"/>
        <v>0</v>
      </c>
      <c r="AL86" s="271">
        <v>1E-3</v>
      </c>
      <c r="AM86" s="271">
        <v>-0.01</v>
      </c>
      <c r="AN86" s="300">
        <f t="shared" si="47"/>
        <v>1.0999999999999999E-2</v>
      </c>
      <c r="AO86" s="271">
        <v>-8.9999999999999993E-3</v>
      </c>
      <c r="AP86" s="271">
        <v>5.0000000000000001E-3</v>
      </c>
      <c r="AQ86" s="300">
        <f t="shared" si="48"/>
        <v>-1.3999999999999999E-2</v>
      </c>
      <c r="AR86" s="302">
        <v>5.0000000000000001E-3</v>
      </c>
      <c r="AS86" s="271">
        <v>-0.01</v>
      </c>
      <c r="AT86" s="300">
        <f t="shared" si="49"/>
        <v>1.4999999999999999E-2</v>
      </c>
      <c r="AU86" s="271">
        <v>-5.0000000000000001E-3</v>
      </c>
      <c r="AV86" s="271">
        <v>0</v>
      </c>
      <c r="AW86" s="300">
        <f t="shared" si="50"/>
        <v>-5.0000000000000001E-3</v>
      </c>
    </row>
    <row r="87" spans="1:49" s="301" customFormat="1" x14ac:dyDescent="0.25">
      <c r="A87" s="299" t="s">
        <v>82</v>
      </c>
      <c r="B87" s="271"/>
      <c r="C87" s="271"/>
      <c r="D87" s="300" t="str">
        <f t="shared" si="35"/>
        <v>-</v>
      </c>
      <c r="E87" s="271"/>
      <c r="F87" s="271"/>
      <c r="G87" s="300" t="str">
        <f t="shared" si="36"/>
        <v>-</v>
      </c>
      <c r="H87" s="271">
        <v>7.8E-2</v>
      </c>
      <c r="I87" s="271">
        <v>5.7000000000000002E-2</v>
      </c>
      <c r="J87" s="300">
        <f t="shared" si="37"/>
        <v>2.0999999999999998E-2</v>
      </c>
      <c r="K87" s="271">
        <v>-6.0000000000000001E-3</v>
      </c>
      <c r="L87" s="271">
        <v>-0.01</v>
      </c>
      <c r="M87" s="300">
        <f t="shared" si="38"/>
        <v>4.0000000000000001E-3</v>
      </c>
      <c r="N87" s="271">
        <v>-8.0000000000000002E-3</v>
      </c>
      <c r="O87" s="271">
        <v>-2.7E-2</v>
      </c>
      <c r="P87" s="300">
        <f t="shared" si="39"/>
        <v>1.9E-2</v>
      </c>
      <c r="Q87" s="271">
        <v>-2.9000000000000001E-2</v>
      </c>
      <c r="R87" s="271">
        <v>-8.0000000000000002E-3</v>
      </c>
      <c r="S87" s="300">
        <f t="shared" si="40"/>
        <v>-2.1000000000000001E-2</v>
      </c>
      <c r="T87" s="271">
        <v>-1.4E-2</v>
      </c>
      <c r="U87" s="271">
        <v>1.6E-2</v>
      </c>
      <c r="V87" s="300">
        <f t="shared" si="41"/>
        <v>-0.03</v>
      </c>
      <c r="W87" s="271">
        <v>6.0000000000000001E-3</v>
      </c>
      <c r="X87" s="271">
        <v>0</v>
      </c>
      <c r="Y87" s="300">
        <f t="shared" si="42"/>
        <v>6.0000000000000001E-3</v>
      </c>
      <c r="Z87" s="271">
        <v>0</v>
      </c>
      <c r="AA87" s="271">
        <v>5.8999999999999997E-2</v>
      </c>
      <c r="AB87" s="300">
        <f t="shared" si="43"/>
        <v>-5.8999999999999997E-2</v>
      </c>
      <c r="AC87" s="271">
        <v>6.9000000000000006E-2</v>
      </c>
      <c r="AD87" s="271">
        <v>-5.1999999999999998E-2</v>
      </c>
      <c r="AE87" s="300">
        <f t="shared" si="44"/>
        <v>0.121</v>
      </c>
      <c r="AF87" s="271">
        <v>-5.3999999999999999E-2</v>
      </c>
      <c r="AG87" s="271">
        <v>-1.4999999999999999E-2</v>
      </c>
      <c r="AH87" s="300">
        <f t="shared" si="45"/>
        <v>-3.9E-2</v>
      </c>
      <c r="AI87" s="271">
        <v>-1.4999999999999999E-2</v>
      </c>
      <c r="AJ87" s="271">
        <v>7.1999999999999995E-2</v>
      </c>
      <c r="AK87" s="300">
        <f t="shared" si="46"/>
        <v>-8.6999999999999994E-2</v>
      </c>
      <c r="AL87" s="271">
        <v>-5.8000000000000003E-2</v>
      </c>
      <c r="AM87" s="271">
        <v>3.9E-2</v>
      </c>
      <c r="AN87" s="300">
        <f t="shared" si="47"/>
        <v>-9.7000000000000003E-2</v>
      </c>
      <c r="AO87" s="271">
        <v>2.9000000000000001E-2</v>
      </c>
      <c r="AP87" s="271">
        <v>4.5999999999999999E-2</v>
      </c>
      <c r="AQ87" s="300">
        <f t="shared" si="48"/>
        <v>-1.6999999999999998E-2</v>
      </c>
      <c r="AR87" s="271">
        <v>-1.6E-2</v>
      </c>
      <c r="AS87" s="271">
        <v>-6.0000000000000001E-3</v>
      </c>
      <c r="AT87" s="300">
        <f t="shared" si="49"/>
        <v>-0.01</v>
      </c>
      <c r="AU87" s="271">
        <v>-4.0000000000000001E-3</v>
      </c>
      <c r="AV87" s="271">
        <v>2E-3</v>
      </c>
      <c r="AW87" s="300">
        <f t="shared" si="50"/>
        <v>-6.0000000000000001E-3</v>
      </c>
    </row>
    <row r="88" spans="1:49" s="252" customFormat="1" x14ac:dyDescent="0.25">
      <c r="A88" s="241"/>
      <c r="B88" s="223"/>
      <c r="C88" s="223"/>
      <c r="D88" s="217"/>
      <c r="E88" s="223"/>
      <c r="F88" s="223"/>
      <c r="G88" s="217"/>
      <c r="H88" s="287"/>
      <c r="I88" s="287"/>
      <c r="J88" s="217"/>
      <c r="K88" s="223"/>
      <c r="L88" s="223"/>
      <c r="M88" s="217"/>
      <c r="N88" s="223"/>
      <c r="O88" s="223"/>
      <c r="P88" s="217"/>
      <c r="Q88" s="223"/>
      <c r="R88" s="223"/>
      <c r="S88" s="217"/>
      <c r="T88" s="223"/>
      <c r="U88" s="223"/>
      <c r="V88" s="217"/>
      <c r="W88" s="223"/>
      <c r="X88" s="223"/>
      <c r="Y88" s="217"/>
      <c r="Z88" s="223"/>
      <c r="AA88" s="223"/>
      <c r="AB88" s="217"/>
      <c r="AC88" s="223"/>
      <c r="AD88" s="223"/>
      <c r="AE88" s="217"/>
      <c r="AF88" s="223"/>
      <c r="AG88" s="223"/>
      <c r="AH88" s="217"/>
      <c r="AI88" s="223"/>
      <c r="AJ88" s="223"/>
      <c r="AK88" s="217"/>
      <c r="AL88" s="223"/>
      <c r="AM88" s="223"/>
      <c r="AN88" s="217"/>
      <c r="AO88" s="223"/>
      <c r="AP88" s="223"/>
      <c r="AQ88" s="217"/>
      <c r="AR88" s="223"/>
      <c r="AS88" s="223"/>
      <c r="AT88" s="217"/>
      <c r="AU88" s="223"/>
      <c r="AV88" s="223"/>
      <c r="AW88" s="217"/>
    </row>
    <row r="89" spans="1:49" x14ac:dyDescent="0.25">
      <c r="A89" s="150" t="s">
        <v>83</v>
      </c>
      <c r="B89" s="352" t="str">
        <f>IF(AND(D90="-",D91="-"),"",
    IF((SUM(IF(D90="-",0,IF(D90&lt;0,-2,IF(D90&gt;0,2,0))), IF(D91="-",0,IF(D91&lt;0,-2,IF(D91&gt;0,2,0))))/4) &gt; 0.1, "BULLISH",
        IF((SUM(IF(D90="-",0,IF(D90&lt;0,-2,IF(D90&gt;0,2,0))), IF(D91="-",0,IF(D91&lt;0,-2,IF(D91&gt;0,2,0))))/4) &lt; -0.1, "BEARISH",
            IF((SUM(IF(D90="-",0,IF(D90&lt;0,-2,IF(D90&gt;0,2,0))), IF(D91="-",0,IF(D91&lt;0,-2,IF(D91&gt;0,2,0))))/4) &lt;= 0.1, "NEUTRO", "NEUTRO")
        )
    )
)</f>
        <v/>
      </c>
      <c r="C89" s="353"/>
      <c r="D89" s="354"/>
      <c r="E89" s="352" t="str">
        <f>IF(AND(G90="-",G91="-"),"",
    IF((SUM(IF(G90="-",0,IF(G90&lt;0,-2,IF(G90&gt;0,2,0))), IF(G91="-",0,IF(G91&lt;0,-2,IF(G91&gt;0,2,0))))/4) &gt; 0.1, "BULLISH",
        IF((SUM(IF(G90="-",0,IF(G90&lt;0,-2,IF(G90&gt;0,2,0))), IF(G91="-",0,IF(G91&lt;0,-2,IF(G91&gt;0,2,0))))/4) &lt; -0.1, "BEARISH",
            IF((SUM(IF(G90="-",0,IF(G90&lt;0,-2,IF(G90&gt;0,2,0))), IF(G91="-",0,IF(G91&lt;0,-2,IF(G91&gt;0,2,0))))/4) &lt;= 0.1, "NEUTRO", "NEUTRO")
        )
    )
)</f>
        <v/>
      </c>
      <c r="F89" s="353"/>
      <c r="G89" s="354"/>
      <c r="H89" s="352" t="str">
        <f>IF(AND(J90="-",J91="-"),"",
    IF((SUM(IF(J90="-",0,IF(J90&lt;0,-2,IF(J90&gt;0,2,0))), IF(J91="-",0,IF(J91&lt;0,-2,IF(J91&gt;0,2,0))))/4) &gt; 0.1, "BULLISH",
        IF((SUM(IF(J90="-",0,IF(J90&lt;0,-2,IF(J90&gt;0,2,0))), IF(J91="-",0,IF(J91&lt;0,-2,IF(J91&gt;0,2,0))))/4) &lt; -0.1, "BEARISH",
            IF((SUM(IF(J90="-",0,IF(J90&lt;0,-2,IF(J90&gt;0,2,0))), IF(J91="-",0,IF(J91&lt;0,-2,IF(J91&gt;0,2,0))))/4) &lt;= 0.1, "NEUTRO", "NEUTRO")
        )
    )
)</f>
        <v>BULLISH</v>
      </c>
      <c r="I89" s="353"/>
      <c r="J89" s="354"/>
      <c r="K89" s="352" t="str">
        <f>IF(AND(M90="-",M91="-"),"",
    IF((SUM(IF(M90="-",0,IF(M90&lt;0,-2,IF(M90&gt;0,2,0))), IF(M91="-",0,IF(M91&lt;0,-2,IF(M91&gt;0,2,0))))/4) &gt; 0.1, "BULLISH",
        IF((SUM(IF(M90="-",0,IF(M90&lt;0,-2,IF(M90&gt;0,2,0))), IF(M91="-",0,IF(M91&lt;0,-2,IF(M91&gt;0,2,0))))/4) &lt; -0.1, "BEARISH",
            IF((SUM(IF(M90="-",0,IF(M90&lt;0,-2,IF(M90&gt;0,2,0))), IF(M91="-",0,IF(M91&lt;0,-2,IF(M91&gt;0,2,0))))/4) &lt;= 0.1, "NEUTRO", "NEUTRO")
        )
    )
)</f>
        <v>BULLISH</v>
      </c>
      <c r="L89" s="353"/>
      <c r="M89" s="354"/>
      <c r="N89" s="352" t="str">
        <f>IF(AND(P90="-",P91="-"),"",
    IF((SUM(IF(P90="-",0,IF(P90&lt;0,-2,IF(P90&gt;0,2,0))), IF(P91="-",0,IF(P91&lt;0,-2,IF(P91&gt;0,2,0))))/4) &gt; 0.1, "BULLISH",
        IF((SUM(IF(P90="-",0,IF(P90&lt;0,-2,IF(P90&gt;0,2,0))), IF(P91="-",0,IF(P91&lt;0,-2,IF(P91&gt;0,2,0))))/4) &lt; -0.1, "BEARISH",
            IF((SUM(IF(P90="-",0,IF(P90&lt;0,-2,IF(P90&gt;0,2,0))), IF(P91="-",0,IF(P91&lt;0,-2,IF(P91&gt;0,2,0))))/4) &lt;= 0.1, "NEUTRO", "NEUTRO")
        )
    )
)</f>
        <v/>
      </c>
      <c r="O89" s="353"/>
      <c r="P89" s="354"/>
      <c r="Q89" s="352" t="str">
        <f>IF(AND(S90="-",S91="-"),"",
    IF((SUM(IF(S90="-",0,IF(S90&lt;0,-2,IF(S90&gt;0,2,0))), IF(S91="-",0,IF(S91&lt;0,-2,IF(S91&gt;0,2,0))))/4) &gt; 0.1, "BULLISH",
        IF((SUM(IF(S90="-",0,IF(S90&lt;0,-2,IF(S90&gt;0,2,0))), IF(S91="-",0,IF(S91&lt;0,-2,IF(S91&gt;0,2,0))))/4) &lt; -0.1, "BEARISH",
            IF((SUM(IF(S90="-",0,IF(S90&lt;0,-2,IF(S90&gt;0,2,0))), IF(S91="-",0,IF(S91&lt;0,-2,IF(S91&gt;0,2,0))))/4) &lt;= 0.1, "NEUTRO", "NEUTRO")
        )
    )
)</f>
        <v/>
      </c>
      <c r="R89" s="353"/>
      <c r="S89" s="354"/>
      <c r="T89" s="352" t="str">
        <f>IF(AND(V90="-",V91="-"),"",
    IF((SUM(IF(V90="-",0,IF(V90&lt;0,-2,IF(V90&gt;0,2,0))), IF(V91="-",0,IF(V91&lt;0,-2,IF(V91&gt;0,2,0))))/4) &gt; 0.1, "BULLISH",
        IF((SUM(IF(V90="-",0,IF(V90&lt;0,-2,IF(V90&gt;0,2,0))), IF(V91="-",0,IF(V91&lt;0,-2,IF(V91&gt;0,2,0))))/4) &lt; -0.1, "BEARISH",
            IF((SUM(IF(V90="-",0,IF(V90&lt;0,-2,IF(V90&gt;0,2,0))), IF(V91="-",0,IF(V91&lt;0,-2,IF(V91&gt;0,2,0))))/4) &lt;= 0.1, "NEUTRO", "NEUTRO")
        )
    )
)</f>
        <v>BEARISH</v>
      </c>
      <c r="U89" s="353"/>
      <c r="V89" s="354"/>
      <c r="W89" s="352" t="str">
        <f>IF(AND(Y90="-",Y91="-"),"",
    IF((SUM(IF(Y90="-",0,IF(Y90&lt;0,-2,IF(Y90&gt;0,2,0))), IF(Y91="-",0,IF(Y91&lt;0,-2,IF(Y91&gt;0,2,0))))/4) &gt; 0.1, "BULLISH",
        IF((SUM(IF(Y90="-",0,IF(Y90&lt;0,-2,IF(Y90&gt;0,2,0))), IF(Y91="-",0,IF(Y91&lt;0,-2,IF(Y91&gt;0,2,0))))/4) &lt; -0.1, "BEARISH",
            IF((SUM(IF(Y90="-",0,IF(Y90&lt;0,-2,IF(Y90&gt;0,2,0))), IF(Y91="-",0,IF(Y91&lt;0,-2,IF(Y91&gt;0,2,0))))/4) &lt;= 0.1, "NEUTRO", "NEUTRO")
        )
    )
)</f>
        <v>BULLISH</v>
      </c>
      <c r="X89" s="353"/>
      <c r="Y89" s="354"/>
      <c r="Z89" s="352" t="str">
        <f>IF(AND(AB90="-",AB91="-"),"",
    IF((SUM(IF(AB90="-",0,IF(AB90&lt;0,-2,IF(AB90&gt;0,2,0))), IF(AB91="-",0,IF(AB91&lt;0,-2,IF(AB91&gt;0,2,0))))/4) &gt; 0.1, "BULLISH",
        IF((SUM(IF(AB90="-",0,IF(AB90&lt;0,-2,IF(AB90&gt;0,2,0))), IF(AB91="-",0,IF(AB91&lt;0,-2,IF(AB91&gt;0,2,0))))/4) &lt; -0.1, "BEARISH",
            IF((SUM(IF(AB90="-",0,IF(AB90&lt;0,-2,IF(AB90&gt;0,2,0))), IF(AB91="-",0,IF(AB91&lt;0,-2,IF(AB91&gt;0,2,0))))/4) &lt;= 0.1, "NEUTRO", "NEUTRO")
        )
    )
)</f>
        <v/>
      </c>
      <c r="AA89" s="353"/>
      <c r="AB89" s="354"/>
      <c r="AC89" s="352" t="str">
        <f>IF(AND(AE90="-",AE91="-"),"",
    IF((SUM(IF(AE90="-",0,IF(AE90&lt;0,-2,IF(AE90&gt;0,2,0))), IF(AE91="-",0,IF(AE91&lt;0,-2,IF(AE91&gt;0,2,0))))/4) &gt; 0.1, "BULLISH",
        IF((SUM(IF(AE90="-",0,IF(AE90&lt;0,-2,IF(AE90&gt;0,2,0))), IF(AE91="-",0,IF(AE91&lt;0,-2,IF(AE91&gt;0,2,0))))/4) &lt; -0.1, "BEARISH",
            IF((SUM(IF(AE90="-",0,IF(AE90&lt;0,-2,IF(AE90&gt;0,2,0))), IF(AE91="-",0,IF(AE91&lt;0,-2,IF(AE91&gt;0,2,0))))/4) &lt;= 0.1, "NEUTRO", "NEUTRO")
        )
    )
)</f>
        <v/>
      </c>
      <c r="AD89" s="353"/>
      <c r="AE89" s="354"/>
      <c r="AF89" s="352" t="str">
        <f>IF(AND(AH90="-",AH91="-"),"",
    IF((SUM(IF(AH90="-",0,IF(AH90&lt;0,-2,IF(AH90&gt;0,2,0))), IF(AH91="-",0,IF(AH91&lt;0,-2,IF(AH91&gt;0,2,0))))/4) &gt; 0.1, "BULLISH",
        IF((SUM(IF(AH90="-",0,IF(AH90&lt;0,-2,IF(AH90&gt;0,2,0))), IF(AH91="-",0,IF(AH91&lt;0,-2,IF(AH91&gt;0,2,0))))/4) &lt; -0.1, "BEARISH",
            IF((SUM(IF(AH90="-",0,IF(AH90&lt;0,-2,IF(AH90&gt;0,2,0))), IF(AH91="-",0,IF(AH91&lt;0,-2,IF(AH91&gt;0,2,0))))/4) &lt;= 0.1, "NEUTRO", "NEUTRO")
        )
    )
)</f>
        <v/>
      </c>
      <c r="AG89" s="353"/>
      <c r="AH89" s="354"/>
      <c r="AI89" s="352" t="str">
        <f>IF(AND(AK90="-",AK91="-"),"",
    IF((SUM(IF(AK90="-",0,IF(AK90&lt;0,-2,IF(AK90&gt;0,2,0))), IF(AK91="-",0,IF(AK91&lt;0,-2,IF(AK91&gt;0,2,0))))/4) &gt; 0.1, "BULLISH",
        IF((SUM(IF(AK90="-",0,IF(AK90&lt;0,-2,IF(AK90&gt;0,2,0))), IF(AK91="-",0,IF(AK91&lt;0,-2,IF(AK91&gt;0,2,0))))/4) &lt; -0.1, "BEARISH",
            IF((SUM(IF(AK90="-",0,IF(AK90&lt;0,-2,IF(AK90&gt;0,2,0))), IF(AK91="-",0,IF(AK91&lt;0,-2,IF(AK91&gt;0,2,0))))/4) &lt;= 0.1, "NEUTRO", "NEUTRO")
        )
    )
)</f>
        <v/>
      </c>
      <c r="AJ89" s="353"/>
      <c r="AK89" s="354"/>
      <c r="AL89" s="352" t="str">
        <f>IF(AND(AN90="-",AN91="-"),"",
    IF((SUM(IF(AN90="-",0,IF(AN90&lt;0,-2,IF(AN90&gt;0,2,0))), IF(AN91="-",0,IF(AN91&lt;0,-2,IF(AN91&gt;0,2,0))))/4) &gt; 0.1, "BULLISH",
        IF((SUM(IF(AN90="-",0,IF(AN90&lt;0,-2,IF(AN90&gt;0,2,0))), IF(AN91="-",0,IF(AN91&lt;0,-2,IF(AN91&gt;0,2,0))))/4) &lt; -0.1, "BEARISH",
            IF((SUM(IF(AN90="-",0,IF(AN90&lt;0,-2,IF(AN90&gt;0,2,0))), IF(AN91="-",0,IF(AN91&lt;0,-2,IF(AN91&gt;0,2,0))))/4) &lt;= 0.1, "NEUTRO", "NEUTRO")
        )
    )
)</f>
        <v/>
      </c>
      <c r="AM89" s="353"/>
      <c r="AN89" s="354"/>
      <c r="AO89" s="352" t="str">
        <f>IF(AND(AQ90="-",AQ91="-"),"",
    IF((SUM(IF(AQ90="-",0,IF(AQ90&lt;0,-2,IF(AQ90&gt;0,2,0))), IF(AQ91="-",0,IF(AQ91&lt;0,-2,IF(AQ91&gt;0,2,0))))/4) &gt; 0.1, "BULLISH",
        IF((SUM(IF(AQ90="-",0,IF(AQ90&lt;0,-2,IF(AQ90&gt;0,2,0))), IF(AQ91="-",0,IF(AQ91&lt;0,-2,IF(AQ91&gt;0,2,0))))/4) &lt; -0.1, "BEARISH",
            IF((SUM(IF(AQ90="-",0,IF(AQ90&lt;0,-2,IF(AQ90&gt;0,2,0))), IF(AQ91="-",0,IF(AQ91&lt;0,-2,IF(AQ91&gt;0,2,0))))/4) &lt;= 0.1, "NEUTRO", "NEUTRO")
        )
    )
)</f>
        <v>BEARISH</v>
      </c>
      <c r="AP89" s="353"/>
      <c r="AQ89" s="354"/>
      <c r="AR89" s="352" t="str">
        <f>IF(AND(AT90="-",AT91="-"),"",
    IF((SUM(IF(AT90="-",0,IF(AT90&lt;0,-2,IF(AT90&gt;0,2,0))), IF(AT91="-",0,IF(AT91&lt;0,-2,IF(AT91&gt;0,2,0))))/4) &gt; 0.1, "BULLISH",
        IF((SUM(IF(AT90="-",0,IF(AT90&lt;0,-2,IF(AT90&gt;0,2,0))), IF(AT91="-",0,IF(AT91&lt;0,-2,IF(AT91&gt;0,2,0))))/4) &lt; -0.1, "BEARISH",
            IF((SUM(IF(AT90="-",0,IF(AT90&lt;0,-2,IF(AT90&gt;0,2,0))), IF(AT91="-",0,IF(AT91&lt;0,-2,IF(AT91&gt;0,2,0))))/4) &lt;= 0.1, "NEUTRO", "NEUTRO")
        )
    )
)</f>
        <v>BULLISH</v>
      </c>
      <c r="AS89" s="353"/>
      <c r="AT89" s="354"/>
      <c r="AU89" s="352" t="str">
        <f>IF(AND(AW90="-",AW91="-"),"",
    IF((SUM(IF(AW90="-",0,IF(AW90&lt;0,-2,IF(AW90&gt;0,2,0))), IF(AW91="-",0,IF(AW91&lt;0,-2,IF(AW91&gt;0,2,0))))/4) &gt; 0.1, "BULLISH",
        IF((SUM(IF(AW90="-",0,IF(AW90&lt;0,-2,IF(AW90&gt;0,2,0))), IF(AW91="-",0,IF(AW91&lt;0,-2,IF(AW91&gt;0,2,0))))/4) &lt; -0.1, "BEARISH",
            IF((SUM(IF(AW90="-",0,IF(AW90&lt;0,-2,IF(AW90&gt;0,2,0))), IF(AW91="-",0,IF(AW91&lt;0,-2,IF(AW91&gt;0,2,0))))/4) &lt;= 0.1, "NEUTRO", "NEUTRO")
        )
    )
)</f>
        <v/>
      </c>
      <c r="AV89" s="353"/>
      <c r="AW89" s="354"/>
    </row>
    <row r="90" spans="1:49" s="255" customFormat="1" ht="10.5" customHeight="1" x14ac:dyDescent="0.25">
      <c r="A90" s="303" t="s">
        <v>84</v>
      </c>
      <c r="B90" s="305"/>
      <c r="C90" s="305"/>
      <c r="D90" s="11" t="str">
        <f t="array" ref="D90">IFERROR(_xlfn.IFS(ISBLANK(B90),"-",FIND("%",B90,1),(B90-C90)/100),B90-C90)</f>
        <v>-</v>
      </c>
      <c r="E90" s="305"/>
      <c r="F90" s="304"/>
      <c r="G90" s="11" t="str">
        <f t="array" ref="G90">IFERROR(_xlfn.IFS(ISBLANK(E90),"-",FIND("%",E90,1),(E90-F90)/100),E90-F90)</f>
        <v>-</v>
      </c>
      <c r="H90" s="304"/>
      <c r="I90" s="304"/>
      <c r="J90" s="11" t="str">
        <f t="array" ref="J90">IFERROR(_xlfn.IFS(ISBLANK(H90),"-",FIND("%",H90,1),(H90-I90)/100),H90-I90)</f>
        <v>-</v>
      </c>
      <c r="K90" s="305"/>
      <c r="L90" s="305"/>
      <c r="M90" s="11" t="str">
        <f t="array" ref="M90">IFERROR(_xlfn.IFS(ISBLANK(K90),"-",FIND("%",K90,1),(K90-L90)/100),K90-L90)</f>
        <v>-</v>
      </c>
      <c r="N90" s="305"/>
      <c r="O90" s="305"/>
      <c r="P90" s="11" t="str">
        <f t="array" ref="P90">IFERROR(_xlfn.IFS(ISBLANK(N90),"-",FIND("%",N90,1),(N90-O90)/100),N90-O90)</f>
        <v>-</v>
      </c>
      <c r="Q90" s="305"/>
      <c r="R90" s="305"/>
      <c r="S90" s="11" t="str">
        <f t="array" ref="S90">IFERROR(_xlfn.IFS(ISBLANK(Q90),"-",FIND("%",Q90,1),(Q90-R90)/100),Q90-R90)</f>
        <v>-</v>
      </c>
      <c r="T90" s="305"/>
      <c r="U90" s="305"/>
      <c r="V90" s="11" t="str">
        <f t="array" ref="V90">IFERROR(_xlfn.IFS(ISBLANK(T90),"-",FIND("%",T90,1),(T90-U90)/100),T90-U90)</f>
        <v>-</v>
      </c>
      <c r="W90" s="305"/>
      <c r="X90" s="305"/>
      <c r="Y90" s="11" t="str">
        <f t="array" ref="Y90">IFERROR(_xlfn.IFS(ISBLANK(W90),"-",FIND("%",W90,1),(W90-X90)/100),W90-X90)</f>
        <v>-</v>
      </c>
      <c r="Z90" s="305"/>
      <c r="AA90" s="305"/>
      <c r="AB90" s="11" t="str">
        <f t="array" ref="AB90">IFERROR(_xlfn.IFS(ISBLANK(Z90),"-",FIND("%",Z90,1),(Z90-AA90)/100),Z90-AA90)</f>
        <v>-</v>
      </c>
      <c r="AC90" s="305"/>
      <c r="AD90" s="305"/>
      <c r="AE90" s="11" t="str">
        <f t="array" ref="AE90">IFERROR(_xlfn.IFS(ISBLANK(AC90),"-",FIND("%",AC90,1),(AC90-AD90)/100),AC90-AD90)</f>
        <v>-</v>
      </c>
      <c r="AF90" s="305"/>
      <c r="AG90" s="305"/>
      <c r="AH90" s="11" t="str">
        <f t="array" ref="AH90">IFERROR(_xlfn.IFS(ISBLANK(AF90),"-",FIND("%",AF90,1),(AF90-AG90)/100),AF90-AG90)</f>
        <v>-</v>
      </c>
      <c r="AI90" s="305"/>
      <c r="AJ90" s="305"/>
      <c r="AK90" s="11" t="str">
        <f t="array" ref="AK90">IFERROR(_xlfn.IFS(ISBLANK(AI90),"-",FIND("%",AI90,1),(AI90-AJ90)/100),AI90-AJ90)</f>
        <v>-</v>
      </c>
      <c r="AL90" s="305"/>
      <c r="AM90" s="305"/>
      <c r="AN90" s="11" t="str">
        <f t="array" ref="AN90">IFERROR(_xlfn.IFS(ISBLANK(AL90),"-",FIND("%",AL90,1),(AL90-AM90)/100),AL90-AM90)</f>
        <v>-</v>
      </c>
      <c r="AO90" s="305"/>
      <c r="AP90" s="305"/>
      <c r="AQ90" s="11" t="str">
        <f t="array" ref="AQ90">IFERROR(_xlfn.IFS(ISBLANK(AO90),"-",FIND("%",AO90,1),(AO90-AP90)/100),AO90-AP90)</f>
        <v>-</v>
      </c>
      <c r="AR90" s="305"/>
      <c r="AS90" s="305"/>
      <c r="AT90" s="11" t="str">
        <f t="array" ref="AT90">IFERROR(_xlfn.IFS(ISBLANK(AR90),"-",FIND("%",AR90,1),(AR90-AS90)/100),AR90-AS90)</f>
        <v>-</v>
      </c>
      <c r="AU90" s="305"/>
      <c r="AV90" s="305"/>
      <c r="AW90" s="11" t="str">
        <f t="array" ref="AW90">IFERROR(_xlfn.IFS(ISBLANK(AU90),"-",FIND("%",AU90,1),(AU90-AV90)/100),AU90-AV90)</f>
        <v>-</v>
      </c>
    </row>
    <row r="91" spans="1:49" s="255" customFormat="1" x14ac:dyDescent="0.25">
      <c r="A91" s="306" t="s">
        <v>85</v>
      </c>
      <c r="B91" s="309"/>
      <c r="C91" s="309"/>
      <c r="D91" s="308" t="str">
        <f>IF(ISBLANK(B91),"-",B91-C91)</f>
        <v>-</v>
      </c>
      <c r="E91" s="309"/>
      <c r="F91" s="307">
        <v>4.9999999999999822E-2</v>
      </c>
      <c r="G91" s="308" t="str">
        <f>IF(ISBLANK(E91),"-",E91-F91)</f>
        <v>-</v>
      </c>
      <c r="H91" s="307">
        <v>4.9999999999999822E-2</v>
      </c>
      <c r="I91" s="307">
        <v>-0.19999999999999973</v>
      </c>
      <c r="J91" s="308">
        <f>IF(ISBLANK(H91),"-",H91-I91)</f>
        <v>0.24999999999999956</v>
      </c>
      <c r="K91" s="309">
        <v>4.9999999999999822E-2</v>
      </c>
      <c r="L91" s="309">
        <v>-0.19999999999999973</v>
      </c>
      <c r="M91" s="308">
        <f>IF(ISBLANK(K91),"-",K91-L91)</f>
        <v>0.24999999999999956</v>
      </c>
      <c r="N91" s="309"/>
      <c r="O91" s="309"/>
      <c r="P91" s="308" t="str">
        <f>IF(ISBLANK(N91),"-",N91-O91)</f>
        <v>-</v>
      </c>
      <c r="Q91" s="309"/>
      <c r="R91" s="309">
        <v>2.63</v>
      </c>
      <c r="S91" s="308" t="str">
        <f>IF(ISBLANK(Q91),"-",Q91-R91)</f>
        <v>-</v>
      </c>
      <c r="T91" s="309">
        <v>2.63</v>
      </c>
      <c r="U91" s="309">
        <v>2.7</v>
      </c>
      <c r="V91" s="308">
        <f>IF(ISBLANK(T91),"-",T91-U91)</f>
        <v>-7.0000000000000284E-2</v>
      </c>
      <c r="W91" s="309">
        <v>3.12</v>
      </c>
      <c r="X91" s="309">
        <v>2.9</v>
      </c>
      <c r="Y91" s="308">
        <f>IF(ISBLANK(W91),"-",W91-X91)</f>
        <v>0.2200000000000002</v>
      </c>
      <c r="Z91" s="309"/>
      <c r="AA91" s="309"/>
      <c r="AB91" s="308" t="str">
        <f>IF(ISBLANK(Z91),"-",Z91-AA91)</f>
        <v>-</v>
      </c>
      <c r="AC91" s="309"/>
      <c r="AD91" s="309"/>
      <c r="AE91" s="308" t="str">
        <f>IF(ISBLANK(AC91),"-",AC91-AD91)</f>
        <v>-</v>
      </c>
      <c r="AF91" s="309"/>
      <c r="AG91" s="309"/>
      <c r="AH91" s="308" t="str">
        <f>IF(ISBLANK(AF91),"-",AF91-AG91)</f>
        <v>-</v>
      </c>
      <c r="AI91" s="309"/>
      <c r="AJ91" s="309"/>
      <c r="AK91" s="308" t="str">
        <f>IF(ISBLANK(AI91),"-",AI91-AJ91)</f>
        <v>-</v>
      </c>
      <c r="AL91" s="309"/>
      <c r="AM91" s="309">
        <v>2.4300000000000002</v>
      </c>
      <c r="AN91" s="308" t="str">
        <f>IF(ISBLANK(AL91),"-",AL91-AM91)</f>
        <v>-</v>
      </c>
      <c r="AO91" s="309">
        <v>2.4300000000000002</v>
      </c>
      <c r="AP91" s="310">
        <v>2.63</v>
      </c>
      <c r="AQ91" s="308">
        <f>IF(ISBLANK(AO91),"-",AO91-AP91)</f>
        <v>-0.19999999999999973</v>
      </c>
      <c r="AR91" s="311">
        <v>2.59</v>
      </c>
      <c r="AS91" s="311">
        <v>2.54</v>
      </c>
      <c r="AT91" s="308">
        <f>IF(ISBLANK(AR91),"-",AR91-AS91)</f>
        <v>4.9999999999999822E-2</v>
      </c>
      <c r="AU91" s="312"/>
      <c r="AV91" s="312"/>
      <c r="AW91" s="308" t="str">
        <f>IF(ISBLANK(AU91),"-",AU91-AV91)</f>
        <v>-</v>
      </c>
    </row>
  </sheetData>
  <mergeCells count="112">
    <mergeCell ref="K46:M46"/>
    <mergeCell ref="H46:J46"/>
    <mergeCell ref="K55:M55"/>
    <mergeCell ref="H55:J55"/>
    <mergeCell ref="K89:M89"/>
    <mergeCell ref="H89:J89"/>
    <mergeCell ref="E1:F1"/>
    <mergeCell ref="B2:D2"/>
    <mergeCell ref="B20:D20"/>
    <mergeCell ref="B32:D32"/>
    <mergeCell ref="B46:D46"/>
    <mergeCell ref="B55:D55"/>
    <mergeCell ref="B89:D89"/>
    <mergeCell ref="B1:C1"/>
    <mergeCell ref="K1:L1"/>
    <mergeCell ref="H2:J2"/>
    <mergeCell ref="H1:I1"/>
    <mergeCell ref="K2:M2"/>
    <mergeCell ref="AI2:AK2"/>
    <mergeCell ref="AL2:AN2"/>
    <mergeCell ref="AR20:AT20"/>
    <mergeCell ref="W89:Y89"/>
    <mergeCell ref="Z89:AB89"/>
    <mergeCell ref="AC89:AE89"/>
    <mergeCell ref="AF89:AH89"/>
    <mergeCell ref="AI89:AK89"/>
    <mergeCell ref="E2:G2"/>
    <mergeCell ref="K20:M20"/>
    <mergeCell ref="H20:J20"/>
    <mergeCell ref="K32:M32"/>
    <mergeCell ref="H32:J32"/>
    <mergeCell ref="E20:G20"/>
    <mergeCell ref="E32:G32"/>
    <mergeCell ref="N89:P89"/>
    <mergeCell ref="N2:P2"/>
    <mergeCell ref="N20:P20"/>
    <mergeCell ref="N32:P32"/>
    <mergeCell ref="N46:P46"/>
    <mergeCell ref="N55:P55"/>
    <mergeCell ref="E46:G46"/>
    <mergeCell ref="E55:G55"/>
    <mergeCell ref="E89:G89"/>
    <mergeCell ref="AR46:AT46"/>
    <mergeCell ref="AU46:AW46"/>
    <mergeCell ref="AI55:AK55"/>
    <mergeCell ref="AL89:AN89"/>
    <mergeCell ref="AO89:AQ89"/>
    <mergeCell ref="AR89:AT89"/>
    <mergeCell ref="AU89:AW89"/>
    <mergeCell ref="AU32:AW32"/>
    <mergeCell ref="AL55:AN55"/>
    <mergeCell ref="AO55:AQ55"/>
    <mergeCell ref="AR55:AT55"/>
    <mergeCell ref="AL46:AN46"/>
    <mergeCell ref="AO46:AQ46"/>
    <mergeCell ref="AU1:AV1"/>
    <mergeCell ref="AO2:AQ2"/>
    <mergeCell ref="AR2:AT2"/>
    <mergeCell ref="AU2:AW2"/>
    <mergeCell ref="Q89:S89"/>
    <mergeCell ref="Q46:S46"/>
    <mergeCell ref="T89:V89"/>
    <mergeCell ref="AU55:AW55"/>
    <mergeCell ref="AL32:AN32"/>
    <mergeCell ref="W46:Y46"/>
    <mergeCell ref="Z46:AB46"/>
    <mergeCell ref="AC46:AE46"/>
    <mergeCell ref="AF46:AH46"/>
    <mergeCell ref="AI46:AK46"/>
    <mergeCell ref="W32:Y32"/>
    <mergeCell ref="Z32:AB32"/>
    <mergeCell ref="AC32:AE32"/>
    <mergeCell ref="AF32:AH32"/>
    <mergeCell ref="AI32:AK32"/>
    <mergeCell ref="AO32:AQ32"/>
    <mergeCell ref="AU20:AW20"/>
    <mergeCell ref="Q55:S55"/>
    <mergeCell ref="W1:X1"/>
    <mergeCell ref="Z1:AA1"/>
    <mergeCell ref="W55:Y55"/>
    <mergeCell ref="Z55:AB55"/>
    <mergeCell ref="AC55:AE55"/>
    <mergeCell ref="AF55:AH55"/>
    <mergeCell ref="T32:V32"/>
    <mergeCell ref="T46:V46"/>
    <mergeCell ref="T55:V55"/>
    <mergeCell ref="Q32:S32"/>
    <mergeCell ref="AO20:AQ20"/>
    <mergeCell ref="N1:O1"/>
    <mergeCell ref="Q1:R1"/>
    <mergeCell ref="T1:U1"/>
    <mergeCell ref="Q2:S2"/>
    <mergeCell ref="AR32:AT32"/>
    <mergeCell ref="AO1:AP1"/>
    <mergeCell ref="AR1:AS1"/>
    <mergeCell ref="AL1:AM1"/>
    <mergeCell ref="W20:Y20"/>
    <mergeCell ref="Z20:AB20"/>
    <mergeCell ref="AC20:AE20"/>
    <mergeCell ref="AF20:AH20"/>
    <mergeCell ref="AI20:AK20"/>
    <mergeCell ref="AL20:AN20"/>
    <mergeCell ref="W2:Y2"/>
    <mergeCell ref="AC1:AD1"/>
    <mergeCell ref="AF1:AG1"/>
    <mergeCell ref="AI1:AJ1"/>
    <mergeCell ref="Q20:S20"/>
    <mergeCell ref="T2:V2"/>
    <mergeCell ref="T20:V20"/>
    <mergeCell ref="Z2:AB2"/>
    <mergeCell ref="AC2:AE2"/>
    <mergeCell ref="AF2:AH2"/>
  </mergeCells>
  <conditionalFormatting sqref="AT49:AT50">
    <cfRule type="cellIs" dxfId="5044" priority="2202" operator="equal">
      <formula>"-"</formula>
    </cfRule>
    <cfRule type="cellIs" dxfId="5043" priority="2203" operator="lessThan">
      <formula>0</formula>
    </cfRule>
    <cfRule type="cellIs" dxfId="5042" priority="2204" operator="greaterThan">
      <formula>0</formula>
    </cfRule>
  </conditionalFormatting>
  <conditionalFormatting sqref="AT27:AT30">
    <cfRule type="cellIs" dxfId="5041" priority="2280" operator="equal">
      <formula>"-"</formula>
    </cfRule>
    <cfRule type="cellIs" dxfId="5040" priority="2281" operator="lessThan">
      <formula>0</formula>
    </cfRule>
    <cfRule type="cellIs" dxfId="5039" priority="2282" operator="greaterThan">
      <formula>0</formula>
    </cfRule>
  </conditionalFormatting>
  <conditionalFormatting sqref="AT40">
    <cfRule type="cellIs" dxfId="5038" priority="2274" operator="equal">
      <formula>"-"</formula>
    </cfRule>
    <cfRule type="cellIs" dxfId="5037" priority="2275" operator="lessThan">
      <formula>0</formula>
    </cfRule>
    <cfRule type="cellIs" dxfId="5036" priority="2276" operator="greaterThan">
      <formula>0</formula>
    </cfRule>
  </conditionalFormatting>
  <conditionalFormatting sqref="AT41">
    <cfRule type="cellIs" dxfId="5035" priority="2271" operator="equal">
      <formula>"-"</formula>
    </cfRule>
    <cfRule type="cellIs" dxfId="5034" priority="2272" operator="lessThan">
      <formula>0</formula>
    </cfRule>
    <cfRule type="cellIs" dxfId="5033" priority="2273" operator="greaterThan">
      <formula>0</formula>
    </cfRule>
  </conditionalFormatting>
  <conditionalFormatting sqref="AT42">
    <cfRule type="cellIs" dxfId="5032" priority="2268" operator="equal">
      <formula>"-"</formula>
    </cfRule>
    <cfRule type="cellIs" dxfId="5031" priority="2269" operator="lessThan">
      <formula>0</formula>
    </cfRule>
    <cfRule type="cellIs" dxfId="5030" priority="2270" operator="greaterThan">
      <formula>0</formula>
    </cfRule>
  </conditionalFormatting>
  <conditionalFormatting sqref="AT43">
    <cfRule type="cellIs" dxfId="5029" priority="2265" operator="equal">
      <formula>"-"</formula>
    </cfRule>
    <cfRule type="cellIs" dxfId="5028" priority="2266" operator="lessThan">
      <formula>0</formula>
    </cfRule>
    <cfRule type="cellIs" dxfId="5027" priority="2267" operator="greaterThan">
      <formula>0</formula>
    </cfRule>
  </conditionalFormatting>
  <conditionalFormatting sqref="AT44">
    <cfRule type="cellIs" dxfId="5026" priority="2262" operator="equal">
      <formula>"-"</formula>
    </cfRule>
    <cfRule type="cellIs" dxfId="5025" priority="2263" operator="lessThan">
      <formula>0</formula>
    </cfRule>
    <cfRule type="cellIs" dxfId="5024" priority="2264" operator="greaterThan">
      <formula>0</formula>
    </cfRule>
  </conditionalFormatting>
  <conditionalFormatting sqref="AT83:AT87">
    <cfRule type="cellIs" dxfId="5023" priority="2236" operator="lessThan">
      <formula>0</formula>
    </cfRule>
    <cfRule type="cellIs" dxfId="5022" priority="2237" operator="greaterThan">
      <formula>0</formula>
    </cfRule>
  </conditionalFormatting>
  <conditionalFormatting sqref="AT3:AT11">
    <cfRule type="cellIs" dxfId="5021" priority="2220" operator="equal">
      <formula>"-"</formula>
    </cfRule>
    <cfRule type="cellIs" dxfId="5020" priority="2221" operator="lessThan">
      <formula>0</formula>
    </cfRule>
    <cfRule type="cellIs" dxfId="5019" priority="2222" operator="greaterThan">
      <formula>0</formula>
    </cfRule>
  </conditionalFormatting>
  <conditionalFormatting sqref="AT21:AT26">
    <cfRule type="cellIs" dxfId="5018" priority="2217" operator="equal">
      <formula>"-"</formula>
    </cfRule>
    <cfRule type="cellIs" dxfId="5017" priority="2218" operator="lessThan">
      <formula>0</formula>
    </cfRule>
    <cfRule type="cellIs" dxfId="5016" priority="2219" operator="greaterThan">
      <formula>0</formula>
    </cfRule>
  </conditionalFormatting>
  <conditionalFormatting sqref="AT33">
    <cfRule type="cellIs" dxfId="5015" priority="2214" operator="equal">
      <formula>"-"</formula>
    </cfRule>
    <cfRule type="cellIs" dxfId="5014" priority="2215" operator="lessThan">
      <formula>0</formula>
    </cfRule>
    <cfRule type="cellIs" dxfId="5013" priority="2216" operator="greaterThan">
      <formula>0</formula>
    </cfRule>
  </conditionalFormatting>
  <conditionalFormatting sqref="AT34:AT35">
    <cfRule type="cellIs" dxfId="5012" priority="2211" operator="equal">
      <formula>"-"</formula>
    </cfRule>
    <cfRule type="cellIs" dxfId="5011" priority="2212" operator="lessThan">
      <formula>0</formula>
    </cfRule>
    <cfRule type="cellIs" dxfId="5010" priority="2213" operator="greaterThan">
      <formula>0</formula>
    </cfRule>
  </conditionalFormatting>
  <conditionalFormatting sqref="AT36">
    <cfRule type="cellIs" dxfId="5009" priority="2208" operator="equal">
      <formula>"-"</formula>
    </cfRule>
    <cfRule type="cellIs" dxfId="5008" priority="2209" operator="lessThan">
      <formula>0</formula>
    </cfRule>
    <cfRule type="cellIs" dxfId="5007" priority="2210" operator="greaterThan">
      <formula>0</formula>
    </cfRule>
  </conditionalFormatting>
  <conditionalFormatting sqref="AT47:AT48">
    <cfRule type="cellIs" dxfId="5006" priority="2205" operator="equal">
      <formula>"-"</formula>
    </cfRule>
    <cfRule type="cellIs" dxfId="5005" priority="2206" operator="lessThan">
      <formula>0</formula>
    </cfRule>
    <cfRule type="cellIs" dxfId="5004" priority="2207" operator="greaterThan">
      <formula>0</formula>
    </cfRule>
  </conditionalFormatting>
  <conditionalFormatting sqref="AR2">
    <cfRule type="containsText" dxfId="5003" priority="2198" operator="containsText" text="NEUTRO">
      <formula>NOT(ISERROR(SEARCH("NEUTRO",AR2)))</formula>
    </cfRule>
    <cfRule type="containsText" dxfId="5002" priority="2199" operator="containsText" text="BULLISH">
      <formula>NOT(ISERROR(SEARCH("BULLISH",AR2)))</formula>
    </cfRule>
    <cfRule type="containsText" dxfId="5001" priority="2200" operator="containsText" text="BEARISH">
      <formula>NOT(ISERROR(SEARCH("BEARISH",AR2)))</formula>
    </cfRule>
    <cfRule type="containsBlanks" dxfId="5000" priority="2201">
      <formula>LEN(TRIM(AR2))=0</formula>
    </cfRule>
  </conditionalFormatting>
  <conditionalFormatting sqref="AR20">
    <cfRule type="containsText" dxfId="4999" priority="2194" operator="containsText" text="NEUTRO">
      <formula>NOT(ISERROR(SEARCH("NEUTRO",AR20)))</formula>
    </cfRule>
    <cfRule type="containsText" dxfId="4998" priority="2195" operator="containsText" text="BULLISH">
      <formula>NOT(ISERROR(SEARCH("BULLISH",AR20)))</formula>
    </cfRule>
    <cfRule type="containsText" dxfId="4997" priority="2196" operator="containsText" text="BEARISH">
      <formula>NOT(ISERROR(SEARCH("BEARISH",AR20)))</formula>
    </cfRule>
    <cfRule type="containsBlanks" dxfId="4996" priority="2197">
      <formula>LEN(TRIM(AR20))=0</formula>
    </cfRule>
  </conditionalFormatting>
  <conditionalFormatting sqref="AR32">
    <cfRule type="containsText" dxfId="4995" priority="2190" operator="containsText" text="NEUTRO">
      <formula>NOT(ISERROR(SEARCH("NEUTRO",AR32)))</formula>
    </cfRule>
    <cfRule type="containsText" dxfId="4994" priority="2191" operator="containsText" text="BULLISH">
      <formula>NOT(ISERROR(SEARCH("BULLISH",AR32)))</formula>
    </cfRule>
    <cfRule type="containsText" dxfId="4993" priority="2192" operator="containsText" text="BEARISH">
      <formula>NOT(ISERROR(SEARCH("BEARISH",AR32)))</formula>
    </cfRule>
    <cfRule type="containsBlanks" dxfId="4992" priority="2193">
      <formula>LEN(TRIM(AR32))=0</formula>
    </cfRule>
  </conditionalFormatting>
  <conditionalFormatting sqref="AR46">
    <cfRule type="containsText" dxfId="4991" priority="2186" operator="containsText" text="NEUTRO">
      <formula>NOT(ISERROR(SEARCH("NEUTRO",AR46)))</formula>
    </cfRule>
    <cfRule type="containsText" dxfId="4990" priority="2187" operator="containsText" text="BULLISH">
      <formula>NOT(ISERROR(SEARCH("BULLISH",AR46)))</formula>
    </cfRule>
    <cfRule type="containsText" dxfId="4989" priority="2188" operator="containsText" text="BEARISH">
      <formula>NOT(ISERROR(SEARCH("BEARISH",AR46)))</formula>
    </cfRule>
    <cfRule type="containsBlanks" dxfId="4988" priority="2189">
      <formula>LEN(TRIM(AR46))=0</formula>
    </cfRule>
  </conditionalFormatting>
  <conditionalFormatting sqref="AR55">
    <cfRule type="containsText" dxfId="4987" priority="2182" operator="containsText" text="NEUTRO">
      <formula>NOT(ISERROR(SEARCH("NEUTRO",AR55)))</formula>
    </cfRule>
    <cfRule type="containsText" dxfId="4986" priority="2183" operator="containsText" text="BULLISH">
      <formula>NOT(ISERROR(SEARCH("BULLISH",AR55)))</formula>
    </cfRule>
    <cfRule type="containsText" dxfId="4985" priority="2184" operator="containsText" text="BEARISH">
      <formula>NOT(ISERROR(SEARCH("BEARISH",AR55)))</formula>
    </cfRule>
    <cfRule type="containsBlanks" dxfId="4984" priority="2185">
      <formula>LEN(TRIM(AR55))=0</formula>
    </cfRule>
  </conditionalFormatting>
  <conditionalFormatting sqref="AR89">
    <cfRule type="containsText" dxfId="4983" priority="2178" operator="containsText" text="NEUTRO">
      <formula>NOT(ISERROR(SEARCH("NEUTRO",AR89)))</formula>
    </cfRule>
    <cfRule type="containsText" dxfId="4982" priority="2179" operator="containsText" text="BULLISH">
      <formula>NOT(ISERROR(SEARCH("BULLISH",AR89)))</formula>
    </cfRule>
    <cfRule type="containsText" dxfId="4981" priority="2180" operator="containsText" text="BEARISH">
      <formula>NOT(ISERROR(SEARCH("BEARISH",AR89)))</formula>
    </cfRule>
    <cfRule type="containsBlanks" dxfId="4980" priority="2181">
      <formula>LEN(TRIM(AR89))=0</formula>
    </cfRule>
  </conditionalFormatting>
  <conditionalFormatting sqref="AQ44">
    <cfRule type="cellIs" dxfId="4979" priority="2156" operator="equal">
      <formula>"-"</formula>
    </cfRule>
    <cfRule type="cellIs" dxfId="4978" priority="2157" operator="lessThan">
      <formula>0</formula>
    </cfRule>
    <cfRule type="cellIs" dxfId="4977" priority="2158" operator="greaterThan">
      <formula>0</formula>
    </cfRule>
  </conditionalFormatting>
  <conditionalFormatting sqref="AE12:AE18">
    <cfRule type="cellIs" dxfId="4976" priority="1693" operator="equal">
      <formula>"-"</formula>
    </cfRule>
    <cfRule type="cellIs" dxfId="4975" priority="1694" operator="lessThan">
      <formula>0</formula>
    </cfRule>
    <cfRule type="cellIs" dxfId="4974" priority="1695" operator="greaterThan">
      <formula>0</formula>
    </cfRule>
  </conditionalFormatting>
  <conditionalFormatting sqref="W46">
    <cfRule type="containsText" dxfId="4973" priority="1232" operator="containsText" text="NEUTRO">
      <formula>NOT(ISERROR(SEARCH("NEUTRO",W46)))</formula>
    </cfRule>
    <cfRule type="containsText" dxfId="4972" priority="1233" operator="containsText" text="BULLISH">
      <formula>NOT(ISERROR(SEARCH("BULLISH",W46)))</formula>
    </cfRule>
    <cfRule type="containsText" dxfId="4971" priority="1234" operator="containsText" text="BEARISH">
      <formula>NOT(ISERROR(SEARCH("BEARISH",W46)))</formula>
    </cfRule>
    <cfRule type="containsBlanks" dxfId="4970" priority="1235">
      <formula>LEN(TRIM(W46))=0</formula>
    </cfRule>
  </conditionalFormatting>
  <conditionalFormatting sqref="AB36">
    <cfRule type="cellIs" dxfId="4969" priority="1572" operator="equal">
      <formula>"-"</formula>
    </cfRule>
    <cfRule type="cellIs" dxfId="4968" priority="1573" operator="lessThan">
      <formula>0</formula>
    </cfRule>
    <cfRule type="cellIs" dxfId="4967" priority="1574" operator="greaterThan">
      <formula>0</formula>
    </cfRule>
  </conditionalFormatting>
  <conditionalFormatting sqref="W2">
    <cfRule type="containsText" dxfId="4966" priority="1244" operator="containsText" text="NEUTRO">
      <formula>NOT(ISERROR(SEARCH("NEUTRO",W2)))</formula>
    </cfRule>
    <cfRule type="containsText" dxfId="4965" priority="1245" operator="containsText" text="BULLISH">
      <formula>NOT(ISERROR(SEARCH("BULLISH",W2)))</formula>
    </cfRule>
    <cfRule type="containsText" dxfId="4964" priority="1246" operator="containsText" text="BEARISH">
      <formula>NOT(ISERROR(SEARCH("BEARISH",W2)))</formula>
    </cfRule>
    <cfRule type="containsBlanks" dxfId="4963" priority="1247">
      <formula>LEN(TRIM(W2))=0</formula>
    </cfRule>
  </conditionalFormatting>
  <conditionalFormatting sqref="W20">
    <cfRule type="containsText" dxfId="4962" priority="1240" operator="containsText" text="NEUTRO">
      <formula>NOT(ISERROR(SEARCH("NEUTRO",W20)))</formula>
    </cfRule>
    <cfRule type="containsText" dxfId="4961" priority="1241" operator="containsText" text="BULLISH">
      <formula>NOT(ISERROR(SEARCH("BULLISH",W20)))</formula>
    </cfRule>
    <cfRule type="containsText" dxfId="4960" priority="1242" operator="containsText" text="BEARISH">
      <formula>NOT(ISERROR(SEARCH("BEARISH",W20)))</formula>
    </cfRule>
    <cfRule type="containsBlanks" dxfId="4959" priority="1243">
      <formula>LEN(TRIM(W20))=0</formula>
    </cfRule>
  </conditionalFormatting>
  <conditionalFormatting sqref="W32">
    <cfRule type="containsText" dxfId="4958" priority="1236" operator="containsText" text="NEUTRO">
      <formula>NOT(ISERROR(SEARCH("NEUTRO",W32)))</formula>
    </cfRule>
    <cfRule type="containsText" dxfId="4957" priority="1237" operator="containsText" text="BULLISH">
      <formula>NOT(ISERROR(SEARCH("BULLISH",W32)))</formula>
    </cfRule>
    <cfRule type="containsText" dxfId="4956" priority="1238" operator="containsText" text="BEARISH">
      <formula>NOT(ISERROR(SEARCH("BEARISH",W32)))</formula>
    </cfRule>
    <cfRule type="containsBlanks" dxfId="4955" priority="1239">
      <formula>LEN(TRIM(W32))=0</formula>
    </cfRule>
  </conditionalFormatting>
  <conditionalFormatting sqref="W55">
    <cfRule type="containsText" dxfId="4954" priority="1228" operator="containsText" text="NEUTRO">
      <formula>NOT(ISERROR(SEARCH("NEUTRO",W55)))</formula>
    </cfRule>
    <cfRule type="containsText" dxfId="4953" priority="1229" operator="containsText" text="BULLISH">
      <formula>NOT(ISERROR(SEARCH("BULLISH",W55)))</formula>
    </cfRule>
    <cfRule type="containsText" dxfId="4952" priority="1230" operator="containsText" text="BEARISH">
      <formula>NOT(ISERROR(SEARCH("BEARISH",W55)))</formula>
    </cfRule>
    <cfRule type="containsBlanks" dxfId="4951" priority="1231">
      <formula>LEN(TRIM(W55))=0</formula>
    </cfRule>
  </conditionalFormatting>
  <conditionalFormatting sqref="W89">
    <cfRule type="containsText" dxfId="4950" priority="1224" operator="containsText" text="NEUTRO">
      <formula>NOT(ISERROR(SEARCH("NEUTRO",W89)))</formula>
    </cfRule>
    <cfRule type="containsText" dxfId="4949" priority="1225" operator="containsText" text="BULLISH">
      <formula>NOT(ISERROR(SEARCH("BULLISH",W89)))</formula>
    </cfRule>
    <cfRule type="containsText" dxfId="4948" priority="1226" operator="containsText" text="BEARISH">
      <formula>NOT(ISERROR(SEARCH("BEARISH",W89)))</formula>
    </cfRule>
    <cfRule type="containsBlanks" dxfId="4947" priority="1227">
      <formula>LEN(TRIM(W89))=0</formula>
    </cfRule>
  </conditionalFormatting>
  <conditionalFormatting sqref="A2">
    <cfRule type="containsBlanks" dxfId="4946" priority="2410">
      <formula>LEN(TRIM(A2))=0</formula>
    </cfRule>
    <cfRule type="containsText" dxfId="4945" priority="2411" operator="containsText" text="NEUTRO">
      <formula>NOT(ISERROR(SEARCH("NEUTRO",A2)))</formula>
    </cfRule>
    <cfRule type="containsText" dxfId="4944" priority="2412" operator="containsText" text="BULLISH">
      <formula>NOT(ISERROR(SEARCH("BULLISH",A2)))</formula>
    </cfRule>
    <cfRule type="containsText" dxfId="4943" priority="2413" operator="containsText" text="BEARISH">
      <formula>NOT(ISERROR(SEARCH("BEARISH",A2)))</formula>
    </cfRule>
  </conditionalFormatting>
  <conditionalFormatting sqref="A20">
    <cfRule type="containsBlanks" dxfId="4942" priority="2406">
      <formula>LEN(TRIM(A20))=0</formula>
    </cfRule>
    <cfRule type="containsText" dxfId="4941" priority="2407" operator="containsText" text="NEUTRO">
      <formula>NOT(ISERROR(SEARCH("NEUTRO",A20)))</formula>
    </cfRule>
    <cfRule type="containsText" dxfId="4940" priority="2408" operator="containsText" text="BULLISH">
      <formula>NOT(ISERROR(SEARCH("BULLISH",A20)))</formula>
    </cfRule>
    <cfRule type="containsText" dxfId="4939" priority="2409" operator="containsText" text="BEARISH">
      <formula>NOT(ISERROR(SEARCH("BEARISH",A20)))</formula>
    </cfRule>
  </conditionalFormatting>
  <conditionalFormatting sqref="A32">
    <cfRule type="containsBlanks" dxfId="4938" priority="2402">
      <formula>LEN(TRIM(A32))=0</formula>
    </cfRule>
    <cfRule type="containsText" dxfId="4937" priority="2403" operator="containsText" text="NEUTRO">
      <formula>NOT(ISERROR(SEARCH("NEUTRO",A32)))</formula>
    </cfRule>
    <cfRule type="containsText" dxfId="4936" priority="2404" operator="containsText" text="BULLISH">
      <formula>NOT(ISERROR(SEARCH("BULLISH",A32)))</formula>
    </cfRule>
    <cfRule type="containsText" dxfId="4935" priority="2405" operator="containsText" text="BEARISH">
      <formula>NOT(ISERROR(SEARCH("BEARISH",A32)))</formula>
    </cfRule>
  </conditionalFormatting>
  <conditionalFormatting sqref="A46">
    <cfRule type="containsBlanks" dxfId="4934" priority="2398">
      <formula>LEN(TRIM(A46))=0</formula>
    </cfRule>
    <cfRule type="containsText" dxfId="4933" priority="2399" operator="containsText" text="NEUTRO">
      <formula>NOT(ISERROR(SEARCH("NEUTRO",A46)))</formula>
    </cfRule>
    <cfRule type="containsText" dxfId="4932" priority="2400" operator="containsText" text="BULLISH">
      <formula>NOT(ISERROR(SEARCH("BULLISH",A46)))</formula>
    </cfRule>
    <cfRule type="containsText" dxfId="4931" priority="2401" operator="containsText" text="BEARISH">
      <formula>NOT(ISERROR(SEARCH("BEARISH",A46)))</formula>
    </cfRule>
  </conditionalFormatting>
  <conditionalFormatting sqref="A55">
    <cfRule type="containsBlanks" dxfId="4930" priority="2394">
      <formula>LEN(TRIM(A55))=0</formula>
    </cfRule>
    <cfRule type="containsText" dxfId="4929" priority="2395" operator="containsText" text="NEUTRO">
      <formula>NOT(ISERROR(SEARCH("NEUTRO",A55)))</formula>
    </cfRule>
    <cfRule type="containsText" dxfId="4928" priority="2396" operator="containsText" text="BULLISH">
      <formula>NOT(ISERROR(SEARCH("BULLISH",A55)))</formula>
    </cfRule>
    <cfRule type="containsText" dxfId="4927" priority="2397" operator="containsText" text="BEARISH">
      <formula>NOT(ISERROR(SEARCH("BEARISH",A55)))</formula>
    </cfRule>
  </conditionalFormatting>
  <conditionalFormatting sqref="A89">
    <cfRule type="containsBlanks" dxfId="4926" priority="2390">
      <formula>LEN(TRIM(A89))=0</formula>
    </cfRule>
    <cfRule type="containsText" dxfId="4925" priority="2391" operator="containsText" text="NEUTRO">
      <formula>NOT(ISERROR(SEARCH("NEUTRO",A89)))</formula>
    </cfRule>
    <cfRule type="containsText" dxfId="4924" priority="2392" operator="containsText" text="BULLISH">
      <formula>NOT(ISERROR(SEARCH("BULLISH",A89)))</formula>
    </cfRule>
    <cfRule type="containsText" dxfId="4923" priority="2393" operator="containsText" text="BEARISH">
      <formula>NOT(ISERROR(SEARCH("BEARISH",A89)))</formula>
    </cfRule>
  </conditionalFormatting>
  <conditionalFormatting sqref="AW92:AW865">
    <cfRule type="colorScale" priority="2389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AW27:AW30">
    <cfRule type="cellIs" dxfId="4922" priority="2386" operator="equal">
      <formula>"-"</formula>
    </cfRule>
    <cfRule type="cellIs" dxfId="4921" priority="2387" operator="lessThan">
      <formula>0</formula>
    </cfRule>
    <cfRule type="cellIs" dxfId="4920" priority="2388" operator="greaterThan">
      <formula>0</formula>
    </cfRule>
  </conditionalFormatting>
  <conditionalFormatting sqref="AW39">
    <cfRule type="cellIs" dxfId="4919" priority="2384" operator="lessThan">
      <formula>0</formula>
    </cfRule>
    <cfRule type="cellIs" dxfId="4918" priority="2385" operator="greaterThan">
      <formula>0</formula>
    </cfRule>
  </conditionalFormatting>
  <conditionalFormatting sqref="AW39">
    <cfRule type="cellIs" dxfId="4917" priority="2383" operator="equal">
      <formula>"-"</formula>
    </cfRule>
  </conditionalFormatting>
  <conditionalFormatting sqref="AW40">
    <cfRule type="cellIs" dxfId="4916" priority="2380" operator="equal">
      <formula>"-"</formula>
    </cfRule>
    <cfRule type="cellIs" dxfId="4915" priority="2381" operator="lessThan">
      <formula>0</formula>
    </cfRule>
    <cfRule type="cellIs" dxfId="4914" priority="2382" operator="greaterThan">
      <formula>0</formula>
    </cfRule>
  </conditionalFormatting>
  <conditionalFormatting sqref="AW41">
    <cfRule type="cellIs" dxfId="4913" priority="2377" operator="equal">
      <formula>"-"</formula>
    </cfRule>
    <cfRule type="cellIs" dxfId="4912" priority="2378" operator="lessThan">
      <formula>0</formula>
    </cfRule>
    <cfRule type="cellIs" dxfId="4911" priority="2379" operator="greaterThan">
      <formula>0</formula>
    </cfRule>
  </conditionalFormatting>
  <conditionalFormatting sqref="AW42">
    <cfRule type="cellIs" dxfId="4910" priority="2374" operator="equal">
      <formula>"-"</formula>
    </cfRule>
    <cfRule type="cellIs" dxfId="4909" priority="2375" operator="lessThan">
      <formula>0</formula>
    </cfRule>
    <cfRule type="cellIs" dxfId="4908" priority="2376" operator="greaterThan">
      <formula>0</formula>
    </cfRule>
  </conditionalFormatting>
  <conditionalFormatting sqref="AW43">
    <cfRule type="cellIs" dxfId="4907" priority="2371" operator="equal">
      <formula>"-"</formula>
    </cfRule>
    <cfRule type="cellIs" dxfId="4906" priority="2372" operator="lessThan">
      <formula>0</formula>
    </cfRule>
    <cfRule type="cellIs" dxfId="4905" priority="2373" operator="greaterThan">
      <formula>0</formula>
    </cfRule>
  </conditionalFormatting>
  <conditionalFormatting sqref="AW44">
    <cfRule type="cellIs" dxfId="4904" priority="2368" operator="equal">
      <formula>"-"</formula>
    </cfRule>
    <cfRule type="cellIs" dxfId="4903" priority="2369" operator="lessThan">
      <formula>0</formula>
    </cfRule>
    <cfRule type="cellIs" dxfId="4902" priority="2370" operator="greaterThan">
      <formula>0</formula>
    </cfRule>
  </conditionalFormatting>
  <conditionalFormatting sqref="AW37">
    <cfRule type="cellIs" dxfId="4901" priority="2366" operator="lessThan">
      <formula>0</formula>
    </cfRule>
    <cfRule type="cellIs" dxfId="4900" priority="2367" operator="greaterThan">
      <formula>0</formula>
    </cfRule>
  </conditionalFormatting>
  <conditionalFormatting sqref="AW37">
    <cfRule type="cellIs" dxfId="4899" priority="2365" operator="equal">
      <formula>"-"</formula>
    </cfRule>
  </conditionalFormatting>
  <conditionalFormatting sqref="AW38">
    <cfRule type="cellIs" dxfId="4898" priority="2363" operator="lessThan">
      <formula>0</formula>
    </cfRule>
    <cfRule type="cellIs" dxfId="4897" priority="2364" operator="greaterThan">
      <formula>0</formula>
    </cfRule>
  </conditionalFormatting>
  <conditionalFormatting sqref="AW38">
    <cfRule type="cellIs" dxfId="4896" priority="2362" operator="equal">
      <formula>"-"</formula>
    </cfRule>
  </conditionalFormatting>
  <conditionalFormatting sqref="AW56:AW67">
    <cfRule type="cellIs" dxfId="4895" priority="2359" operator="equal">
      <formula>"-"</formula>
    </cfRule>
    <cfRule type="cellIs" dxfId="4894" priority="2360" operator="lessThan">
      <formula>0</formula>
    </cfRule>
    <cfRule type="cellIs" dxfId="4893" priority="2361" operator="greaterThan">
      <formula>0</formula>
    </cfRule>
  </conditionalFormatting>
  <conditionalFormatting sqref="AW68:AW78">
    <cfRule type="cellIs" dxfId="4892" priority="2357" operator="lessThan">
      <formula>0</formula>
    </cfRule>
    <cfRule type="cellIs" dxfId="4891" priority="2358" operator="greaterThan">
      <formula>0</formula>
    </cfRule>
  </conditionalFormatting>
  <conditionalFormatting sqref="AW68:AW78">
    <cfRule type="cellIs" dxfId="4890" priority="2356" operator="equal">
      <formula>"-"</formula>
    </cfRule>
  </conditionalFormatting>
  <conditionalFormatting sqref="AW81">
    <cfRule type="cellIs" dxfId="4889" priority="2354" operator="lessThan">
      <formula>0</formula>
    </cfRule>
    <cfRule type="cellIs" dxfId="4888" priority="2355" operator="greaterThan">
      <formula>0</formula>
    </cfRule>
  </conditionalFormatting>
  <conditionalFormatting sqref="AW81">
    <cfRule type="cellIs" dxfId="4887" priority="2353" operator="equal">
      <formula>"-"</formula>
    </cfRule>
  </conditionalFormatting>
  <conditionalFormatting sqref="AW82">
    <cfRule type="cellIs" dxfId="4886" priority="2351" operator="lessThan">
      <formula>0</formula>
    </cfRule>
    <cfRule type="cellIs" dxfId="4885" priority="2352" operator="greaterThan">
      <formula>0</formula>
    </cfRule>
  </conditionalFormatting>
  <conditionalFormatting sqref="AW82">
    <cfRule type="cellIs" dxfId="4884" priority="2350" operator="equal">
      <formula>"-"</formula>
    </cfRule>
  </conditionalFormatting>
  <conditionalFormatting sqref="AW79">
    <cfRule type="cellIs" dxfId="4883" priority="2348" operator="lessThan">
      <formula>0</formula>
    </cfRule>
    <cfRule type="cellIs" dxfId="4882" priority="2349" operator="greaterThan">
      <formula>0</formula>
    </cfRule>
  </conditionalFormatting>
  <conditionalFormatting sqref="AW79">
    <cfRule type="cellIs" dxfId="4881" priority="2347" operator="equal">
      <formula>"-"</formula>
    </cfRule>
  </conditionalFormatting>
  <conditionalFormatting sqref="AW80">
    <cfRule type="cellIs" dxfId="4880" priority="2345" operator="lessThan">
      <formula>0</formula>
    </cfRule>
    <cfRule type="cellIs" dxfId="4879" priority="2346" operator="greaterThan">
      <formula>0</formula>
    </cfRule>
  </conditionalFormatting>
  <conditionalFormatting sqref="AW80">
    <cfRule type="cellIs" dxfId="4878" priority="2344" operator="equal">
      <formula>"-"</formula>
    </cfRule>
  </conditionalFormatting>
  <conditionalFormatting sqref="AW83:AW87">
    <cfRule type="cellIs" dxfId="4877" priority="2342" operator="lessThan">
      <formula>0</formula>
    </cfRule>
    <cfRule type="cellIs" dxfId="4876" priority="2343" operator="greaterThan">
      <formula>0</formula>
    </cfRule>
  </conditionalFormatting>
  <conditionalFormatting sqref="AW83:AW87">
    <cfRule type="cellIs" dxfId="4875" priority="2341" operator="equal">
      <formula>"-"</formula>
    </cfRule>
  </conditionalFormatting>
  <conditionalFormatting sqref="AW51">
    <cfRule type="cellIs" dxfId="4874" priority="2339" operator="lessThan">
      <formula>0</formula>
    </cfRule>
    <cfRule type="cellIs" dxfId="4873" priority="2340" operator="greaterThan">
      <formula>0</formula>
    </cfRule>
  </conditionalFormatting>
  <conditionalFormatting sqref="AW51">
    <cfRule type="cellIs" dxfId="4872" priority="2338" operator="equal">
      <formula>"-"</formula>
    </cfRule>
  </conditionalFormatting>
  <conditionalFormatting sqref="AW52">
    <cfRule type="cellIs" dxfId="4871" priority="2336" operator="lessThan">
      <formula>0</formula>
    </cfRule>
    <cfRule type="cellIs" dxfId="4870" priority="2337" operator="greaterThan">
      <formula>0</formula>
    </cfRule>
  </conditionalFormatting>
  <conditionalFormatting sqref="AW52">
    <cfRule type="cellIs" dxfId="4869" priority="2335" operator="equal">
      <formula>"-"</formula>
    </cfRule>
  </conditionalFormatting>
  <conditionalFormatting sqref="AW53">
    <cfRule type="cellIs" dxfId="4868" priority="2333" operator="lessThan">
      <formula>0</formula>
    </cfRule>
    <cfRule type="cellIs" dxfId="4867" priority="2334" operator="greaterThan">
      <formula>0</formula>
    </cfRule>
  </conditionalFormatting>
  <conditionalFormatting sqref="AW53">
    <cfRule type="cellIs" dxfId="4866" priority="2332" operator="equal">
      <formula>"-"</formula>
    </cfRule>
  </conditionalFormatting>
  <conditionalFormatting sqref="AW12:AW18">
    <cfRule type="cellIs" dxfId="4865" priority="2329" operator="equal">
      <formula>"-"</formula>
    </cfRule>
    <cfRule type="cellIs" dxfId="4864" priority="2330" operator="lessThan">
      <formula>0</formula>
    </cfRule>
    <cfRule type="cellIs" dxfId="4863" priority="2331" operator="greaterThan">
      <formula>0</formula>
    </cfRule>
  </conditionalFormatting>
  <conditionalFormatting sqref="AW3:AW11">
    <cfRule type="cellIs" dxfId="4862" priority="2326" operator="equal">
      <formula>"-"</formula>
    </cfRule>
    <cfRule type="cellIs" dxfId="4861" priority="2327" operator="lessThan">
      <formula>0</formula>
    </cfRule>
    <cfRule type="cellIs" dxfId="4860" priority="2328" operator="greaterThan">
      <formula>0</formula>
    </cfRule>
  </conditionalFormatting>
  <conditionalFormatting sqref="AW21:AW26">
    <cfRule type="cellIs" dxfId="4859" priority="2323" operator="equal">
      <formula>"-"</formula>
    </cfRule>
    <cfRule type="cellIs" dxfId="4858" priority="2324" operator="lessThan">
      <formula>0</formula>
    </cfRule>
    <cfRule type="cellIs" dxfId="4857" priority="2325" operator="greaterThan">
      <formula>0</formula>
    </cfRule>
  </conditionalFormatting>
  <conditionalFormatting sqref="AW33">
    <cfRule type="cellIs" dxfId="4856" priority="2320" operator="equal">
      <formula>"-"</formula>
    </cfRule>
    <cfRule type="cellIs" dxfId="4855" priority="2321" operator="lessThan">
      <formula>0</formula>
    </cfRule>
    <cfRule type="cellIs" dxfId="4854" priority="2322" operator="greaterThan">
      <formula>0</formula>
    </cfRule>
  </conditionalFormatting>
  <conditionalFormatting sqref="AW34:AW35">
    <cfRule type="cellIs" dxfId="4853" priority="2317" operator="equal">
      <formula>"-"</formula>
    </cfRule>
    <cfRule type="cellIs" dxfId="4852" priority="2318" operator="lessThan">
      <formula>0</formula>
    </cfRule>
    <cfRule type="cellIs" dxfId="4851" priority="2319" operator="greaterThan">
      <formula>0</formula>
    </cfRule>
  </conditionalFormatting>
  <conditionalFormatting sqref="AW36">
    <cfRule type="cellIs" dxfId="4850" priority="2314" operator="equal">
      <formula>"-"</formula>
    </cfRule>
    <cfRule type="cellIs" dxfId="4849" priority="2315" operator="lessThan">
      <formula>0</formula>
    </cfRule>
    <cfRule type="cellIs" dxfId="4848" priority="2316" operator="greaterThan">
      <formula>0</formula>
    </cfRule>
  </conditionalFormatting>
  <conditionalFormatting sqref="AW47:AW48">
    <cfRule type="cellIs" dxfId="4847" priority="2311" operator="equal">
      <formula>"-"</formula>
    </cfRule>
    <cfRule type="cellIs" dxfId="4846" priority="2312" operator="lessThan">
      <formula>0</formula>
    </cfRule>
    <cfRule type="cellIs" dxfId="4845" priority="2313" operator="greaterThan">
      <formula>0</formula>
    </cfRule>
  </conditionalFormatting>
  <conditionalFormatting sqref="AW49:AW50">
    <cfRule type="cellIs" dxfId="4844" priority="2308" operator="equal">
      <formula>"-"</formula>
    </cfRule>
    <cfRule type="cellIs" dxfId="4843" priority="2309" operator="lessThan">
      <formula>0</formula>
    </cfRule>
    <cfRule type="cellIs" dxfId="4842" priority="2310" operator="greaterThan">
      <formula>0</formula>
    </cfRule>
  </conditionalFormatting>
  <conditionalFormatting sqref="AU2">
    <cfRule type="containsText" dxfId="4841" priority="2304" operator="containsText" text="NEUTRO">
      <formula>NOT(ISERROR(SEARCH("NEUTRO",AU2)))</formula>
    </cfRule>
    <cfRule type="containsText" dxfId="4840" priority="2305" operator="containsText" text="BULLISH">
      <formula>NOT(ISERROR(SEARCH("BULLISH",AU2)))</formula>
    </cfRule>
    <cfRule type="containsText" dxfId="4839" priority="2306" operator="containsText" text="BEARISH">
      <formula>NOT(ISERROR(SEARCH("BEARISH",AU2)))</formula>
    </cfRule>
    <cfRule type="containsBlanks" dxfId="4838" priority="2307">
      <formula>LEN(TRIM(AU2))=0</formula>
    </cfRule>
  </conditionalFormatting>
  <conditionalFormatting sqref="AU20">
    <cfRule type="containsText" dxfId="4837" priority="2300" operator="containsText" text="NEUTRO">
      <formula>NOT(ISERROR(SEARCH("NEUTRO",AU20)))</formula>
    </cfRule>
    <cfRule type="containsText" dxfId="4836" priority="2301" operator="containsText" text="BULLISH">
      <formula>NOT(ISERROR(SEARCH("BULLISH",AU20)))</formula>
    </cfRule>
    <cfRule type="containsText" dxfId="4835" priority="2302" operator="containsText" text="BEARISH">
      <formula>NOT(ISERROR(SEARCH("BEARISH",AU20)))</formula>
    </cfRule>
    <cfRule type="containsBlanks" dxfId="4834" priority="2303">
      <formula>LEN(TRIM(AU20))=0</formula>
    </cfRule>
  </conditionalFormatting>
  <conditionalFormatting sqref="AU32">
    <cfRule type="containsText" dxfId="4833" priority="2296" operator="containsText" text="NEUTRO">
      <formula>NOT(ISERROR(SEARCH("NEUTRO",AU32)))</formula>
    </cfRule>
    <cfRule type="containsText" dxfId="4832" priority="2297" operator="containsText" text="BULLISH">
      <formula>NOT(ISERROR(SEARCH("BULLISH",AU32)))</formula>
    </cfRule>
    <cfRule type="containsText" dxfId="4831" priority="2298" operator="containsText" text="BEARISH">
      <formula>NOT(ISERROR(SEARCH("BEARISH",AU32)))</formula>
    </cfRule>
    <cfRule type="containsBlanks" dxfId="4830" priority="2299">
      <formula>LEN(TRIM(AU32))=0</formula>
    </cfRule>
  </conditionalFormatting>
  <conditionalFormatting sqref="AU46">
    <cfRule type="containsText" dxfId="4829" priority="2292" operator="containsText" text="NEUTRO">
      <formula>NOT(ISERROR(SEARCH("NEUTRO",AU46)))</formula>
    </cfRule>
    <cfRule type="containsText" dxfId="4828" priority="2293" operator="containsText" text="BULLISH">
      <formula>NOT(ISERROR(SEARCH("BULLISH",AU46)))</formula>
    </cfRule>
    <cfRule type="containsText" dxfId="4827" priority="2294" operator="containsText" text="BEARISH">
      <formula>NOT(ISERROR(SEARCH("BEARISH",AU46)))</formula>
    </cfRule>
    <cfRule type="containsBlanks" dxfId="4826" priority="2295">
      <formula>LEN(TRIM(AU46))=0</formula>
    </cfRule>
  </conditionalFormatting>
  <conditionalFormatting sqref="AU55">
    <cfRule type="containsText" dxfId="4825" priority="2288" operator="containsText" text="NEUTRO">
      <formula>NOT(ISERROR(SEARCH("NEUTRO",AU55)))</formula>
    </cfRule>
    <cfRule type="containsText" dxfId="4824" priority="2289" operator="containsText" text="BULLISH">
      <formula>NOT(ISERROR(SEARCH("BULLISH",AU55)))</formula>
    </cfRule>
    <cfRule type="containsText" dxfId="4823" priority="2290" operator="containsText" text="BEARISH">
      <formula>NOT(ISERROR(SEARCH("BEARISH",AU55)))</formula>
    </cfRule>
    <cfRule type="containsBlanks" dxfId="4822" priority="2291">
      <formula>LEN(TRIM(AU55))=0</formula>
    </cfRule>
  </conditionalFormatting>
  <conditionalFormatting sqref="AU89">
    <cfRule type="containsText" dxfId="4821" priority="2284" operator="containsText" text="NEUTRO">
      <formula>NOT(ISERROR(SEARCH("NEUTRO",AU89)))</formula>
    </cfRule>
    <cfRule type="containsText" dxfId="4820" priority="2285" operator="containsText" text="BULLISH">
      <formula>NOT(ISERROR(SEARCH("BULLISH",AU89)))</formula>
    </cfRule>
    <cfRule type="containsText" dxfId="4819" priority="2286" operator="containsText" text="BEARISH">
      <formula>NOT(ISERROR(SEARCH("BEARISH",AU89)))</formula>
    </cfRule>
    <cfRule type="containsBlanks" dxfId="4818" priority="2287">
      <formula>LEN(TRIM(AU89))=0</formula>
    </cfRule>
  </conditionalFormatting>
  <conditionalFormatting sqref="AT92:AT865">
    <cfRule type="colorScale" priority="2283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AQ27:AQ30">
    <cfRule type="cellIs" dxfId="4817" priority="2174" operator="equal">
      <formula>"-"</formula>
    </cfRule>
    <cfRule type="cellIs" dxfId="4816" priority="2175" operator="lessThan">
      <formula>0</formula>
    </cfRule>
    <cfRule type="cellIs" dxfId="4815" priority="2176" operator="greaterThan">
      <formula>0</formula>
    </cfRule>
  </conditionalFormatting>
  <conditionalFormatting sqref="AT39">
    <cfRule type="cellIs" dxfId="4814" priority="2278" operator="lessThan">
      <formula>0</formula>
    </cfRule>
    <cfRule type="cellIs" dxfId="4813" priority="2279" operator="greaterThan">
      <formula>0</formula>
    </cfRule>
  </conditionalFormatting>
  <conditionalFormatting sqref="AT39">
    <cfRule type="cellIs" dxfId="4812" priority="2277" operator="equal">
      <formula>"-"</formula>
    </cfRule>
  </conditionalFormatting>
  <conditionalFormatting sqref="AQ40">
    <cfRule type="cellIs" dxfId="4811" priority="2168" operator="equal">
      <formula>"-"</formula>
    </cfRule>
    <cfRule type="cellIs" dxfId="4810" priority="2169" operator="lessThan">
      <formula>0</formula>
    </cfRule>
    <cfRule type="cellIs" dxfId="4809" priority="2170" operator="greaterThan">
      <formula>0</formula>
    </cfRule>
  </conditionalFormatting>
  <conditionalFormatting sqref="AQ41">
    <cfRule type="cellIs" dxfId="4808" priority="2165" operator="equal">
      <formula>"-"</formula>
    </cfRule>
    <cfRule type="cellIs" dxfId="4807" priority="2166" operator="lessThan">
      <formula>0</formula>
    </cfRule>
    <cfRule type="cellIs" dxfId="4806" priority="2167" operator="greaterThan">
      <formula>0</formula>
    </cfRule>
  </conditionalFormatting>
  <conditionalFormatting sqref="AQ42">
    <cfRule type="cellIs" dxfId="4805" priority="2162" operator="equal">
      <formula>"-"</formula>
    </cfRule>
    <cfRule type="cellIs" dxfId="4804" priority="2163" operator="lessThan">
      <formula>0</formula>
    </cfRule>
    <cfRule type="cellIs" dxfId="4803" priority="2164" operator="greaterThan">
      <formula>0</formula>
    </cfRule>
  </conditionalFormatting>
  <conditionalFormatting sqref="AQ43">
    <cfRule type="cellIs" dxfId="4802" priority="2159" operator="equal">
      <formula>"-"</formula>
    </cfRule>
    <cfRule type="cellIs" dxfId="4801" priority="2160" operator="lessThan">
      <formula>0</formula>
    </cfRule>
    <cfRule type="cellIs" dxfId="4800" priority="2161" operator="greaterThan">
      <formula>0</formula>
    </cfRule>
  </conditionalFormatting>
  <conditionalFormatting sqref="AT37">
    <cfRule type="cellIs" dxfId="4799" priority="2260" operator="lessThan">
      <formula>0</formula>
    </cfRule>
    <cfRule type="cellIs" dxfId="4798" priority="2261" operator="greaterThan">
      <formula>0</formula>
    </cfRule>
  </conditionalFormatting>
  <conditionalFormatting sqref="AT37">
    <cfRule type="cellIs" dxfId="4797" priority="2259" operator="equal">
      <formula>"-"</formula>
    </cfRule>
  </conditionalFormatting>
  <conditionalFormatting sqref="AT38">
    <cfRule type="cellIs" dxfId="4796" priority="2257" operator="lessThan">
      <formula>0</formula>
    </cfRule>
    <cfRule type="cellIs" dxfId="4795" priority="2258" operator="greaterThan">
      <formula>0</formula>
    </cfRule>
  </conditionalFormatting>
  <conditionalFormatting sqref="AT38">
    <cfRule type="cellIs" dxfId="4794" priority="2256" operator="equal">
      <formula>"-"</formula>
    </cfRule>
  </conditionalFormatting>
  <conditionalFormatting sqref="AT56:AT67">
    <cfRule type="cellIs" dxfId="4793" priority="2253" operator="equal">
      <formula>"-"</formula>
    </cfRule>
    <cfRule type="cellIs" dxfId="4792" priority="2254" operator="lessThan">
      <formula>0</formula>
    </cfRule>
    <cfRule type="cellIs" dxfId="4791" priority="2255" operator="greaterThan">
      <formula>0</formula>
    </cfRule>
  </conditionalFormatting>
  <conditionalFormatting sqref="AT68:AT78">
    <cfRule type="cellIs" dxfId="4790" priority="2251" operator="lessThan">
      <formula>0</formula>
    </cfRule>
    <cfRule type="cellIs" dxfId="4789" priority="2252" operator="greaterThan">
      <formula>0</formula>
    </cfRule>
  </conditionalFormatting>
  <conditionalFormatting sqref="AT68:AT78">
    <cfRule type="cellIs" dxfId="4788" priority="2250" operator="equal">
      <formula>"-"</formula>
    </cfRule>
  </conditionalFormatting>
  <conditionalFormatting sqref="AT81">
    <cfRule type="cellIs" dxfId="4787" priority="2248" operator="lessThan">
      <formula>0</formula>
    </cfRule>
    <cfRule type="cellIs" dxfId="4786" priority="2249" operator="greaterThan">
      <formula>0</formula>
    </cfRule>
  </conditionalFormatting>
  <conditionalFormatting sqref="AT81">
    <cfRule type="cellIs" dxfId="4785" priority="2247" operator="equal">
      <formula>"-"</formula>
    </cfRule>
  </conditionalFormatting>
  <conditionalFormatting sqref="AT82">
    <cfRule type="cellIs" dxfId="4784" priority="2245" operator="lessThan">
      <formula>0</formula>
    </cfRule>
    <cfRule type="cellIs" dxfId="4783" priority="2246" operator="greaterThan">
      <formula>0</formula>
    </cfRule>
  </conditionalFormatting>
  <conditionalFormatting sqref="AT82">
    <cfRule type="cellIs" dxfId="4782" priority="2244" operator="equal">
      <formula>"-"</formula>
    </cfRule>
  </conditionalFormatting>
  <conditionalFormatting sqref="AT79">
    <cfRule type="cellIs" dxfId="4781" priority="2242" operator="lessThan">
      <formula>0</formula>
    </cfRule>
    <cfRule type="cellIs" dxfId="4780" priority="2243" operator="greaterThan">
      <formula>0</formula>
    </cfRule>
  </conditionalFormatting>
  <conditionalFormatting sqref="AT79">
    <cfRule type="cellIs" dxfId="4779" priority="2241" operator="equal">
      <formula>"-"</formula>
    </cfRule>
  </conditionalFormatting>
  <conditionalFormatting sqref="AT80">
    <cfRule type="cellIs" dxfId="4778" priority="2239" operator="lessThan">
      <formula>0</formula>
    </cfRule>
    <cfRule type="cellIs" dxfId="4777" priority="2240" operator="greaterThan">
      <formula>0</formula>
    </cfRule>
  </conditionalFormatting>
  <conditionalFormatting sqref="AT80">
    <cfRule type="cellIs" dxfId="4776" priority="2238" operator="equal">
      <formula>"-"</formula>
    </cfRule>
  </conditionalFormatting>
  <conditionalFormatting sqref="AQ83:AQ87">
    <cfRule type="cellIs" dxfId="4775" priority="2130" operator="lessThan">
      <formula>0</formula>
    </cfRule>
    <cfRule type="cellIs" dxfId="4774" priority="2131" operator="greaterThan">
      <formula>0</formula>
    </cfRule>
  </conditionalFormatting>
  <conditionalFormatting sqref="AT83:AT87">
    <cfRule type="cellIs" dxfId="4773" priority="2235" operator="equal">
      <formula>"-"</formula>
    </cfRule>
  </conditionalFormatting>
  <conditionalFormatting sqref="AT51">
    <cfRule type="cellIs" dxfId="4772" priority="2233" operator="lessThan">
      <formula>0</formula>
    </cfRule>
    <cfRule type="cellIs" dxfId="4771" priority="2234" operator="greaterThan">
      <formula>0</formula>
    </cfRule>
  </conditionalFormatting>
  <conditionalFormatting sqref="AT51">
    <cfRule type="cellIs" dxfId="4770" priority="2232" operator="equal">
      <formula>"-"</formula>
    </cfRule>
  </conditionalFormatting>
  <conditionalFormatting sqref="AT52">
    <cfRule type="cellIs" dxfId="4769" priority="2230" operator="lessThan">
      <formula>0</formula>
    </cfRule>
    <cfRule type="cellIs" dxfId="4768" priority="2231" operator="greaterThan">
      <formula>0</formula>
    </cfRule>
  </conditionalFormatting>
  <conditionalFormatting sqref="AT52">
    <cfRule type="cellIs" dxfId="4767" priority="2229" operator="equal">
      <formula>"-"</formula>
    </cfRule>
  </conditionalFormatting>
  <conditionalFormatting sqref="AT53">
    <cfRule type="cellIs" dxfId="4766" priority="2227" operator="lessThan">
      <formula>0</formula>
    </cfRule>
    <cfRule type="cellIs" dxfId="4765" priority="2228" operator="greaterThan">
      <formula>0</formula>
    </cfRule>
  </conditionalFormatting>
  <conditionalFormatting sqref="AT53">
    <cfRule type="cellIs" dxfId="4764" priority="2226" operator="equal">
      <formula>"-"</formula>
    </cfRule>
  </conditionalFormatting>
  <conditionalFormatting sqref="AT12:AT18">
    <cfRule type="cellIs" dxfId="4763" priority="2223" operator="equal">
      <formula>"-"</formula>
    </cfRule>
    <cfRule type="cellIs" dxfId="4762" priority="2224" operator="lessThan">
      <formula>0</formula>
    </cfRule>
    <cfRule type="cellIs" dxfId="4761" priority="2225" operator="greaterThan">
      <formula>0</formula>
    </cfRule>
  </conditionalFormatting>
  <conditionalFormatting sqref="AQ3:AQ11">
    <cfRule type="cellIs" dxfId="4760" priority="2114" operator="equal">
      <formula>"-"</formula>
    </cfRule>
    <cfRule type="cellIs" dxfId="4759" priority="2115" operator="lessThan">
      <formula>0</formula>
    </cfRule>
    <cfRule type="cellIs" dxfId="4758" priority="2116" operator="greaterThan">
      <formula>0</formula>
    </cfRule>
  </conditionalFormatting>
  <conditionalFormatting sqref="AQ21:AQ26">
    <cfRule type="cellIs" dxfId="4757" priority="2111" operator="equal">
      <formula>"-"</formula>
    </cfRule>
    <cfRule type="cellIs" dxfId="4756" priority="2112" operator="lessThan">
      <formula>0</formula>
    </cfRule>
    <cfRule type="cellIs" dxfId="4755" priority="2113" operator="greaterThan">
      <formula>0</formula>
    </cfRule>
  </conditionalFormatting>
  <conditionalFormatting sqref="AQ33">
    <cfRule type="cellIs" dxfId="4754" priority="2108" operator="equal">
      <formula>"-"</formula>
    </cfRule>
    <cfRule type="cellIs" dxfId="4753" priority="2109" operator="lessThan">
      <formula>0</formula>
    </cfRule>
    <cfRule type="cellIs" dxfId="4752" priority="2110" operator="greaterThan">
      <formula>0</formula>
    </cfRule>
  </conditionalFormatting>
  <conditionalFormatting sqref="AQ34:AQ35">
    <cfRule type="cellIs" dxfId="4751" priority="2105" operator="equal">
      <formula>"-"</formula>
    </cfRule>
    <cfRule type="cellIs" dxfId="4750" priority="2106" operator="lessThan">
      <formula>0</formula>
    </cfRule>
    <cfRule type="cellIs" dxfId="4749" priority="2107" operator="greaterThan">
      <formula>0</formula>
    </cfRule>
  </conditionalFormatting>
  <conditionalFormatting sqref="AQ36">
    <cfRule type="cellIs" dxfId="4748" priority="2102" operator="equal">
      <formula>"-"</formula>
    </cfRule>
    <cfRule type="cellIs" dxfId="4747" priority="2103" operator="lessThan">
      <formula>0</formula>
    </cfRule>
    <cfRule type="cellIs" dxfId="4746" priority="2104" operator="greaterThan">
      <formula>0</formula>
    </cfRule>
  </conditionalFormatting>
  <conditionalFormatting sqref="AQ47:AQ48">
    <cfRule type="cellIs" dxfId="4745" priority="2099" operator="equal">
      <formula>"-"</formula>
    </cfRule>
    <cfRule type="cellIs" dxfId="4744" priority="2100" operator="lessThan">
      <formula>0</formula>
    </cfRule>
    <cfRule type="cellIs" dxfId="4743" priority="2101" operator="greaterThan">
      <formula>0</formula>
    </cfRule>
  </conditionalFormatting>
  <conditionalFormatting sqref="AQ49:AQ50">
    <cfRule type="cellIs" dxfId="4742" priority="2096" operator="equal">
      <formula>"-"</formula>
    </cfRule>
    <cfRule type="cellIs" dxfId="4741" priority="2097" operator="lessThan">
      <formula>0</formula>
    </cfRule>
    <cfRule type="cellIs" dxfId="4740" priority="2098" operator="greaterThan">
      <formula>0</formula>
    </cfRule>
  </conditionalFormatting>
  <conditionalFormatting sqref="AO2">
    <cfRule type="containsText" dxfId="4739" priority="2092" operator="containsText" text="NEUTRO">
      <formula>NOT(ISERROR(SEARCH("NEUTRO",AO2)))</formula>
    </cfRule>
    <cfRule type="containsText" dxfId="4738" priority="2093" operator="containsText" text="BULLISH">
      <formula>NOT(ISERROR(SEARCH("BULLISH",AO2)))</formula>
    </cfRule>
    <cfRule type="containsText" dxfId="4737" priority="2094" operator="containsText" text="BEARISH">
      <formula>NOT(ISERROR(SEARCH("BEARISH",AO2)))</formula>
    </cfRule>
    <cfRule type="containsBlanks" dxfId="4736" priority="2095">
      <formula>LEN(TRIM(AO2))=0</formula>
    </cfRule>
  </conditionalFormatting>
  <conditionalFormatting sqref="AO20">
    <cfRule type="containsText" dxfId="4735" priority="2088" operator="containsText" text="NEUTRO">
      <formula>NOT(ISERROR(SEARCH("NEUTRO",AO20)))</formula>
    </cfRule>
    <cfRule type="containsText" dxfId="4734" priority="2089" operator="containsText" text="BULLISH">
      <formula>NOT(ISERROR(SEARCH("BULLISH",AO20)))</formula>
    </cfRule>
    <cfRule type="containsText" dxfId="4733" priority="2090" operator="containsText" text="BEARISH">
      <formula>NOT(ISERROR(SEARCH("BEARISH",AO20)))</formula>
    </cfRule>
    <cfRule type="containsBlanks" dxfId="4732" priority="2091">
      <formula>LEN(TRIM(AO20))=0</formula>
    </cfRule>
  </conditionalFormatting>
  <conditionalFormatting sqref="AO32">
    <cfRule type="containsText" dxfId="4731" priority="2084" operator="containsText" text="NEUTRO">
      <formula>NOT(ISERROR(SEARCH("NEUTRO",AO32)))</formula>
    </cfRule>
    <cfRule type="containsText" dxfId="4730" priority="2085" operator="containsText" text="BULLISH">
      <formula>NOT(ISERROR(SEARCH("BULLISH",AO32)))</formula>
    </cfRule>
    <cfRule type="containsText" dxfId="4729" priority="2086" operator="containsText" text="BEARISH">
      <formula>NOT(ISERROR(SEARCH("BEARISH",AO32)))</formula>
    </cfRule>
    <cfRule type="containsBlanks" dxfId="4728" priority="2087">
      <formula>LEN(TRIM(AO32))=0</formula>
    </cfRule>
  </conditionalFormatting>
  <conditionalFormatting sqref="AO46">
    <cfRule type="containsText" dxfId="4727" priority="2080" operator="containsText" text="NEUTRO">
      <formula>NOT(ISERROR(SEARCH("NEUTRO",AO46)))</formula>
    </cfRule>
    <cfRule type="containsText" dxfId="4726" priority="2081" operator="containsText" text="BULLISH">
      <formula>NOT(ISERROR(SEARCH("BULLISH",AO46)))</formula>
    </cfRule>
    <cfRule type="containsText" dxfId="4725" priority="2082" operator="containsText" text="BEARISH">
      <formula>NOT(ISERROR(SEARCH("BEARISH",AO46)))</formula>
    </cfRule>
    <cfRule type="containsBlanks" dxfId="4724" priority="2083">
      <formula>LEN(TRIM(AO46))=0</formula>
    </cfRule>
  </conditionalFormatting>
  <conditionalFormatting sqref="AO55">
    <cfRule type="containsText" dxfId="4723" priority="2076" operator="containsText" text="NEUTRO">
      <formula>NOT(ISERROR(SEARCH("NEUTRO",AO55)))</formula>
    </cfRule>
    <cfRule type="containsText" dxfId="4722" priority="2077" operator="containsText" text="BULLISH">
      <formula>NOT(ISERROR(SEARCH("BULLISH",AO55)))</formula>
    </cfRule>
    <cfRule type="containsText" dxfId="4721" priority="2078" operator="containsText" text="BEARISH">
      <formula>NOT(ISERROR(SEARCH("BEARISH",AO55)))</formula>
    </cfRule>
    <cfRule type="containsBlanks" dxfId="4720" priority="2079">
      <formula>LEN(TRIM(AO55))=0</formula>
    </cfRule>
  </conditionalFormatting>
  <conditionalFormatting sqref="AO89">
    <cfRule type="containsText" dxfId="4719" priority="2072" operator="containsText" text="NEUTRO">
      <formula>NOT(ISERROR(SEARCH("NEUTRO",AO89)))</formula>
    </cfRule>
    <cfRule type="containsText" dxfId="4718" priority="2073" operator="containsText" text="BULLISH">
      <formula>NOT(ISERROR(SEARCH("BULLISH",AO89)))</formula>
    </cfRule>
    <cfRule type="containsText" dxfId="4717" priority="2074" operator="containsText" text="BEARISH">
      <formula>NOT(ISERROR(SEARCH("BEARISH",AO89)))</formula>
    </cfRule>
    <cfRule type="containsBlanks" dxfId="4716" priority="2075">
      <formula>LEN(TRIM(AO89))=0</formula>
    </cfRule>
  </conditionalFormatting>
  <conditionalFormatting sqref="AQ92:AQ865">
    <cfRule type="colorScale" priority="2177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AQ39">
    <cfRule type="cellIs" dxfId="4715" priority="2172" operator="lessThan">
      <formula>0</formula>
    </cfRule>
    <cfRule type="cellIs" dxfId="4714" priority="2173" operator="greaterThan">
      <formula>0</formula>
    </cfRule>
  </conditionalFormatting>
  <conditionalFormatting sqref="AQ39">
    <cfRule type="cellIs" dxfId="4713" priority="2171" operator="equal">
      <formula>"-"</formula>
    </cfRule>
  </conditionalFormatting>
  <conditionalFormatting sqref="AN44">
    <cfRule type="cellIs" dxfId="4712" priority="2050" operator="equal">
      <formula>"-"</formula>
    </cfRule>
    <cfRule type="cellIs" dxfId="4711" priority="2051" operator="lessThan">
      <formula>0</formula>
    </cfRule>
    <cfRule type="cellIs" dxfId="4710" priority="2052" operator="greaterThan">
      <formula>0</formula>
    </cfRule>
  </conditionalFormatting>
  <conditionalFormatting sqref="AQ37">
    <cfRule type="cellIs" dxfId="4709" priority="2154" operator="lessThan">
      <formula>0</formula>
    </cfRule>
    <cfRule type="cellIs" dxfId="4708" priority="2155" operator="greaterThan">
      <formula>0</formula>
    </cfRule>
  </conditionalFormatting>
  <conditionalFormatting sqref="AQ37">
    <cfRule type="cellIs" dxfId="4707" priority="2153" operator="equal">
      <formula>"-"</formula>
    </cfRule>
  </conditionalFormatting>
  <conditionalFormatting sqref="AQ38">
    <cfRule type="cellIs" dxfId="4706" priority="2151" operator="lessThan">
      <formula>0</formula>
    </cfRule>
    <cfRule type="cellIs" dxfId="4705" priority="2152" operator="greaterThan">
      <formula>0</formula>
    </cfRule>
  </conditionalFormatting>
  <conditionalFormatting sqref="AQ38">
    <cfRule type="cellIs" dxfId="4704" priority="2150" operator="equal">
      <formula>"-"</formula>
    </cfRule>
  </conditionalFormatting>
  <conditionalFormatting sqref="AQ56:AQ67">
    <cfRule type="cellIs" dxfId="4703" priority="2147" operator="equal">
      <formula>"-"</formula>
    </cfRule>
    <cfRule type="cellIs" dxfId="4702" priority="2148" operator="lessThan">
      <formula>0</formula>
    </cfRule>
    <cfRule type="cellIs" dxfId="4701" priority="2149" operator="greaterThan">
      <formula>0</formula>
    </cfRule>
  </conditionalFormatting>
  <conditionalFormatting sqref="AQ68:AQ78">
    <cfRule type="cellIs" dxfId="4700" priority="2145" operator="lessThan">
      <formula>0</formula>
    </cfRule>
    <cfRule type="cellIs" dxfId="4699" priority="2146" operator="greaterThan">
      <formula>0</formula>
    </cfRule>
  </conditionalFormatting>
  <conditionalFormatting sqref="AQ68:AQ78">
    <cfRule type="cellIs" dxfId="4698" priority="2144" operator="equal">
      <formula>"-"</formula>
    </cfRule>
  </conditionalFormatting>
  <conditionalFormatting sqref="AQ81">
    <cfRule type="cellIs" dxfId="4697" priority="2142" operator="lessThan">
      <formula>0</formula>
    </cfRule>
    <cfRule type="cellIs" dxfId="4696" priority="2143" operator="greaterThan">
      <formula>0</formula>
    </cfRule>
  </conditionalFormatting>
  <conditionalFormatting sqref="AQ81">
    <cfRule type="cellIs" dxfId="4695" priority="2141" operator="equal">
      <formula>"-"</formula>
    </cfRule>
  </conditionalFormatting>
  <conditionalFormatting sqref="AQ82">
    <cfRule type="cellIs" dxfId="4694" priority="2139" operator="lessThan">
      <formula>0</formula>
    </cfRule>
    <cfRule type="cellIs" dxfId="4693" priority="2140" operator="greaterThan">
      <formula>0</formula>
    </cfRule>
  </conditionalFormatting>
  <conditionalFormatting sqref="AQ82">
    <cfRule type="cellIs" dxfId="4692" priority="2138" operator="equal">
      <formula>"-"</formula>
    </cfRule>
  </conditionalFormatting>
  <conditionalFormatting sqref="AQ79">
    <cfRule type="cellIs" dxfId="4691" priority="2136" operator="lessThan">
      <formula>0</formula>
    </cfRule>
    <cfRule type="cellIs" dxfId="4690" priority="2137" operator="greaterThan">
      <formula>0</formula>
    </cfRule>
  </conditionalFormatting>
  <conditionalFormatting sqref="AQ79">
    <cfRule type="cellIs" dxfId="4689" priority="2135" operator="equal">
      <formula>"-"</formula>
    </cfRule>
  </conditionalFormatting>
  <conditionalFormatting sqref="AQ80">
    <cfRule type="cellIs" dxfId="4688" priority="2133" operator="lessThan">
      <formula>0</formula>
    </cfRule>
    <cfRule type="cellIs" dxfId="4687" priority="2134" operator="greaterThan">
      <formula>0</formula>
    </cfRule>
  </conditionalFormatting>
  <conditionalFormatting sqref="AQ80">
    <cfRule type="cellIs" dxfId="4686" priority="2132" operator="equal">
      <formula>"-"</formula>
    </cfRule>
  </conditionalFormatting>
  <conditionalFormatting sqref="AQ83:AQ87">
    <cfRule type="cellIs" dxfId="4685" priority="2129" operator="equal">
      <formula>"-"</formula>
    </cfRule>
  </conditionalFormatting>
  <conditionalFormatting sqref="AQ51">
    <cfRule type="cellIs" dxfId="4684" priority="2127" operator="lessThan">
      <formula>0</formula>
    </cfRule>
    <cfRule type="cellIs" dxfId="4683" priority="2128" operator="greaterThan">
      <formula>0</formula>
    </cfRule>
  </conditionalFormatting>
  <conditionalFormatting sqref="AQ51">
    <cfRule type="cellIs" dxfId="4682" priority="2126" operator="equal">
      <formula>"-"</formula>
    </cfRule>
  </conditionalFormatting>
  <conditionalFormatting sqref="AQ52">
    <cfRule type="cellIs" dxfId="4681" priority="2124" operator="lessThan">
      <formula>0</formula>
    </cfRule>
    <cfRule type="cellIs" dxfId="4680" priority="2125" operator="greaterThan">
      <formula>0</formula>
    </cfRule>
  </conditionalFormatting>
  <conditionalFormatting sqref="AQ52">
    <cfRule type="cellIs" dxfId="4679" priority="2123" operator="equal">
      <formula>"-"</formula>
    </cfRule>
  </conditionalFormatting>
  <conditionalFormatting sqref="AQ53">
    <cfRule type="cellIs" dxfId="4678" priority="2121" operator="lessThan">
      <formula>0</formula>
    </cfRule>
    <cfRule type="cellIs" dxfId="4677" priority="2122" operator="greaterThan">
      <formula>0</formula>
    </cfRule>
  </conditionalFormatting>
  <conditionalFormatting sqref="AQ53">
    <cfRule type="cellIs" dxfId="4676" priority="2120" operator="equal">
      <formula>"-"</formula>
    </cfRule>
  </conditionalFormatting>
  <conditionalFormatting sqref="AQ12:AQ18">
    <cfRule type="cellIs" dxfId="4675" priority="2117" operator="equal">
      <formula>"-"</formula>
    </cfRule>
    <cfRule type="cellIs" dxfId="4674" priority="2118" operator="lessThan">
      <formula>0</formula>
    </cfRule>
    <cfRule type="cellIs" dxfId="4673" priority="2119" operator="greaterThan">
      <formula>0</formula>
    </cfRule>
  </conditionalFormatting>
  <conditionalFormatting sqref="AN92:AN865">
    <cfRule type="colorScale" priority="2071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AN27:AN30">
    <cfRule type="cellIs" dxfId="4672" priority="2068" operator="equal">
      <formula>"-"</formula>
    </cfRule>
    <cfRule type="cellIs" dxfId="4671" priority="2069" operator="lessThan">
      <formula>0</formula>
    </cfRule>
    <cfRule type="cellIs" dxfId="4670" priority="2070" operator="greaterThan">
      <formula>0</formula>
    </cfRule>
  </conditionalFormatting>
  <conditionalFormatting sqref="AN39">
    <cfRule type="cellIs" dxfId="4669" priority="2066" operator="lessThan">
      <formula>0</formula>
    </cfRule>
    <cfRule type="cellIs" dxfId="4668" priority="2067" operator="greaterThan">
      <formula>0</formula>
    </cfRule>
  </conditionalFormatting>
  <conditionalFormatting sqref="AN39">
    <cfRule type="cellIs" dxfId="4667" priority="2065" operator="equal">
      <formula>"-"</formula>
    </cfRule>
  </conditionalFormatting>
  <conditionalFormatting sqref="AN40">
    <cfRule type="cellIs" dxfId="4666" priority="2062" operator="equal">
      <formula>"-"</formula>
    </cfRule>
    <cfRule type="cellIs" dxfId="4665" priority="2063" operator="lessThan">
      <formula>0</formula>
    </cfRule>
    <cfRule type="cellIs" dxfId="4664" priority="2064" operator="greaterThan">
      <formula>0</formula>
    </cfRule>
  </conditionalFormatting>
  <conditionalFormatting sqref="AN41">
    <cfRule type="cellIs" dxfId="4663" priority="2059" operator="equal">
      <formula>"-"</formula>
    </cfRule>
    <cfRule type="cellIs" dxfId="4662" priority="2060" operator="lessThan">
      <formula>0</formula>
    </cfRule>
    <cfRule type="cellIs" dxfId="4661" priority="2061" operator="greaterThan">
      <formula>0</formula>
    </cfRule>
  </conditionalFormatting>
  <conditionalFormatting sqref="AN42">
    <cfRule type="cellIs" dxfId="4660" priority="2056" operator="equal">
      <formula>"-"</formula>
    </cfRule>
    <cfRule type="cellIs" dxfId="4659" priority="2057" operator="lessThan">
      <formula>0</formula>
    </cfRule>
    <cfRule type="cellIs" dxfId="4658" priority="2058" operator="greaterThan">
      <formula>0</formula>
    </cfRule>
  </conditionalFormatting>
  <conditionalFormatting sqref="AN43">
    <cfRule type="cellIs" dxfId="4657" priority="2053" operator="equal">
      <formula>"-"</formula>
    </cfRule>
    <cfRule type="cellIs" dxfId="4656" priority="2054" operator="lessThan">
      <formula>0</formula>
    </cfRule>
    <cfRule type="cellIs" dxfId="4655" priority="2055" operator="greaterThan">
      <formula>0</formula>
    </cfRule>
  </conditionalFormatting>
  <conditionalFormatting sqref="AN37">
    <cfRule type="cellIs" dxfId="4654" priority="2048" operator="lessThan">
      <formula>0</formula>
    </cfRule>
    <cfRule type="cellIs" dxfId="4653" priority="2049" operator="greaterThan">
      <formula>0</formula>
    </cfRule>
  </conditionalFormatting>
  <conditionalFormatting sqref="AN37">
    <cfRule type="cellIs" dxfId="4652" priority="2047" operator="equal">
      <formula>"-"</formula>
    </cfRule>
  </conditionalFormatting>
  <conditionalFormatting sqref="AN38">
    <cfRule type="cellIs" dxfId="4651" priority="2045" operator="lessThan">
      <formula>0</formula>
    </cfRule>
    <cfRule type="cellIs" dxfId="4650" priority="2046" operator="greaterThan">
      <formula>0</formula>
    </cfRule>
  </conditionalFormatting>
  <conditionalFormatting sqref="AN38">
    <cfRule type="cellIs" dxfId="4649" priority="2044" operator="equal">
      <formula>"-"</formula>
    </cfRule>
  </conditionalFormatting>
  <conditionalFormatting sqref="AN56:AN67">
    <cfRule type="cellIs" dxfId="4648" priority="2041" operator="equal">
      <formula>"-"</formula>
    </cfRule>
    <cfRule type="cellIs" dxfId="4647" priority="2042" operator="lessThan">
      <formula>0</formula>
    </cfRule>
    <cfRule type="cellIs" dxfId="4646" priority="2043" operator="greaterThan">
      <formula>0</formula>
    </cfRule>
  </conditionalFormatting>
  <conditionalFormatting sqref="AN68:AN78">
    <cfRule type="cellIs" dxfId="4645" priority="2039" operator="lessThan">
      <formula>0</formula>
    </cfRule>
    <cfRule type="cellIs" dxfId="4644" priority="2040" operator="greaterThan">
      <formula>0</formula>
    </cfRule>
  </conditionalFormatting>
  <conditionalFormatting sqref="AN68:AN78">
    <cfRule type="cellIs" dxfId="4643" priority="2038" operator="equal">
      <formula>"-"</formula>
    </cfRule>
  </conditionalFormatting>
  <conditionalFormatting sqref="AN81">
    <cfRule type="cellIs" dxfId="4642" priority="2036" operator="lessThan">
      <formula>0</formula>
    </cfRule>
    <cfRule type="cellIs" dxfId="4641" priority="2037" operator="greaterThan">
      <formula>0</formula>
    </cfRule>
  </conditionalFormatting>
  <conditionalFormatting sqref="AN81">
    <cfRule type="cellIs" dxfId="4640" priority="2035" operator="equal">
      <formula>"-"</formula>
    </cfRule>
  </conditionalFormatting>
  <conditionalFormatting sqref="AN82">
    <cfRule type="cellIs" dxfId="4639" priority="2033" operator="lessThan">
      <formula>0</formula>
    </cfRule>
    <cfRule type="cellIs" dxfId="4638" priority="2034" operator="greaterThan">
      <formula>0</formula>
    </cfRule>
  </conditionalFormatting>
  <conditionalFormatting sqref="AN82">
    <cfRule type="cellIs" dxfId="4637" priority="2032" operator="equal">
      <formula>"-"</formula>
    </cfRule>
  </conditionalFormatting>
  <conditionalFormatting sqref="AN79">
    <cfRule type="cellIs" dxfId="4636" priority="2030" operator="lessThan">
      <formula>0</formula>
    </cfRule>
    <cfRule type="cellIs" dxfId="4635" priority="2031" operator="greaterThan">
      <formula>0</formula>
    </cfRule>
  </conditionalFormatting>
  <conditionalFormatting sqref="AN79">
    <cfRule type="cellIs" dxfId="4634" priority="2029" operator="equal">
      <formula>"-"</formula>
    </cfRule>
  </conditionalFormatting>
  <conditionalFormatting sqref="AN80">
    <cfRule type="cellIs" dxfId="4633" priority="2027" operator="lessThan">
      <formula>0</formula>
    </cfRule>
    <cfRule type="cellIs" dxfId="4632" priority="2028" operator="greaterThan">
      <formula>0</formula>
    </cfRule>
  </conditionalFormatting>
  <conditionalFormatting sqref="AN80">
    <cfRule type="cellIs" dxfId="4631" priority="2026" operator="equal">
      <formula>"-"</formula>
    </cfRule>
  </conditionalFormatting>
  <conditionalFormatting sqref="AN83:AN87">
    <cfRule type="cellIs" dxfId="4630" priority="2024" operator="lessThan">
      <formula>0</formula>
    </cfRule>
    <cfRule type="cellIs" dxfId="4629" priority="2025" operator="greaterThan">
      <formula>0</formula>
    </cfRule>
  </conditionalFormatting>
  <conditionalFormatting sqref="AN83:AN87">
    <cfRule type="cellIs" dxfId="4628" priority="2023" operator="equal">
      <formula>"-"</formula>
    </cfRule>
  </conditionalFormatting>
  <conditionalFormatting sqref="AN51">
    <cfRule type="cellIs" dxfId="4627" priority="2021" operator="lessThan">
      <formula>0</formula>
    </cfRule>
    <cfRule type="cellIs" dxfId="4626" priority="2022" operator="greaterThan">
      <formula>0</formula>
    </cfRule>
  </conditionalFormatting>
  <conditionalFormatting sqref="AN51">
    <cfRule type="cellIs" dxfId="4625" priority="2020" operator="equal">
      <formula>"-"</formula>
    </cfRule>
  </conditionalFormatting>
  <conditionalFormatting sqref="AN52">
    <cfRule type="cellIs" dxfId="4624" priority="2018" operator="lessThan">
      <formula>0</formula>
    </cfRule>
    <cfRule type="cellIs" dxfId="4623" priority="2019" operator="greaterThan">
      <formula>0</formula>
    </cfRule>
  </conditionalFormatting>
  <conditionalFormatting sqref="AN52">
    <cfRule type="cellIs" dxfId="4622" priority="2017" operator="equal">
      <formula>"-"</formula>
    </cfRule>
  </conditionalFormatting>
  <conditionalFormatting sqref="AN53">
    <cfRule type="cellIs" dxfId="4621" priority="2015" operator="lessThan">
      <formula>0</formula>
    </cfRule>
    <cfRule type="cellIs" dxfId="4620" priority="2016" operator="greaterThan">
      <formula>0</formula>
    </cfRule>
  </conditionalFormatting>
  <conditionalFormatting sqref="AN53">
    <cfRule type="cellIs" dxfId="4619" priority="2014" operator="equal">
      <formula>"-"</formula>
    </cfRule>
  </conditionalFormatting>
  <conditionalFormatting sqref="AN12:AN18">
    <cfRule type="cellIs" dxfId="4618" priority="2011" operator="equal">
      <formula>"-"</formula>
    </cfRule>
    <cfRule type="cellIs" dxfId="4617" priority="2012" operator="lessThan">
      <formula>0</formula>
    </cfRule>
    <cfRule type="cellIs" dxfId="4616" priority="2013" operator="greaterThan">
      <formula>0</formula>
    </cfRule>
  </conditionalFormatting>
  <conditionalFormatting sqref="AN3:AN11">
    <cfRule type="cellIs" dxfId="4615" priority="2008" operator="equal">
      <formula>"-"</formula>
    </cfRule>
    <cfRule type="cellIs" dxfId="4614" priority="2009" operator="lessThan">
      <formula>0</formula>
    </cfRule>
    <cfRule type="cellIs" dxfId="4613" priority="2010" operator="greaterThan">
      <formula>0</formula>
    </cfRule>
  </conditionalFormatting>
  <conditionalFormatting sqref="AN21:AN26">
    <cfRule type="cellIs" dxfId="4612" priority="2005" operator="equal">
      <formula>"-"</formula>
    </cfRule>
    <cfRule type="cellIs" dxfId="4611" priority="2006" operator="lessThan">
      <formula>0</formula>
    </cfRule>
    <cfRule type="cellIs" dxfId="4610" priority="2007" operator="greaterThan">
      <formula>0</formula>
    </cfRule>
  </conditionalFormatting>
  <conditionalFormatting sqref="AN33">
    <cfRule type="cellIs" dxfId="4609" priority="2002" operator="equal">
      <formula>"-"</formula>
    </cfRule>
    <cfRule type="cellIs" dxfId="4608" priority="2003" operator="lessThan">
      <formula>0</formula>
    </cfRule>
    <cfRule type="cellIs" dxfId="4607" priority="2004" operator="greaterThan">
      <formula>0</formula>
    </cfRule>
  </conditionalFormatting>
  <conditionalFormatting sqref="AN34:AN35">
    <cfRule type="cellIs" dxfId="4606" priority="1999" operator="equal">
      <formula>"-"</formula>
    </cfRule>
    <cfRule type="cellIs" dxfId="4605" priority="2000" operator="lessThan">
      <formula>0</formula>
    </cfRule>
    <cfRule type="cellIs" dxfId="4604" priority="2001" operator="greaterThan">
      <formula>0</formula>
    </cfRule>
  </conditionalFormatting>
  <conditionalFormatting sqref="AN36">
    <cfRule type="cellIs" dxfId="4603" priority="1996" operator="equal">
      <formula>"-"</formula>
    </cfRule>
    <cfRule type="cellIs" dxfId="4602" priority="1997" operator="lessThan">
      <formula>0</formula>
    </cfRule>
    <cfRule type="cellIs" dxfId="4601" priority="1998" operator="greaterThan">
      <formula>0</formula>
    </cfRule>
  </conditionalFormatting>
  <conditionalFormatting sqref="AN47:AN48">
    <cfRule type="cellIs" dxfId="4600" priority="1993" operator="equal">
      <formula>"-"</formula>
    </cfRule>
    <cfRule type="cellIs" dxfId="4599" priority="1994" operator="lessThan">
      <formula>0</formula>
    </cfRule>
    <cfRule type="cellIs" dxfId="4598" priority="1995" operator="greaterThan">
      <formula>0</formula>
    </cfRule>
  </conditionalFormatting>
  <conditionalFormatting sqref="AN49:AN50">
    <cfRule type="cellIs" dxfId="4597" priority="1990" operator="equal">
      <formula>"-"</formula>
    </cfRule>
    <cfRule type="cellIs" dxfId="4596" priority="1991" operator="lessThan">
      <formula>0</formula>
    </cfRule>
    <cfRule type="cellIs" dxfId="4595" priority="1992" operator="greaterThan">
      <formula>0</formula>
    </cfRule>
  </conditionalFormatting>
  <conditionalFormatting sqref="AL2">
    <cfRule type="containsText" dxfId="4594" priority="1986" operator="containsText" text="NEUTRO">
      <formula>NOT(ISERROR(SEARCH("NEUTRO",AL2)))</formula>
    </cfRule>
    <cfRule type="containsText" dxfId="4593" priority="1987" operator="containsText" text="BULLISH">
      <formula>NOT(ISERROR(SEARCH("BULLISH",AL2)))</formula>
    </cfRule>
    <cfRule type="containsText" dxfId="4592" priority="1988" operator="containsText" text="BEARISH">
      <formula>NOT(ISERROR(SEARCH("BEARISH",AL2)))</formula>
    </cfRule>
    <cfRule type="containsBlanks" dxfId="4591" priority="1989">
      <formula>LEN(TRIM(AL2))=0</formula>
    </cfRule>
  </conditionalFormatting>
  <conditionalFormatting sqref="AL20">
    <cfRule type="containsText" dxfId="4590" priority="1982" operator="containsText" text="NEUTRO">
      <formula>NOT(ISERROR(SEARCH("NEUTRO",AL20)))</formula>
    </cfRule>
    <cfRule type="containsText" dxfId="4589" priority="1983" operator="containsText" text="BULLISH">
      <formula>NOT(ISERROR(SEARCH("BULLISH",AL20)))</formula>
    </cfRule>
    <cfRule type="containsText" dxfId="4588" priority="1984" operator="containsText" text="BEARISH">
      <formula>NOT(ISERROR(SEARCH("BEARISH",AL20)))</formula>
    </cfRule>
    <cfRule type="containsBlanks" dxfId="4587" priority="1985">
      <formula>LEN(TRIM(AL20))=0</formula>
    </cfRule>
  </conditionalFormatting>
  <conditionalFormatting sqref="AL32">
    <cfRule type="containsText" dxfId="4586" priority="1978" operator="containsText" text="NEUTRO">
      <formula>NOT(ISERROR(SEARCH("NEUTRO",AL32)))</formula>
    </cfRule>
    <cfRule type="containsText" dxfId="4585" priority="1979" operator="containsText" text="BULLISH">
      <formula>NOT(ISERROR(SEARCH("BULLISH",AL32)))</formula>
    </cfRule>
    <cfRule type="containsText" dxfId="4584" priority="1980" operator="containsText" text="BEARISH">
      <formula>NOT(ISERROR(SEARCH("BEARISH",AL32)))</formula>
    </cfRule>
    <cfRule type="containsBlanks" dxfId="4583" priority="1981">
      <formula>LEN(TRIM(AL32))=0</formula>
    </cfRule>
  </conditionalFormatting>
  <conditionalFormatting sqref="AL46">
    <cfRule type="containsText" dxfId="4582" priority="1974" operator="containsText" text="NEUTRO">
      <formula>NOT(ISERROR(SEARCH("NEUTRO",AL46)))</formula>
    </cfRule>
    <cfRule type="containsText" dxfId="4581" priority="1975" operator="containsText" text="BULLISH">
      <formula>NOT(ISERROR(SEARCH("BULLISH",AL46)))</formula>
    </cfRule>
    <cfRule type="containsText" dxfId="4580" priority="1976" operator="containsText" text="BEARISH">
      <formula>NOT(ISERROR(SEARCH("BEARISH",AL46)))</formula>
    </cfRule>
    <cfRule type="containsBlanks" dxfId="4579" priority="1977">
      <formula>LEN(TRIM(AL46))=0</formula>
    </cfRule>
  </conditionalFormatting>
  <conditionalFormatting sqref="AL55">
    <cfRule type="containsText" dxfId="4578" priority="1970" operator="containsText" text="NEUTRO">
      <formula>NOT(ISERROR(SEARCH("NEUTRO",AL55)))</formula>
    </cfRule>
    <cfRule type="containsText" dxfId="4577" priority="1971" operator="containsText" text="BULLISH">
      <formula>NOT(ISERROR(SEARCH("BULLISH",AL55)))</formula>
    </cfRule>
    <cfRule type="containsText" dxfId="4576" priority="1972" operator="containsText" text="BEARISH">
      <formula>NOT(ISERROR(SEARCH("BEARISH",AL55)))</formula>
    </cfRule>
    <cfRule type="containsBlanks" dxfId="4575" priority="1973">
      <formula>LEN(TRIM(AL55))=0</formula>
    </cfRule>
  </conditionalFormatting>
  <conditionalFormatting sqref="AL89">
    <cfRule type="containsText" dxfId="4574" priority="1966" operator="containsText" text="NEUTRO">
      <formula>NOT(ISERROR(SEARCH("NEUTRO",AL89)))</formula>
    </cfRule>
    <cfRule type="containsText" dxfId="4573" priority="1967" operator="containsText" text="BULLISH">
      <formula>NOT(ISERROR(SEARCH("BULLISH",AL89)))</formula>
    </cfRule>
    <cfRule type="containsText" dxfId="4572" priority="1968" operator="containsText" text="BEARISH">
      <formula>NOT(ISERROR(SEARCH("BEARISH",AL89)))</formula>
    </cfRule>
    <cfRule type="containsBlanks" dxfId="4571" priority="1969">
      <formula>LEN(TRIM(AL89))=0</formula>
    </cfRule>
  </conditionalFormatting>
  <conditionalFormatting sqref="AK92:AK865">
    <cfRule type="colorScale" priority="1965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AK27:AK30">
    <cfRule type="cellIs" dxfId="4570" priority="1962" operator="equal">
      <formula>"-"</formula>
    </cfRule>
    <cfRule type="cellIs" dxfId="4569" priority="1963" operator="lessThan">
      <formula>0</formula>
    </cfRule>
    <cfRule type="cellIs" dxfId="4568" priority="1964" operator="greaterThan">
      <formula>0</formula>
    </cfRule>
  </conditionalFormatting>
  <conditionalFormatting sqref="AK39">
    <cfRule type="cellIs" dxfId="4567" priority="1960" operator="lessThan">
      <formula>0</formula>
    </cfRule>
    <cfRule type="cellIs" dxfId="4566" priority="1961" operator="greaterThan">
      <formula>0</formula>
    </cfRule>
  </conditionalFormatting>
  <conditionalFormatting sqref="AK39">
    <cfRule type="cellIs" dxfId="4565" priority="1959" operator="equal">
      <formula>"-"</formula>
    </cfRule>
  </conditionalFormatting>
  <conditionalFormatting sqref="AK40">
    <cfRule type="cellIs" dxfId="4564" priority="1956" operator="equal">
      <formula>"-"</formula>
    </cfRule>
    <cfRule type="cellIs" dxfId="4563" priority="1957" operator="lessThan">
      <formula>0</formula>
    </cfRule>
    <cfRule type="cellIs" dxfId="4562" priority="1958" operator="greaterThan">
      <formula>0</formula>
    </cfRule>
  </conditionalFormatting>
  <conditionalFormatting sqref="AK41">
    <cfRule type="cellIs" dxfId="4561" priority="1953" operator="equal">
      <formula>"-"</formula>
    </cfRule>
    <cfRule type="cellIs" dxfId="4560" priority="1954" operator="lessThan">
      <formula>0</formula>
    </cfRule>
    <cfRule type="cellIs" dxfId="4559" priority="1955" operator="greaterThan">
      <formula>0</formula>
    </cfRule>
  </conditionalFormatting>
  <conditionalFormatting sqref="AK42">
    <cfRule type="cellIs" dxfId="4558" priority="1950" operator="equal">
      <formula>"-"</formula>
    </cfRule>
    <cfRule type="cellIs" dxfId="4557" priority="1951" operator="lessThan">
      <formula>0</formula>
    </cfRule>
    <cfRule type="cellIs" dxfId="4556" priority="1952" operator="greaterThan">
      <formula>0</formula>
    </cfRule>
  </conditionalFormatting>
  <conditionalFormatting sqref="AK43">
    <cfRule type="cellIs" dxfId="4555" priority="1947" operator="equal">
      <formula>"-"</formula>
    </cfRule>
    <cfRule type="cellIs" dxfId="4554" priority="1948" operator="lessThan">
      <formula>0</formula>
    </cfRule>
    <cfRule type="cellIs" dxfId="4553" priority="1949" operator="greaterThan">
      <formula>0</formula>
    </cfRule>
  </conditionalFormatting>
  <conditionalFormatting sqref="AK44">
    <cfRule type="cellIs" dxfId="4552" priority="1944" operator="equal">
      <formula>"-"</formula>
    </cfRule>
    <cfRule type="cellIs" dxfId="4551" priority="1945" operator="lessThan">
      <formula>0</formula>
    </cfRule>
    <cfRule type="cellIs" dxfId="4550" priority="1946" operator="greaterThan">
      <formula>0</formula>
    </cfRule>
  </conditionalFormatting>
  <conditionalFormatting sqref="AK37">
    <cfRule type="cellIs" dxfId="4549" priority="1942" operator="lessThan">
      <formula>0</formula>
    </cfRule>
    <cfRule type="cellIs" dxfId="4548" priority="1943" operator="greaterThan">
      <formula>0</formula>
    </cfRule>
  </conditionalFormatting>
  <conditionalFormatting sqref="AK37">
    <cfRule type="cellIs" dxfId="4547" priority="1941" operator="equal">
      <formula>"-"</formula>
    </cfRule>
  </conditionalFormatting>
  <conditionalFormatting sqref="AK38">
    <cfRule type="cellIs" dxfId="4546" priority="1939" operator="lessThan">
      <formula>0</formula>
    </cfRule>
    <cfRule type="cellIs" dxfId="4545" priority="1940" operator="greaterThan">
      <formula>0</formula>
    </cfRule>
  </conditionalFormatting>
  <conditionalFormatting sqref="AK38">
    <cfRule type="cellIs" dxfId="4544" priority="1938" operator="equal">
      <formula>"-"</formula>
    </cfRule>
  </conditionalFormatting>
  <conditionalFormatting sqref="AK56:AK67">
    <cfRule type="cellIs" dxfId="4543" priority="1935" operator="equal">
      <formula>"-"</formula>
    </cfRule>
    <cfRule type="cellIs" dxfId="4542" priority="1936" operator="lessThan">
      <formula>0</formula>
    </cfRule>
    <cfRule type="cellIs" dxfId="4541" priority="1937" operator="greaterThan">
      <formula>0</formula>
    </cfRule>
  </conditionalFormatting>
  <conditionalFormatting sqref="AK68:AK78">
    <cfRule type="cellIs" dxfId="4540" priority="1933" operator="lessThan">
      <formula>0</formula>
    </cfRule>
    <cfRule type="cellIs" dxfId="4539" priority="1934" operator="greaterThan">
      <formula>0</formula>
    </cfRule>
  </conditionalFormatting>
  <conditionalFormatting sqref="AK68:AK78">
    <cfRule type="cellIs" dxfId="4538" priority="1932" operator="equal">
      <formula>"-"</formula>
    </cfRule>
  </conditionalFormatting>
  <conditionalFormatting sqref="AK81">
    <cfRule type="cellIs" dxfId="4537" priority="1930" operator="lessThan">
      <formula>0</formula>
    </cfRule>
    <cfRule type="cellIs" dxfId="4536" priority="1931" operator="greaterThan">
      <formula>0</formula>
    </cfRule>
  </conditionalFormatting>
  <conditionalFormatting sqref="AK81">
    <cfRule type="cellIs" dxfId="4535" priority="1929" operator="equal">
      <formula>"-"</formula>
    </cfRule>
  </conditionalFormatting>
  <conditionalFormatting sqref="AK82">
    <cfRule type="cellIs" dxfId="4534" priority="1927" operator="lessThan">
      <formula>0</formula>
    </cfRule>
    <cfRule type="cellIs" dxfId="4533" priority="1928" operator="greaterThan">
      <formula>0</formula>
    </cfRule>
  </conditionalFormatting>
  <conditionalFormatting sqref="AK82">
    <cfRule type="cellIs" dxfId="4532" priority="1926" operator="equal">
      <formula>"-"</formula>
    </cfRule>
  </conditionalFormatting>
  <conditionalFormatting sqref="AK79">
    <cfRule type="cellIs" dxfId="4531" priority="1924" operator="lessThan">
      <formula>0</formula>
    </cfRule>
    <cfRule type="cellIs" dxfId="4530" priority="1925" operator="greaterThan">
      <formula>0</formula>
    </cfRule>
  </conditionalFormatting>
  <conditionalFormatting sqref="AK79">
    <cfRule type="cellIs" dxfId="4529" priority="1923" operator="equal">
      <formula>"-"</formula>
    </cfRule>
  </conditionalFormatting>
  <conditionalFormatting sqref="AK80">
    <cfRule type="cellIs" dxfId="4528" priority="1921" operator="lessThan">
      <formula>0</formula>
    </cfRule>
    <cfRule type="cellIs" dxfId="4527" priority="1922" operator="greaterThan">
      <formula>0</formula>
    </cfRule>
  </conditionalFormatting>
  <conditionalFormatting sqref="AK80">
    <cfRule type="cellIs" dxfId="4526" priority="1920" operator="equal">
      <formula>"-"</formula>
    </cfRule>
  </conditionalFormatting>
  <conditionalFormatting sqref="AK83:AK87">
    <cfRule type="cellIs" dxfId="4525" priority="1918" operator="lessThan">
      <formula>0</formula>
    </cfRule>
    <cfRule type="cellIs" dxfId="4524" priority="1919" operator="greaterThan">
      <formula>0</formula>
    </cfRule>
  </conditionalFormatting>
  <conditionalFormatting sqref="AK83:AK87">
    <cfRule type="cellIs" dxfId="4523" priority="1917" operator="equal">
      <formula>"-"</formula>
    </cfRule>
  </conditionalFormatting>
  <conditionalFormatting sqref="AK51">
    <cfRule type="cellIs" dxfId="4522" priority="1915" operator="lessThan">
      <formula>0</formula>
    </cfRule>
    <cfRule type="cellIs" dxfId="4521" priority="1916" operator="greaterThan">
      <formula>0</formula>
    </cfRule>
  </conditionalFormatting>
  <conditionalFormatting sqref="AK51">
    <cfRule type="cellIs" dxfId="4520" priority="1914" operator="equal">
      <formula>"-"</formula>
    </cfRule>
  </conditionalFormatting>
  <conditionalFormatting sqref="AK52">
    <cfRule type="cellIs" dxfId="4519" priority="1912" operator="lessThan">
      <formula>0</formula>
    </cfRule>
    <cfRule type="cellIs" dxfId="4518" priority="1913" operator="greaterThan">
      <formula>0</formula>
    </cfRule>
  </conditionalFormatting>
  <conditionalFormatting sqref="AK52">
    <cfRule type="cellIs" dxfId="4517" priority="1911" operator="equal">
      <formula>"-"</formula>
    </cfRule>
  </conditionalFormatting>
  <conditionalFormatting sqref="AK53">
    <cfRule type="cellIs" dxfId="4516" priority="1909" operator="lessThan">
      <formula>0</formula>
    </cfRule>
    <cfRule type="cellIs" dxfId="4515" priority="1910" operator="greaterThan">
      <formula>0</formula>
    </cfRule>
  </conditionalFormatting>
  <conditionalFormatting sqref="AK53">
    <cfRule type="cellIs" dxfId="4514" priority="1908" operator="equal">
      <formula>"-"</formula>
    </cfRule>
  </conditionalFormatting>
  <conditionalFormatting sqref="AK12:AK18">
    <cfRule type="cellIs" dxfId="4513" priority="1905" operator="equal">
      <formula>"-"</formula>
    </cfRule>
    <cfRule type="cellIs" dxfId="4512" priority="1906" operator="lessThan">
      <formula>0</formula>
    </cfRule>
    <cfRule type="cellIs" dxfId="4511" priority="1907" operator="greaterThan">
      <formula>0</formula>
    </cfRule>
  </conditionalFormatting>
  <conditionalFormatting sqref="AK3:AK11">
    <cfRule type="cellIs" dxfId="4510" priority="1902" operator="equal">
      <formula>"-"</formula>
    </cfRule>
    <cfRule type="cellIs" dxfId="4509" priority="1903" operator="lessThan">
      <formula>0</formula>
    </cfRule>
    <cfRule type="cellIs" dxfId="4508" priority="1904" operator="greaterThan">
      <formula>0</formula>
    </cfRule>
  </conditionalFormatting>
  <conditionalFormatting sqref="AK21:AK26">
    <cfRule type="cellIs" dxfId="4507" priority="1899" operator="equal">
      <formula>"-"</formula>
    </cfRule>
    <cfRule type="cellIs" dxfId="4506" priority="1900" operator="lessThan">
      <formula>0</formula>
    </cfRule>
    <cfRule type="cellIs" dxfId="4505" priority="1901" operator="greaterThan">
      <formula>0</formula>
    </cfRule>
  </conditionalFormatting>
  <conditionalFormatting sqref="AK33">
    <cfRule type="cellIs" dxfId="4504" priority="1896" operator="equal">
      <formula>"-"</formula>
    </cfRule>
    <cfRule type="cellIs" dxfId="4503" priority="1897" operator="lessThan">
      <formula>0</formula>
    </cfRule>
    <cfRule type="cellIs" dxfId="4502" priority="1898" operator="greaterThan">
      <formula>0</formula>
    </cfRule>
  </conditionalFormatting>
  <conditionalFormatting sqref="AK34:AK35">
    <cfRule type="cellIs" dxfId="4501" priority="1893" operator="equal">
      <formula>"-"</formula>
    </cfRule>
    <cfRule type="cellIs" dxfId="4500" priority="1894" operator="lessThan">
      <formula>0</formula>
    </cfRule>
    <cfRule type="cellIs" dxfId="4499" priority="1895" operator="greaterThan">
      <formula>0</formula>
    </cfRule>
  </conditionalFormatting>
  <conditionalFormatting sqref="AK36">
    <cfRule type="cellIs" dxfId="4498" priority="1890" operator="equal">
      <formula>"-"</formula>
    </cfRule>
    <cfRule type="cellIs" dxfId="4497" priority="1891" operator="lessThan">
      <formula>0</formula>
    </cfRule>
    <cfRule type="cellIs" dxfId="4496" priority="1892" operator="greaterThan">
      <formula>0</formula>
    </cfRule>
  </conditionalFormatting>
  <conditionalFormatting sqref="AK47:AK48">
    <cfRule type="cellIs" dxfId="4495" priority="1887" operator="equal">
      <formula>"-"</formula>
    </cfRule>
    <cfRule type="cellIs" dxfId="4494" priority="1888" operator="lessThan">
      <formula>0</formula>
    </cfRule>
    <cfRule type="cellIs" dxfId="4493" priority="1889" operator="greaterThan">
      <formula>0</formula>
    </cfRule>
  </conditionalFormatting>
  <conditionalFormatting sqref="AK49:AK50">
    <cfRule type="cellIs" dxfId="4492" priority="1884" operator="equal">
      <formula>"-"</formula>
    </cfRule>
    <cfRule type="cellIs" dxfId="4491" priority="1885" operator="lessThan">
      <formula>0</formula>
    </cfRule>
    <cfRule type="cellIs" dxfId="4490" priority="1886" operator="greaterThan">
      <formula>0</formula>
    </cfRule>
  </conditionalFormatting>
  <conditionalFormatting sqref="AI2">
    <cfRule type="containsText" dxfId="4489" priority="1880" operator="containsText" text="NEUTRO">
      <formula>NOT(ISERROR(SEARCH("NEUTRO",AI2)))</formula>
    </cfRule>
    <cfRule type="containsText" dxfId="4488" priority="1881" operator="containsText" text="BULLISH">
      <formula>NOT(ISERROR(SEARCH("BULLISH",AI2)))</formula>
    </cfRule>
    <cfRule type="containsText" dxfId="4487" priority="1882" operator="containsText" text="BEARISH">
      <formula>NOT(ISERROR(SEARCH("BEARISH",AI2)))</formula>
    </cfRule>
    <cfRule type="containsBlanks" dxfId="4486" priority="1883">
      <formula>LEN(TRIM(AI2))=0</formula>
    </cfRule>
  </conditionalFormatting>
  <conditionalFormatting sqref="AI20">
    <cfRule type="containsText" dxfId="4485" priority="1876" operator="containsText" text="NEUTRO">
      <formula>NOT(ISERROR(SEARCH("NEUTRO",AI20)))</formula>
    </cfRule>
    <cfRule type="containsText" dxfId="4484" priority="1877" operator="containsText" text="BULLISH">
      <formula>NOT(ISERROR(SEARCH("BULLISH",AI20)))</formula>
    </cfRule>
    <cfRule type="containsText" dxfId="4483" priority="1878" operator="containsText" text="BEARISH">
      <formula>NOT(ISERROR(SEARCH("BEARISH",AI20)))</formula>
    </cfRule>
    <cfRule type="containsBlanks" dxfId="4482" priority="1879">
      <formula>LEN(TRIM(AI20))=0</formula>
    </cfRule>
  </conditionalFormatting>
  <conditionalFormatting sqref="AI32">
    <cfRule type="containsText" dxfId="4481" priority="1872" operator="containsText" text="NEUTRO">
      <formula>NOT(ISERROR(SEARCH("NEUTRO",AI32)))</formula>
    </cfRule>
    <cfRule type="containsText" dxfId="4480" priority="1873" operator="containsText" text="BULLISH">
      <formula>NOT(ISERROR(SEARCH("BULLISH",AI32)))</formula>
    </cfRule>
    <cfRule type="containsText" dxfId="4479" priority="1874" operator="containsText" text="BEARISH">
      <formula>NOT(ISERROR(SEARCH("BEARISH",AI32)))</formula>
    </cfRule>
    <cfRule type="containsBlanks" dxfId="4478" priority="1875">
      <formula>LEN(TRIM(AI32))=0</formula>
    </cfRule>
  </conditionalFormatting>
  <conditionalFormatting sqref="AI46">
    <cfRule type="containsText" dxfId="4477" priority="1868" operator="containsText" text="NEUTRO">
      <formula>NOT(ISERROR(SEARCH("NEUTRO",AI46)))</formula>
    </cfRule>
    <cfRule type="containsText" dxfId="4476" priority="1869" operator="containsText" text="BULLISH">
      <formula>NOT(ISERROR(SEARCH("BULLISH",AI46)))</formula>
    </cfRule>
    <cfRule type="containsText" dxfId="4475" priority="1870" operator="containsText" text="BEARISH">
      <formula>NOT(ISERROR(SEARCH("BEARISH",AI46)))</formula>
    </cfRule>
    <cfRule type="containsBlanks" dxfId="4474" priority="1871">
      <formula>LEN(TRIM(AI46))=0</formula>
    </cfRule>
  </conditionalFormatting>
  <conditionalFormatting sqref="AI55">
    <cfRule type="containsText" dxfId="4473" priority="1864" operator="containsText" text="NEUTRO">
      <formula>NOT(ISERROR(SEARCH("NEUTRO",AI55)))</formula>
    </cfRule>
    <cfRule type="containsText" dxfId="4472" priority="1865" operator="containsText" text="BULLISH">
      <formula>NOT(ISERROR(SEARCH("BULLISH",AI55)))</formula>
    </cfRule>
    <cfRule type="containsText" dxfId="4471" priority="1866" operator="containsText" text="BEARISH">
      <formula>NOT(ISERROR(SEARCH("BEARISH",AI55)))</formula>
    </cfRule>
    <cfRule type="containsBlanks" dxfId="4470" priority="1867">
      <formula>LEN(TRIM(AI55))=0</formula>
    </cfRule>
  </conditionalFormatting>
  <conditionalFormatting sqref="AI89">
    <cfRule type="containsText" dxfId="4469" priority="1860" operator="containsText" text="NEUTRO">
      <formula>NOT(ISERROR(SEARCH("NEUTRO",AI89)))</formula>
    </cfRule>
    <cfRule type="containsText" dxfId="4468" priority="1861" operator="containsText" text="BULLISH">
      <formula>NOT(ISERROR(SEARCH("BULLISH",AI89)))</formula>
    </cfRule>
    <cfRule type="containsText" dxfId="4467" priority="1862" operator="containsText" text="BEARISH">
      <formula>NOT(ISERROR(SEARCH("BEARISH",AI89)))</formula>
    </cfRule>
    <cfRule type="containsBlanks" dxfId="4466" priority="1863">
      <formula>LEN(TRIM(AI89))=0</formula>
    </cfRule>
  </conditionalFormatting>
  <conditionalFormatting sqref="AH92:AH865">
    <cfRule type="colorScale" priority="1859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AH27:AH30">
    <cfRule type="cellIs" dxfId="4465" priority="1856" operator="equal">
      <formula>"-"</formula>
    </cfRule>
    <cfRule type="cellIs" dxfId="4464" priority="1857" operator="lessThan">
      <formula>0</formula>
    </cfRule>
    <cfRule type="cellIs" dxfId="4463" priority="1858" operator="greaterThan">
      <formula>0</formula>
    </cfRule>
  </conditionalFormatting>
  <conditionalFormatting sqref="AH39">
    <cfRule type="cellIs" dxfId="4462" priority="1854" operator="lessThan">
      <formula>0</formula>
    </cfRule>
    <cfRule type="cellIs" dxfId="4461" priority="1855" operator="greaterThan">
      <formula>0</formula>
    </cfRule>
  </conditionalFormatting>
  <conditionalFormatting sqref="AH39">
    <cfRule type="cellIs" dxfId="4460" priority="1853" operator="equal">
      <formula>"-"</formula>
    </cfRule>
  </conditionalFormatting>
  <conditionalFormatting sqref="AH40">
    <cfRule type="cellIs" dxfId="4459" priority="1850" operator="equal">
      <formula>"-"</formula>
    </cfRule>
    <cfRule type="cellIs" dxfId="4458" priority="1851" operator="lessThan">
      <formula>0</formula>
    </cfRule>
    <cfRule type="cellIs" dxfId="4457" priority="1852" operator="greaterThan">
      <formula>0</formula>
    </cfRule>
  </conditionalFormatting>
  <conditionalFormatting sqref="AH41">
    <cfRule type="cellIs" dxfId="4456" priority="1847" operator="equal">
      <formula>"-"</formula>
    </cfRule>
    <cfRule type="cellIs" dxfId="4455" priority="1848" operator="lessThan">
      <formula>0</formula>
    </cfRule>
    <cfRule type="cellIs" dxfId="4454" priority="1849" operator="greaterThan">
      <formula>0</formula>
    </cfRule>
  </conditionalFormatting>
  <conditionalFormatting sqref="AH42">
    <cfRule type="cellIs" dxfId="4453" priority="1844" operator="equal">
      <formula>"-"</formula>
    </cfRule>
    <cfRule type="cellIs" dxfId="4452" priority="1845" operator="lessThan">
      <formula>0</formula>
    </cfRule>
    <cfRule type="cellIs" dxfId="4451" priority="1846" operator="greaterThan">
      <formula>0</formula>
    </cfRule>
  </conditionalFormatting>
  <conditionalFormatting sqref="AH43">
    <cfRule type="cellIs" dxfId="4450" priority="1841" operator="equal">
      <formula>"-"</formula>
    </cfRule>
    <cfRule type="cellIs" dxfId="4449" priority="1842" operator="lessThan">
      <formula>0</formula>
    </cfRule>
    <cfRule type="cellIs" dxfId="4448" priority="1843" operator="greaterThan">
      <formula>0</formula>
    </cfRule>
  </conditionalFormatting>
  <conditionalFormatting sqref="AH44">
    <cfRule type="cellIs" dxfId="4447" priority="1838" operator="equal">
      <formula>"-"</formula>
    </cfRule>
    <cfRule type="cellIs" dxfId="4446" priority="1839" operator="lessThan">
      <formula>0</formula>
    </cfRule>
    <cfRule type="cellIs" dxfId="4445" priority="1840" operator="greaterThan">
      <formula>0</formula>
    </cfRule>
  </conditionalFormatting>
  <conditionalFormatting sqref="AH37">
    <cfRule type="cellIs" dxfId="4444" priority="1836" operator="lessThan">
      <formula>0</formula>
    </cfRule>
    <cfRule type="cellIs" dxfId="4443" priority="1837" operator="greaterThan">
      <formula>0</formula>
    </cfRule>
  </conditionalFormatting>
  <conditionalFormatting sqref="AH37">
    <cfRule type="cellIs" dxfId="4442" priority="1835" operator="equal">
      <formula>"-"</formula>
    </cfRule>
  </conditionalFormatting>
  <conditionalFormatting sqref="AH38">
    <cfRule type="cellIs" dxfId="4441" priority="1833" operator="lessThan">
      <formula>0</formula>
    </cfRule>
    <cfRule type="cellIs" dxfId="4440" priority="1834" operator="greaterThan">
      <formula>0</formula>
    </cfRule>
  </conditionalFormatting>
  <conditionalFormatting sqref="AH38">
    <cfRule type="cellIs" dxfId="4439" priority="1832" operator="equal">
      <formula>"-"</formula>
    </cfRule>
  </conditionalFormatting>
  <conditionalFormatting sqref="AH56:AH67">
    <cfRule type="cellIs" dxfId="4438" priority="1829" operator="equal">
      <formula>"-"</formula>
    </cfRule>
    <cfRule type="cellIs" dxfId="4437" priority="1830" operator="lessThan">
      <formula>0</formula>
    </cfRule>
    <cfRule type="cellIs" dxfId="4436" priority="1831" operator="greaterThan">
      <formula>0</formula>
    </cfRule>
  </conditionalFormatting>
  <conditionalFormatting sqref="AH68:AH78">
    <cfRule type="cellIs" dxfId="4435" priority="1827" operator="lessThan">
      <formula>0</formula>
    </cfRule>
    <cfRule type="cellIs" dxfId="4434" priority="1828" operator="greaterThan">
      <formula>0</formula>
    </cfRule>
  </conditionalFormatting>
  <conditionalFormatting sqref="AH68:AH78">
    <cfRule type="cellIs" dxfId="4433" priority="1826" operator="equal">
      <formula>"-"</formula>
    </cfRule>
  </conditionalFormatting>
  <conditionalFormatting sqref="AH81">
    <cfRule type="cellIs" dxfId="4432" priority="1824" operator="lessThan">
      <formula>0</formula>
    </cfRule>
    <cfRule type="cellIs" dxfId="4431" priority="1825" operator="greaterThan">
      <formula>0</formula>
    </cfRule>
  </conditionalFormatting>
  <conditionalFormatting sqref="AH81">
    <cfRule type="cellIs" dxfId="4430" priority="1823" operator="equal">
      <formula>"-"</formula>
    </cfRule>
  </conditionalFormatting>
  <conditionalFormatting sqref="AH82">
    <cfRule type="cellIs" dxfId="4429" priority="1821" operator="lessThan">
      <formula>0</formula>
    </cfRule>
    <cfRule type="cellIs" dxfId="4428" priority="1822" operator="greaterThan">
      <formula>0</formula>
    </cfRule>
  </conditionalFormatting>
  <conditionalFormatting sqref="AH82">
    <cfRule type="cellIs" dxfId="4427" priority="1820" operator="equal">
      <formula>"-"</formula>
    </cfRule>
  </conditionalFormatting>
  <conditionalFormatting sqref="AH79">
    <cfRule type="cellIs" dxfId="4426" priority="1818" operator="lessThan">
      <formula>0</formula>
    </cfRule>
    <cfRule type="cellIs" dxfId="4425" priority="1819" operator="greaterThan">
      <formula>0</formula>
    </cfRule>
  </conditionalFormatting>
  <conditionalFormatting sqref="AH79">
    <cfRule type="cellIs" dxfId="4424" priority="1817" operator="equal">
      <formula>"-"</formula>
    </cfRule>
  </conditionalFormatting>
  <conditionalFormatting sqref="AH80">
    <cfRule type="cellIs" dxfId="4423" priority="1815" operator="lessThan">
      <formula>0</formula>
    </cfRule>
    <cfRule type="cellIs" dxfId="4422" priority="1816" operator="greaterThan">
      <formula>0</formula>
    </cfRule>
  </conditionalFormatting>
  <conditionalFormatting sqref="AH80">
    <cfRule type="cellIs" dxfId="4421" priority="1814" operator="equal">
      <formula>"-"</formula>
    </cfRule>
  </conditionalFormatting>
  <conditionalFormatting sqref="AH83:AH87">
    <cfRule type="cellIs" dxfId="4420" priority="1812" operator="lessThan">
      <formula>0</formula>
    </cfRule>
    <cfRule type="cellIs" dxfId="4419" priority="1813" operator="greaterThan">
      <formula>0</formula>
    </cfRule>
  </conditionalFormatting>
  <conditionalFormatting sqref="AH83:AH87">
    <cfRule type="cellIs" dxfId="4418" priority="1811" operator="equal">
      <formula>"-"</formula>
    </cfRule>
  </conditionalFormatting>
  <conditionalFormatting sqref="AH51">
    <cfRule type="cellIs" dxfId="4417" priority="1809" operator="lessThan">
      <formula>0</formula>
    </cfRule>
    <cfRule type="cellIs" dxfId="4416" priority="1810" operator="greaterThan">
      <formula>0</formula>
    </cfRule>
  </conditionalFormatting>
  <conditionalFormatting sqref="AH51">
    <cfRule type="cellIs" dxfId="4415" priority="1808" operator="equal">
      <formula>"-"</formula>
    </cfRule>
  </conditionalFormatting>
  <conditionalFormatting sqref="AH52">
    <cfRule type="cellIs" dxfId="4414" priority="1806" operator="lessThan">
      <formula>0</formula>
    </cfRule>
    <cfRule type="cellIs" dxfId="4413" priority="1807" operator="greaterThan">
      <formula>0</formula>
    </cfRule>
  </conditionalFormatting>
  <conditionalFormatting sqref="AH52">
    <cfRule type="cellIs" dxfId="4412" priority="1805" operator="equal">
      <formula>"-"</formula>
    </cfRule>
  </conditionalFormatting>
  <conditionalFormatting sqref="AH53">
    <cfRule type="cellIs" dxfId="4411" priority="1803" operator="lessThan">
      <formula>0</formula>
    </cfRule>
    <cfRule type="cellIs" dxfId="4410" priority="1804" operator="greaterThan">
      <formula>0</formula>
    </cfRule>
  </conditionalFormatting>
  <conditionalFormatting sqref="AH53">
    <cfRule type="cellIs" dxfId="4409" priority="1802" operator="equal">
      <formula>"-"</formula>
    </cfRule>
  </conditionalFormatting>
  <conditionalFormatting sqref="AH12:AH18">
    <cfRule type="cellIs" dxfId="4408" priority="1799" operator="equal">
      <formula>"-"</formula>
    </cfRule>
    <cfRule type="cellIs" dxfId="4407" priority="1800" operator="lessThan">
      <formula>0</formula>
    </cfRule>
    <cfRule type="cellIs" dxfId="4406" priority="1801" operator="greaterThan">
      <formula>0</formula>
    </cfRule>
  </conditionalFormatting>
  <conditionalFormatting sqref="AH3:AH11">
    <cfRule type="cellIs" dxfId="4405" priority="1796" operator="equal">
      <formula>"-"</formula>
    </cfRule>
    <cfRule type="cellIs" dxfId="4404" priority="1797" operator="lessThan">
      <formula>0</formula>
    </cfRule>
    <cfRule type="cellIs" dxfId="4403" priority="1798" operator="greaterThan">
      <formula>0</formula>
    </cfRule>
  </conditionalFormatting>
  <conditionalFormatting sqref="AH21:AH26">
    <cfRule type="cellIs" dxfId="4402" priority="1793" operator="equal">
      <formula>"-"</formula>
    </cfRule>
    <cfRule type="cellIs" dxfId="4401" priority="1794" operator="lessThan">
      <formula>0</formula>
    </cfRule>
    <cfRule type="cellIs" dxfId="4400" priority="1795" operator="greaterThan">
      <formula>0</formula>
    </cfRule>
  </conditionalFormatting>
  <conditionalFormatting sqref="AH33">
    <cfRule type="cellIs" dxfId="4399" priority="1790" operator="equal">
      <formula>"-"</formula>
    </cfRule>
    <cfRule type="cellIs" dxfId="4398" priority="1791" operator="lessThan">
      <formula>0</formula>
    </cfRule>
    <cfRule type="cellIs" dxfId="4397" priority="1792" operator="greaterThan">
      <formula>0</formula>
    </cfRule>
  </conditionalFormatting>
  <conditionalFormatting sqref="AH34:AH35">
    <cfRule type="cellIs" dxfId="4396" priority="1787" operator="equal">
      <formula>"-"</formula>
    </cfRule>
    <cfRule type="cellIs" dxfId="4395" priority="1788" operator="lessThan">
      <formula>0</formula>
    </cfRule>
    <cfRule type="cellIs" dxfId="4394" priority="1789" operator="greaterThan">
      <formula>0</formula>
    </cfRule>
  </conditionalFormatting>
  <conditionalFormatting sqref="AH36">
    <cfRule type="cellIs" dxfId="4393" priority="1784" operator="equal">
      <formula>"-"</formula>
    </cfRule>
    <cfRule type="cellIs" dxfId="4392" priority="1785" operator="lessThan">
      <formula>0</formula>
    </cfRule>
    <cfRule type="cellIs" dxfId="4391" priority="1786" operator="greaterThan">
      <formula>0</formula>
    </cfRule>
  </conditionalFormatting>
  <conditionalFormatting sqref="AH47:AH48">
    <cfRule type="cellIs" dxfId="4390" priority="1781" operator="equal">
      <formula>"-"</formula>
    </cfRule>
    <cfRule type="cellIs" dxfId="4389" priority="1782" operator="lessThan">
      <formula>0</formula>
    </cfRule>
    <cfRule type="cellIs" dxfId="4388" priority="1783" operator="greaterThan">
      <formula>0</formula>
    </cfRule>
  </conditionalFormatting>
  <conditionalFormatting sqref="AH49:AH50">
    <cfRule type="cellIs" dxfId="4387" priority="1778" operator="equal">
      <formula>"-"</formula>
    </cfRule>
    <cfRule type="cellIs" dxfId="4386" priority="1779" operator="lessThan">
      <formula>0</formula>
    </cfRule>
    <cfRule type="cellIs" dxfId="4385" priority="1780" operator="greaterThan">
      <formula>0</formula>
    </cfRule>
  </conditionalFormatting>
  <conditionalFormatting sqref="AF2">
    <cfRule type="containsText" dxfId="4384" priority="1774" operator="containsText" text="NEUTRO">
      <formula>NOT(ISERROR(SEARCH("NEUTRO",AF2)))</formula>
    </cfRule>
    <cfRule type="containsText" dxfId="4383" priority="1775" operator="containsText" text="BULLISH">
      <formula>NOT(ISERROR(SEARCH("BULLISH",AF2)))</formula>
    </cfRule>
    <cfRule type="containsText" dxfId="4382" priority="1776" operator="containsText" text="BEARISH">
      <formula>NOT(ISERROR(SEARCH("BEARISH",AF2)))</formula>
    </cfRule>
    <cfRule type="containsBlanks" dxfId="4381" priority="1777">
      <formula>LEN(TRIM(AF2))=0</formula>
    </cfRule>
  </conditionalFormatting>
  <conditionalFormatting sqref="AF20">
    <cfRule type="containsText" dxfId="4380" priority="1770" operator="containsText" text="NEUTRO">
      <formula>NOT(ISERROR(SEARCH("NEUTRO",AF20)))</formula>
    </cfRule>
    <cfRule type="containsText" dxfId="4379" priority="1771" operator="containsText" text="BULLISH">
      <formula>NOT(ISERROR(SEARCH("BULLISH",AF20)))</formula>
    </cfRule>
    <cfRule type="containsText" dxfId="4378" priority="1772" operator="containsText" text="BEARISH">
      <formula>NOT(ISERROR(SEARCH("BEARISH",AF20)))</formula>
    </cfRule>
    <cfRule type="containsBlanks" dxfId="4377" priority="1773">
      <formula>LEN(TRIM(AF20))=0</formula>
    </cfRule>
  </conditionalFormatting>
  <conditionalFormatting sqref="AF32">
    <cfRule type="containsText" dxfId="4376" priority="1766" operator="containsText" text="NEUTRO">
      <formula>NOT(ISERROR(SEARCH("NEUTRO",AF32)))</formula>
    </cfRule>
    <cfRule type="containsText" dxfId="4375" priority="1767" operator="containsText" text="BULLISH">
      <formula>NOT(ISERROR(SEARCH("BULLISH",AF32)))</formula>
    </cfRule>
    <cfRule type="containsText" dxfId="4374" priority="1768" operator="containsText" text="BEARISH">
      <formula>NOT(ISERROR(SEARCH("BEARISH",AF32)))</formula>
    </cfRule>
    <cfRule type="containsBlanks" dxfId="4373" priority="1769">
      <formula>LEN(TRIM(AF32))=0</formula>
    </cfRule>
  </conditionalFormatting>
  <conditionalFormatting sqref="AF46">
    <cfRule type="containsText" dxfId="4372" priority="1762" operator="containsText" text="NEUTRO">
      <formula>NOT(ISERROR(SEARCH("NEUTRO",AF46)))</formula>
    </cfRule>
    <cfRule type="containsText" dxfId="4371" priority="1763" operator="containsText" text="BULLISH">
      <formula>NOT(ISERROR(SEARCH("BULLISH",AF46)))</formula>
    </cfRule>
    <cfRule type="containsText" dxfId="4370" priority="1764" operator="containsText" text="BEARISH">
      <formula>NOT(ISERROR(SEARCH("BEARISH",AF46)))</formula>
    </cfRule>
    <cfRule type="containsBlanks" dxfId="4369" priority="1765">
      <formula>LEN(TRIM(AF46))=0</formula>
    </cfRule>
  </conditionalFormatting>
  <conditionalFormatting sqref="AF55">
    <cfRule type="containsText" dxfId="4368" priority="1758" operator="containsText" text="NEUTRO">
      <formula>NOT(ISERROR(SEARCH("NEUTRO",AF55)))</formula>
    </cfRule>
    <cfRule type="containsText" dxfId="4367" priority="1759" operator="containsText" text="BULLISH">
      <formula>NOT(ISERROR(SEARCH("BULLISH",AF55)))</formula>
    </cfRule>
    <cfRule type="containsText" dxfId="4366" priority="1760" operator="containsText" text="BEARISH">
      <formula>NOT(ISERROR(SEARCH("BEARISH",AF55)))</formula>
    </cfRule>
    <cfRule type="containsBlanks" dxfId="4365" priority="1761">
      <formula>LEN(TRIM(AF55))=0</formula>
    </cfRule>
  </conditionalFormatting>
  <conditionalFormatting sqref="AF89">
    <cfRule type="containsText" dxfId="4364" priority="1754" operator="containsText" text="NEUTRO">
      <formula>NOT(ISERROR(SEARCH("NEUTRO",AF89)))</formula>
    </cfRule>
    <cfRule type="containsText" dxfId="4363" priority="1755" operator="containsText" text="BULLISH">
      <formula>NOT(ISERROR(SEARCH("BULLISH",AF89)))</formula>
    </cfRule>
    <cfRule type="containsText" dxfId="4362" priority="1756" operator="containsText" text="BEARISH">
      <formula>NOT(ISERROR(SEARCH("BEARISH",AF89)))</formula>
    </cfRule>
    <cfRule type="containsBlanks" dxfId="4361" priority="1757">
      <formula>LEN(TRIM(AF89))=0</formula>
    </cfRule>
  </conditionalFormatting>
  <conditionalFormatting sqref="AE92:AE865">
    <cfRule type="colorScale" priority="1753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AE27:AE30">
    <cfRule type="cellIs" dxfId="4360" priority="1750" operator="equal">
      <formula>"-"</formula>
    </cfRule>
    <cfRule type="cellIs" dxfId="4359" priority="1751" operator="lessThan">
      <formula>0</formula>
    </cfRule>
    <cfRule type="cellIs" dxfId="4358" priority="1752" operator="greaterThan">
      <formula>0</formula>
    </cfRule>
  </conditionalFormatting>
  <conditionalFormatting sqref="AE39">
    <cfRule type="cellIs" dxfId="4357" priority="1748" operator="lessThan">
      <formula>0</formula>
    </cfRule>
    <cfRule type="cellIs" dxfId="4356" priority="1749" operator="greaterThan">
      <formula>0</formula>
    </cfRule>
  </conditionalFormatting>
  <conditionalFormatting sqref="AE39">
    <cfRule type="cellIs" dxfId="4355" priority="1747" operator="equal">
      <formula>"-"</formula>
    </cfRule>
  </conditionalFormatting>
  <conditionalFormatting sqref="AE40">
    <cfRule type="cellIs" dxfId="4354" priority="1744" operator="equal">
      <formula>"-"</formula>
    </cfRule>
    <cfRule type="cellIs" dxfId="4353" priority="1745" operator="lessThan">
      <formula>0</formula>
    </cfRule>
    <cfRule type="cellIs" dxfId="4352" priority="1746" operator="greaterThan">
      <formula>0</formula>
    </cfRule>
  </conditionalFormatting>
  <conditionalFormatting sqref="AE41">
    <cfRule type="cellIs" dxfId="4351" priority="1741" operator="equal">
      <formula>"-"</formula>
    </cfRule>
    <cfRule type="cellIs" dxfId="4350" priority="1742" operator="lessThan">
      <formula>0</formula>
    </cfRule>
    <cfRule type="cellIs" dxfId="4349" priority="1743" operator="greaterThan">
      <formula>0</formula>
    </cfRule>
  </conditionalFormatting>
  <conditionalFormatting sqref="AE42">
    <cfRule type="cellIs" dxfId="4348" priority="1738" operator="equal">
      <formula>"-"</formula>
    </cfRule>
    <cfRule type="cellIs" dxfId="4347" priority="1739" operator="lessThan">
      <formula>0</formula>
    </cfRule>
    <cfRule type="cellIs" dxfId="4346" priority="1740" operator="greaterThan">
      <formula>0</formula>
    </cfRule>
  </conditionalFormatting>
  <conditionalFormatting sqref="AE43">
    <cfRule type="cellIs" dxfId="4345" priority="1735" operator="equal">
      <formula>"-"</formula>
    </cfRule>
    <cfRule type="cellIs" dxfId="4344" priority="1736" operator="lessThan">
      <formula>0</formula>
    </cfRule>
    <cfRule type="cellIs" dxfId="4343" priority="1737" operator="greaterThan">
      <formula>0</formula>
    </cfRule>
  </conditionalFormatting>
  <conditionalFormatting sqref="AE44">
    <cfRule type="cellIs" dxfId="4342" priority="1732" operator="equal">
      <formula>"-"</formula>
    </cfRule>
    <cfRule type="cellIs" dxfId="4341" priority="1733" operator="lessThan">
      <formula>0</formula>
    </cfRule>
    <cfRule type="cellIs" dxfId="4340" priority="1734" operator="greaterThan">
      <formula>0</formula>
    </cfRule>
  </conditionalFormatting>
  <conditionalFormatting sqref="AE37">
    <cfRule type="cellIs" dxfId="4339" priority="1730" operator="lessThan">
      <formula>0</formula>
    </cfRule>
    <cfRule type="cellIs" dxfId="4338" priority="1731" operator="greaterThan">
      <formula>0</formula>
    </cfRule>
  </conditionalFormatting>
  <conditionalFormatting sqref="AE37">
    <cfRule type="cellIs" dxfId="4337" priority="1729" operator="equal">
      <formula>"-"</formula>
    </cfRule>
  </conditionalFormatting>
  <conditionalFormatting sqref="AE38">
    <cfRule type="cellIs" dxfId="4336" priority="1727" operator="lessThan">
      <formula>0</formula>
    </cfRule>
    <cfRule type="cellIs" dxfId="4335" priority="1728" operator="greaterThan">
      <formula>0</formula>
    </cfRule>
  </conditionalFormatting>
  <conditionalFormatting sqref="AE38">
    <cfRule type="cellIs" dxfId="4334" priority="1726" operator="equal">
      <formula>"-"</formula>
    </cfRule>
  </conditionalFormatting>
  <conditionalFormatting sqref="AE56:AE67">
    <cfRule type="cellIs" dxfId="4333" priority="1723" operator="equal">
      <formula>"-"</formula>
    </cfRule>
    <cfRule type="cellIs" dxfId="4332" priority="1724" operator="lessThan">
      <formula>0</formula>
    </cfRule>
    <cfRule type="cellIs" dxfId="4331" priority="1725" operator="greaterThan">
      <formula>0</formula>
    </cfRule>
  </conditionalFormatting>
  <conditionalFormatting sqref="AE68:AE78">
    <cfRule type="cellIs" dxfId="4330" priority="1721" operator="lessThan">
      <formula>0</formula>
    </cfRule>
    <cfRule type="cellIs" dxfId="4329" priority="1722" operator="greaterThan">
      <formula>0</formula>
    </cfRule>
  </conditionalFormatting>
  <conditionalFormatting sqref="AE68:AE78">
    <cfRule type="cellIs" dxfId="4328" priority="1720" operator="equal">
      <formula>"-"</formula>
    </cfRule>
  </conditionalFormatting>
  <conditionalFormatting sqref="AE81">
    <cfRule type="cellIs" dxfId="4327" priority="1718" operator="lessThan">
      <formula>0</formula>
    </cfRule>
    <cfRule type="cellIs" dxfId="4326" priority="1719" operator="greaterThan">
      <formula>0</formula>
    </cfRule>
  </conditionalFormatting>
  <conditionalFormatting sqref="AE81">
    <cfRule type="cellIs" dxfId="4325" priority="1717" operator="equal">
      <formula>"-"</formula>
    </cfRule>
  </conditionalFormatting>
  <conditionalFormatting sqref="AE82">
    <cfRule type="cellIs" dxfId="4324" priority="1715" operator="lessThan">
      <formula>0</formula>
    </cfRule>
    <cfRule type="cellIs" dxfId="4323" priority="1716" operator="greaterThan">
      <formula>0</formula>
    </cfRule>
  </conditionalFormatting>
  <conditionalFormatting sqref="AE82">
    <cfRule type="cellIs" dxfId="4322" priority="1714" operator="equal">
      <formula>"-"</formula>
    </cfRule>
  </conditionalFormatting>
  <conditionalFormatting sqref="AE79">
    <cfRule type="cellIs" dxfId="4321" priority="1712" operator="lessThan">
      <formula>0</formula>
    </cfRule>
    <cfRule type="cellIs" dxfId="4320" priority="1713" operator="greaterThan">
      <formula>0</formula>
    </cfRule>
  </conditionalFormatting>
  <conditionalFormatting sqref="AE79">
    <cfRule type="cellIs" dxfId="4319" priority="1711" operator="equal">
      <formula>"-"</formula>
    </cfRule>
  </conditionalFormatting>
  <conditionalFormatting sqref="AE80">
    <cfRule type="cellIs" dxfId="4318" priority="1709" operator="lessThan">
      <formula>0</formula>
    </cfRule>
    <cfRule type="cellIs" dxfId="4317" priority="1710" operator="greaterThan">
      <formula>0</formula>
    </cfRule>
  </conditionalFormatting>
  <conditionalFormatting sqref="AE80">
    <cfRule type="cellIs" dxfId="4316" priority="1708" operator="equal">
      <formula>"-"</formula>
    </cfRule>
  </conditionalFormatting>
  <conditionalFormatting sqref="AE83:AE87">
    <cfRule type="cellIs" dxfId="4315" priority="1706" operator="lessThan">
      <formula>0</formula>
    </cfRule>
    <cfRule type="cellIs" dxfId="4314" priority="1707" operator="greaterThan">
      <formula>0</formula>
    </cfRule>
  </conditionalFormatting>
  <conditionalFormatting sqref="AE83:AE87">
    <cfRule type="cellIs" dxfId="4313" priority="1705" operator="equal">
      <formula>"-"</formula>
    </cfRule>
  </conditionalFormatting>
  <conditionalFormatting sqref="AE51">
    <cfRule type="cellIs" dxfId="4312" priority="1703" operator="lessThan">
      <formula>0</formula>
    </cfRule>
    <cfRule type="cellIs" dxfId="4311" priority="1704" operator="greaterThan">
      <formula>0</formula>
    </cfRule>
  </conditionalFormatting>
  <conditionalFormatting sqref="AE51">
    <cfRule type="cellIs" dxfId="4310" priority="1702" operator="equal">
      <formula>"-"</formula>
    </cfRule>
  </conditionalFormatting>
  <conditionalFormatting sqref="AE52">
    <cfRule type="cellIs" dxfId="4309" priority="1700" operator="lessThan">
      <formula>0</formula>
    </cfRule>
    <cfRule type="cellIs" dxfId="4308" priority="1701" operator="greaterThan">
      <formula>0</formula>
    </cfRule>
  </conditionalFormatting>
  <conditionalFormatting sqref="AE52">
    <cfRule type="cellIs" dxfId="4307" priority="1699" operator="equal">
      <formula>"-"</formula>
    </cfRule>
  </conditionalFormatting>
  <conditionalFormatting sqref="AE53">
    <cfRule type="cellIs" dxfId="4306" priority="1697" operator="lessThan">
      <formula>0</formula>
    </cfRule>
    <cfRule type="cellIs" dxfId="4305" priority="1698" operator="greaterThan">
      <formula>0</formula>
    </cfRule>
  </conditionalFormatting>
  <conditionalFormatting sqref="AE53">
    <cfRule type="cellIs" dxfId="4304" priority="1696" operator="equal">
      <formula>"-"</formula>
    </cfRule>
  </conditionalFormatting>
  <conditionalFormatting sqref="AB12:AB18">
    <cfRule type="cellIs" dxfId="4303" priority="1587" operator="equal">
      <formula>"-"</formula>
    </cfRule>
    <cfRule type="cellIs" dxfId="4302" priority="1588" operator="lessThan">
      <formula>0</formula>
    </cfRule>
    <cfRule type="cellIs" dxfId="4301" priority="1589" operator="greaterThan">
      <formula>0</formula>
    </cfRule>
  </conditionalFormatting>
  <conditionalFormatting sqref="AE3:AE11">
    <cfRule type="cellIs" dxfId="4300" priority="1690" operator="equal">
      <formula>"-"</formula>
    </cfRule>
    <cfRule type="cellIs" dxfId="4299" priority="1691" operator="lessThan">
      <formula>0</formula>
    </cfRule>
    <cfRule type="cellIs" dxfId="4298" priority="1692" operator="greaterThan">
      <formula>0</formula>
    </cfRule>
  </conditionalFormatting>
  <conditionalFormatting sqref="AE21:AE26">
    <cfRule type="cellIs" dxfId="4297" priority="1687" operator="equal">
      <formula>"-"</formula>
    </cfRule>
    <cfRule type="cellIs" dxfId="4296" priority="1688" operator="lessThan">
      <formula>0</formula>
    </cfRule>
    <cfRule type="cellIs" dxfId="4295" priority="1689" operator="greaterThan">
      <formula>0</formula>
    </cfRule>
  </conditionalFormatting>
  <conditionalFormatting sqref="AE33">
    <cfRule type="cellIs" dxfId="4294" priority="1684" operator="equal">
      <formula>"-"</formula>
    </cfRule>
    <cfRule type="cellIs" dxfId="4293" priority="1685" operator="lessThan">
      <formula>0</formula>
    </cfRule>
    <cfRule type="cellIs" dxfId="4292" priority="1686" operator="greaterThan">
      <formula>0</formula>
    </cfRule>
  </conditionalFormatting>
  <conditionalFormatting sqref="AE34:AE35">
    <cfRule type="cellIs" dxfId="4291" priority="1681" operator="equal">
      <formula>"-"</formula>
    </cfRule>
    <cfRule type="cellIs" dxfId="4290" priority="1682" operator="lessThan">
      <formula>0</formula>
    </cfRule>
    <cfRule type="cellIs" dxfId="4289" priority="1683" operator="greaterThan">
      <formula>0</formula>
    </cfRule>
  </conditionalFormatting>
  <conditionalFormatting sqref="AE36">
    <cfRule type="cellIs" dxfId="4288" priority="1678" operator="equal">
      <formula>"-"</formula>
    </cfRule>
    <cfRule type="cellIs" dxfId="4287" priority="1679" operator="lessThan">
      <formula>0</formula>
    </cfRule>
    <cfRule type="cellIs" dxfId="4286" priority="1680" operator="greaterThan">
      <formula>0</formula>
    </cfRule>
  </conditionalFormatting>
  <conditionalFormatting sqref="AE47:AE48">
    <cfRule type="cellIs" dxfId="4285" priority="1675" operator="equal">
      <formula>"-"</formula>
    </cfRule>
    <cfRule type="cellIs" dxfId="4284" priority="1676" operator="lessThan">
      <formula>0</formula>
    </cfRule>
    <cfRule type="cellIs" dxfId="4283" priority="1677" operator="greaterThan">
      <formula>0</formula>
    </cfRule>
  </conditionalFormatting>
  <conditionalFormatting sqref="AE49:AE50">
    <cfRule type="cellIs" dxfId="4282" priority="1672" operator="equal">
      <formula>"-"</formula>
    </cfRule>
    <cfRule type="cellIs" dxfId="4281" priority="1673" operator="lessThan">
      <formula>0</formula>
    </cfRule>
    <cfRule type="cellIs" dxfId="4280" priority="1674" operator="greaterThan">
      <formula>0</formula>
    </cfRule>
  </conditionalFormatting>
  <conditionalFormatting sqref="AC2">
    <cfRule type="containsText" dxfId="4279" priority="1668" operator="containsText" text="NEUTRO">
      <formula>NOT(ISERROR(SEARCH("NEUTRO",AC2)))</formula>
    </cfRule>
    <cfRule type="containsText" dxfId="4278" priority="1669" operator="containsText" text="BULLISH">
      <formula>NOT(ISERROR(SEARCH("BULLISH",AC2)))</formula>
    </cfRule>
    <cfRule type="containsText" dxfId="4277" priority="1670" operator="containsText" text="BEARISH">
      <formula>NOT(ISERROR(SEARCH("BEARISH",AC2)))</formula>
    </cfRule>
    <cfRule type="containsBlanks" dxfId="4276" priority="1671">
      <formula>LEN(TRIM(AC2))=0</formula>
    </cfRule>
  </conditionalFormatting>
  <conditionalFormatting sqref="AC20">
    <cfRule type="containsText" dxfId="4275" priority="1664" operator="containsText" text="NEUTRO">
      <formula>NOT(ISERROR(SEARCH("NEUTRO",AC20)))</formula>
    </cfRule>
    <cfRule type="containsText" dxfId="4274" priority="1665" operator="containsText" text="BULLISH">
      <formula>NOT(ISERROR(SEARCH("BULLISH",AC20)))</formula>
    </cfRule>
    <cfRule type="containsText" dxfId="4273" priority="1666" operator="containsText" text="BEARISH">
      <formula>NOT(ISERROR(SEARCH("BEARISH",AC20)))</formula>
    </cfRule>
    <cfRule type="containsBlanks" dxfId="4272" priority="1667">
      <formula>LEN(TRIM(AC20))=0</formula>
    </cfRule>
  </conditionalFormatting>
  <conditionalFormatting sqref="AC32">
    <cfRule type="containsText" dxfId="4271" priority="1660" operator="containsText" text="NEUTRO">
      <formula>NOT(ISERROR(SEARCH("NEUTRO",AC32)))</formula>
    </cfRule>
    <cfRule type="containsText" dxfId="4270" priority="1661" operator="containsText" text="BULLISH">
      <formula>NOT(ISERROR(SEARCH("BULLISH",AC32)))</formula>
    </cfRule>
    <cfRule type="containsText" dxfId="4269" priority="1662" operator="containsText" text="BEARISH">
      <formula>NOT(ISERROR(SEARCH("BEARISH",AC32)))</formula>
    </cfRule>
    <cfRule type="containsBlanks" dxfId="4268" priority="1663">
      <formula>LEN(TRIM(AC32))=0</formula>
    </cfRule>
  </conditionalFormatting>
  <conditionalFormatting sqref="AC46">
    <cfRule type="containsText" dxfId="4267" priority="1656" operator="containsText" text="NEUTRO">
      <formula>NOT(ISERROR(SEARCH("NEUTRO",AC46)))</formula>
    </cfRule>
    <cfRule type="containsText" dxfId="4266" priority="1657" operator="containsText" text="BULLISH">
      <formula>NOT(ISERROR(SEARCH("BULLISH",AC46)))</formula>
    </cfRule>
    <cfRule type="containsText" dxfId="4265" priority="1658" operator="containsText" text="BEARISH">
      <formula>NOT(ISERROR(SEARCH("BEARISH",AC46)))</formula>
    </cfRule>
    <cfRule type="containsBlanks" dxfId="4264" priority="1659">
      <formula>LEN(TRIM(AC46))=0</formula>
    </cfRule>
  </conditionalFormatting>
  <conditionalFormatting sqref="AC55">
    <cfRule type="containsText" dxfId="4263" priority="1652" operator="containsText" text="NEUTRO">
      <formula>NOT(ISERROR(SEARCH("NEUTRO",AC55)))</formula>
    </cfRule>
    <cfRule type="containsText" dxfId="4262" priority="1653" operator="containsText" text="BULLISH">
      <formula>NOT(ISERROR(SEARCH("BULLISH",AC55)))</formula>
    </cfRule>
    <cfRule type="containsText" dxfId="4261" priority="1654" operator="containsText" text="BEARISH">
      <formula>NOT(ISERROR(SEARCH("BEARISH",AC55)))</formula>
    </cfRule>
    <cfRule type="containsBlanks" dxfId="4260" priority="1655">
      <formula>LEN(TRIM(AC55))=0</formula>
    </cfRule>
  </conditionalFormatting>
  <conditionalFormatting sqref="AC89">
    <cfRule type="containsText" dxfId="4259" priority="1648" operator="containsText" text="NEUTRO">
      <formula>NOT(ISERROR(SEARCH("NEUTRO",AC89)))</formula>
    </cfRule>
    <cfRule type="containsText" dxfId="4258" priority="1649" operator="containsText" text="BULLISH">
      <formula>NOT(ISERROR(SEARCH("BULLISH",AC89)))</formula>
    </cfRule>
    <cfRule type="containsText" dxfId="4257" priority="1650" operator="containsText" text="BEARISH">
      <formula>NOT(ISERROR(SEARCH("BEARISH",AC89)))</formula>
    </cfRule>
    <cfRule type="containsBlanks" dxfId="4256" priority="1651">
      <formula>LEN(TRIM(AC89))=0</formula>
    </cfRule>
  </conditionalFormatting>
  <conditionalFormatting sqref="AB92:AB865">
    <cfRule type="colorScale" priority="1647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AB27:AB30">
    <cfRule type="cellIs" dxfId="4255" priority="1644" operator="equal">
      <formula>"-"</formula>
    </cfRule>
    <cfRule type="cellIs" dxfId="4254" priority="1645" operator="lessThan">
      <formula>0</formula>
    </cfRule>
    <cfRule type="cellIs" dxfId="4253" priority="1646" operator="greaterThan">
      <formula>0</formula>
    </cfRule>
  </conditionalFormatting>
  <conditionalFormatting sqref="AB39">
    <cfRule type="cellIs" dxfId="4252" priority="1642" operator="lessThan">
      <formula>0</formula>
    </cfRule>
    <cfRule type="cellIs" dxfId="4251" priority="1643" operator="greaterThan">
      <formula>0</formula>
    </cfRule>
  </conditionalFormatting>
  <conditionalFormatting sqref="AB39">
    <cfRule type="cellIs" dxfId="4250" priority="1641" operator="equal">
      <formula>"-"</formula>
    </cfRule>
  </conditionalFormatting>
  <conditionalFormatting sqref="AB40">
    <cfRule type="cellIs" dxfId="4249" priority="1638" operator="equal">
      <formula>"-"</formula>
    </cfRule>
    <cfRule type="cellIs" dxfId="4248" priority="1639" operator="lessThan">
      <formula>0</formula>
    </cfRule>
    <cfRule type="cellIs" dxfId="4247" priority="1640" operator="greaterThan">
      <formula>0</formula>
    </cfRule>
  </conditionalFormatting>
  <conditionalFormatting sqref="AB41">
    <cfRule type="cellIs" dxfId="4246" priority="1635" operator="equal">
      <formula>"-"</formula>
    </cfRule>
    <cfRule type="cellIs" dxfId="4245" priority="1636" operator="lessThan">
      <formula>0</formula>
    </cfRule>
    <cfRule type="cellIs" dxfId="4244" priority="1637" operator="greaterThan">
      <formula>0</formula>
    </cfRule>
  </conditionalFormatting>
  <conditionalFormatting sqref="AB42">
    <cfRule type="cellIs" dxfId="4243" priority="1632" operator="equal">
      <formula>"-"</formula>
    </cfRule>
    <cfRule type="cellIs" dxfId="4242" priority="1633" operator="lessThan">
      <formula>0</formula>
    </cfRule>
    <cfRule type="cellIs" dxfId="4241" priority="1634" operator="greaterThan">
      <formula>0</formula>
    </cfRule>
  </conditionalFormatting>
  <conditionalFormatting sqref="AB43">
    <cfRule type="cellIs" dxfId="4240" priority="1629" operator="equal">
      <formula>"-"</formula>
    </cfRule>
    <cfRule type="cellIs" dxfId="4239" priority="1630" operator="lessThan">
      <formula>0</formula>
    </cfRule>
    <cfRule type="cellIs" dxfId="4238" priority="1631" operator="greaterThan">
      <formula>0</formula>
    </cfRule>
  </conditionalFormatting>
  <conditionalFormatting sqref="AB44">
    <cfRule type="cellIs" dxfId="4237" priority="1626" operator="equal">
      <formula>"-"</formula>
    </cfRule>
    <cfRule type="cellIs" dxfId="4236" priority="1627" operator="lessThan">
      <formula>0</formula>
    </cfRule>
    <cfRule type="cellIs" dxfId="4235" priority="1628" operator="greaterThan">
      <formula>0</formula>
    </cfRule>
  </conditionalFormatting>
  <conditionalFormatting sqref="AB37">
    <cfRule type="cellIs" dxfId="4234" priority="1624" operator="lessThan">
      <formula>0</formula>
    </cfRule>
    <cfRule type="cellIs" dxfId="4233" priority="1625" operator="greaterThan">
      <formula>0</formula>
    </cfRule>
  </conditionalFormatting>
  <conditionalFormatting sqref="AB37">
    <cfRule type="cellIs" dxfId="4232" priority="1623" operator="equal">
      <formula>"-"</formula>
    </cfRule>
  </conditionalFormatting>
  <conditionalFormatting sqref="AB38">
    <cfRule type="cellIs" dxfId="4231" priority="1621" operator="lessThan">
      <formula>0</formula>
    </cfRule>
    <cfRule type="cellIs" dxfId="4230" priority="1622" operator="greaterThan">
      <formula>0</formula>
    </cfRule>
  </conditionalFormatting>
  <conditionalFormatting sqref="AB38">
    <cfRule type="cellIs" dxfId="4229" priority="1620" operator="equal">
      <formula>"-"</formula>
    </cfRule>
  </conditionalFormatting>
  <conditionalFormatting sqref="AB56:AB67">
    <cfRule type="cellIs" dxfId="4228" priority="1617" operator="equal">
      <formula>"-"</formula>
    </cfRule>
    <cfRule type="cellIs" dxfId="4227" priority="1618" operator="lessThan">
      <formula>0</formula>
    </cfRule>
    <cfRule type="cellIs" dxfId="4226" priority="1619" operator="greaterThan">
      <formula>0</formula>
    </cfRule>
  </conditionalFormatting>
  <conditionalFormatting sqref="AB68:AB78">
    <cfRule type="cellIs" dxfId="4225" priority="1615" operator="lessThan">
      <formula>0</formula>
    </cfRule>
    <cfRule type="cellIs" dxfId="4224" priority="1616" operator="greaterThan">
      <formula>0</formula>
    </cfRule>
  </conditionalFormatting>
  <conditionalFormatting sqref="AB68:AB78">
    <cfRule type="cellIs" dxfId="4223" priority="1614" operator="equal">
      <formula>"-"</formula>
    </cfRule>
  </conditionalFormatting>
  <conditionalFormatting sqref="AB81">
    <cfRule type="cellIs" dxfId="4222" priority="1612" operator="lessThan">
      <formula>0</formula>
    </cfRule>
    <cfRule type="cellIs" dxfId="4221" priority="1613" operator="greaterThan">
      <formula>0</formula>
    </cfRule>
  </conditionalFormatting>
  <conditionalFormatting sqref="AB81">
    <cfRule type="cellIs" dxfId="4220" priority="1611" operator="equal">
      <formula>"-"</formula>
    </cfRule>
  </conditionalFormatting>
  <conditionalFormatting sqref="AB82">
    <cfRule type="cellIs" dxfId="4219" priority="1609" operator="lessThan">
      <formula>0</formula>
    </cfRule>
    <cfRule type="cellIs" dxfId="4218" priority="1610" operator="greaterThan">
      <formula>0</formula>
    </cfRule>
  </conditionalFormatting>
  <conditionalFormatting sqref="AB82">
    <cfRule type="cellIs" dxfId="4217" priority="1608" operator="equal">
      <formula>"-"</formula>
    </cfRule>
  </conditionalFormatting>
  <conditionalFormatting sqref="AB79">
    <cfRule type="cellIs" dxfId="4216" priority="1606" operator="lessThan">
      <formula>0</formula>
    </cfRule>
    <cfRule type="cellIs" dxfId="4215" priority="1607" operator="greaterThan">
      <formula>0</formula>
    </cfRule>
  </conditionalFormatting>
  <conditionalFormatting sqref="AB79">
    <cfRule type="cellIs" dxfId="4214" priority="1605" operator="equal">
      <formula>"-"</formula>
    </cfRule>
  </conditionalFormatting>
  <conditionalFormatting sqref="AB80">
    <cfRule type="cellIs" dxfId="4213" priority="1603" operator="lessThan">
      <formula>0</formula>
    </cfRule>
    <cfRule type="cellIs" dxfId="4212" priority="1604" operator="greaterThan">
      <formula>0</formula>
    </cfRule>
  </conditionalFormatting>
  <conditionalFormatting sqref="AB80">
    <cfRule type="cellIs" dxfId="4211" priority="1602" operator="equal">
      <formula>"-"</formula>
    </cfRule>
  </conditionalFormatting>
  <conditionalFormatting sqref="AB83:AB87">
    <cfRule type="cellIs" dxfId="4210" priority="1600" operator="lessThan">
      <formula>0</formula>
    </cfRule>
    <cfRule type="cellIs" dxfId="4209" priority="1601" operator="greaterThan">
      <formula>0</formula>
    </cfRule>
  </conditionalFormatting>
  <conditionalFormatting sqref="AB83:AB87">
    <cfRule type="cellIs" dxfId="4208" priority="1599" operator="equal">
      <formula>"-"</formula>
    </cfRule>
  </conditionalFormatting>
  <conditionalFormatting sqref="AB51">
    <cfRule type="cellIs" dxfId="4207" priority="1597" operator="lessThan">
      <formula>0</formula>
    </cfRule>
    <cfRule type="cellIs" dxfId="4206" priority="1598" operator="greaterThan">
      <formula>0</formula>
    </cfRule>
  </conditionalFormatting>
  <conditionalFormatting sqref="AB51">
    <cfRule type="cellIs" dxfId="4205" priority="1596" operator="equal">
      <formula>"-"</formula>
    </cfRule>
  </conditionalFormatting>
  <conditionalFormatting sqref="AB52">
    <cfRule type="cellIs" dxfId="4204" priority="1594" operator="lessThan">
      <formula>0</formula>
    </cfRule>
    <cfRule type="cellIs" dxfId="4203" priority="1595" operator="greaterThan">
      <formula>0</formula>
    </cfRule>
  </conditionalFormatting>
  <conditionalFormatting sqref="AB52">
    <cfRule type="cellIs" dxfId="4202" priority="1593" operator="equal">
      <formula>"-"</formula>
    </cfRule>
  </conditionalFormatting>
  <conditionalFormatting sqref="AB53">
    <cfRule type="cellIs" dxfId="4201" priority="1591" operator="lessThan">
      <formula>0</formula>
    </cfRule>
    <cfRule type="cellIs" dxfId="4200" priority="1592" operator="greaterThan">
      <formula>0</formula>
    </cfRule>
  </conditionalFormatting>
  <conditionalFormatting sqref="AB53">
    <cfRule type="cellIs" dxfId="4199" priority="1590" operator="equal">
      <formula>"-"</formula>
    </cfRule>
  </conditionalFormatting>
  <conditionalFormatting sqref="AB3:AB11">
    <cfRule type="cellIs" dxfId="4198" priority="1584" operator="equal">
      <formula>"-"</formula>
    </cfRule>
    <cfRule type="cellIs" dxfId="4197" priority="1585" operator="lessThan">
      <formula>0</formula>
    </cfRule>
    <cfRule type="cellIs" dxfId="4196" priority="1586" operator="greaterThan">
      <formula>0</formula>
    </cfRule>
  </conditionalFormatting>
  <conditionalFormatting sqref="AB21:AB26">
    <cfRule type="cellIs" dxfId="4195" priority="1581" operator="equal">
      <formula>"-"</formula>
    </cfRule>
    <cfRule type="cellIs" dxfId="4194" priority="1582" operator="lessThan">
      <formula>0</formula>
    </cfRule>
    <cfRule type="cellIs" dxfId="4193" priority="1583" operator="greaterThan">
      <formula>0</formula>
    </cfRule>
  </conditionalFormatting>
  <conditionalFormatting sqref="AB33">
    <cfRule type="cellIs" dxfId="4192" priority="1578" operator="equal">
      <formula>"-"</formula>
    </cfRule>
    <cfRule type="cellIs" dxfId="4191" priority="1579" operator="lessThan">
      <formula>0</formula>
    </cfRule>
    <cfRule type="cellIs" dxfId="4190" priority="1580" operator="greaterThan">
      <formula>0</formula>
    </cfRule>
  </conditionalFormatting>
  <conditionalFormatting sqref="AB34:AB35">
    <cfRule type="cellIs" dxfId="4189" priority="1575" operator="equal">
      <formula>"-"</formula>
    </cfRule>
    <cfRule type="cellIs" dxfId="4188" priority="1576" operator="lessThan">
      <formula>0</formula>
    </cfRule>
    <cfRule type="cellIs" dxfId="4187" priority="1577" operator="greaterThan">
      <formula>0</formula>
    </cfRule>
  </conditionalFormatting>
  <conditionalFormatting sqref="Y36">
    <cfRule type="cellIs" dxfId="4186" priority="1254" operator="equal">
      <formula>"-"</formula>
    </cfRule>
    <cfRule type="cellIs" dxfId="4185" priority="1255" operator="lessThan">
      <formula>0</formula>
    </cfRule>
    <cfRule type="cellIs" dxfId="4184" priority="1256" operator="greaterThan">
      <formula>0</formula>
    </cfRule>
  </conditionalFormatting>
  <conditionalFormatting sqref="AB47:AB48">
    <cfRule type="cellIs" dxfId="4183" priority="1569" operator="equal">
      <formula>"-"</formula>
    </cfRule>
    <cfRule type="cellIs" dxfId="4182" priority="1570" operator="lessThan">
      <formula>0</formula>
    </cfRule>
    <cfRule type="cellIs" dxfId="4181" priority="1571" operator="greaterThan">
      <formula>0</formula>
    </cfRule>
  </conditionalFormatting>
  <conditionalFormatting sqref="AB49:AB50">
    <cfRule type="cellIs" dxfId="4180" priority="1566" operator="equal">
      <formula>"-"</formula>
    </cfRule>
    <cfRule type="cellIs" dxfId="4179" priority="1567" operator="lessThan">
      <formula>0</formula>
    </cfRule>
    <cfRule type="cellIs" dxfId="4178" priority="1568" operator="greaterThan">
      <formula>0</formula>
    </cfRule>
  </conditionalFormatting>
  <conditionalFormatting sqref="Z2">
    <cfRule type="containsText" dxfId="4177" priority="1562" operator="containsText" text="NEUTRO">
      <formula>NOT(ISERROR(SEARCH("NEUTRO",Z2)))</formula>
    </cfRule>
    <cfRule type="containsText" dxfId="4176" priority="1563" operator="containsText" text="BULLISH">
      <formula>NOT(ISERROR(SEARCH("BULLISH",Z2)))</formula>
    </cfRule>
    <cfRule type="containsText" dxfId="4175" priority="1564" operator="containsText" text="BEARISH">
      <formula>NOT(ISERROR(SEARCH("BEARISH",Z2)))</formula>
    </cfRule>
    <cfRule type="containsBlanks" dxfId="4174" priority="1565">
      <formula>LEN(TRIM(Z2))=0</formula>
    </cfRule>
  </conditionalFormatting>
  <conditionalFormatting sqref="Z20">
    <cfRule type="containsText" dxfId="4173" priority="1558" operator="containsText" text="NEUTRO">
      <formula>NOT(ISERROR(SEARCH("NEUTRO",Z20)))</formula>
    </cfRule>
    <cfRule type="containsText" dxfId="4172" priority="1559" operator="containsText" text="BULLISH">
      <formula>NOT(ISERROR(SEARCH("BULLISH",Z20)))</formula>
    </cfRule>
    <cfRule type="containsText" dxfId="4171" priority="1560" operator="containsText" text="BEARISH">
      <formula>NOT(ISERROR(SEARCH("BEARISH",Z20)))</formula>
    </cfRule>
    <cfRule type="containsBlanks" dxfId="4170" priority="1561">
      <formula>LEN(TRIM(Z20))=0</formula>
    </cfRule>
  </conditionalFormatting>
  <conditionalFormatting sqref="Z32">
    <cfRule type="containsText" dxfId="4169" priority="1554" operator="containsText" text="NEUTRO">
      <formula>NOT(ISERROR(SEARCH("NEUTRO",Z32)))</formula>
    </cfRule>
    <cfRule type="containsText" dxfId="4168" priority="1555" operator="containsText" text="BULLISH">
      <formula>NOT(ISERROR(SEARCH("BULLISH",Z32)))</formula>
    </cfRule>
    <cfRule type="containsText" dxfId="4167" priority="1556" operator="containsText" text="BEARISH">
      <formula>NOT(ISERROR(SEARCH("BEARISH",Z32)))</formula>
    </cfRule>
    <cfRule type="containsBlanks" dxfId="4166" priority="1557">
      <formula>LEN(TRIM(Z32))=0</formula>
    </cfRule>
  </conditionalFormatting>
  <conditionalFormatting sqref="Z46">
    <cfRule type="containsText" dxfId="4165" priority="1550" operator="containsText" text="NEUTRO">
      <formula>NOT(ISERROR(SEARCH("NEUTRO",Z46)))</formula>
    </cfRule>
    <cfRule type="containsText" dxfId="4164" priority="1551" operator="containsText" text="BULLISH">
      <formula>NOT(ISERROR(SEARCH("BULLISH",Z46)))</formula>
    </cfRule>
    <cfRule type="containsText" dxfId="4163" priority="1552" operator="containsText" text="BEARISH">
      <formula>NOT(ISERROR(SEARCH("BEARISH",Z46)))</formula>
    </cfRule>
    <cfRule type="containsBlanks" dxfId="4162" priority="1553">
      <formula>LEN(TRIM(Z46))=0</formula>
    </cfRule>
  </conditionalFormatting>
  <conditionalFormatting sqref="Z55">
    <cfRule type="containsText" dxfId="4161" priority="1546" operator="containsText" text="NEUTRO">
      <formula>NOT(ISERROR(SEARCH("NEUTRO",Z55)))</formula>
    </cfRule>
    <cfRule type="containsText" dxfId="4160" priority="1547" operator="containsText" text="BULLISH">
      <formula>NOT(ISERROR(SEARCH("BULLISH",Z55)))</formula>
    </cfRule>
    <cfRule type="containsText" dxfId="4159" priority="1548" operator="containsText" text="BEARISH">
      <formula>NOT(ISERROR(SEARCH("BEARISH",Z55)))</formula>
    </cfRule>
    <cfRule type="containsBlanks" dxfId="4158" priority="1549">
      <formula>LEN(TRIM(Z55))=0</formula>
    </cfRule>
  </conditionalFormatting>
  <conditionalFormatting sqref="Z89">
    <cfRule type="containsText" dxfId="4157" priority="1542" operator="containsText" text="NEUTRO">
      <formula>NOT(ISERROR(SEARCH("NEUTRO",Z89)))</formula>
    </cfRule>
    <cfRule type="containsText" dxfId="4156" priority="1543" operator="containsText" text="BULLISH">
      <formula>NOT(ISERROR(SEARCH("BULLISH",Z89)))</formula>
    </cfRule>
    <cfRule type="containsText" dxfId="4155" priority="1544" operator="containsText" text="BEARISH">
      <formula>NOT(ISERROR(SEARCH("BEARISH",Z89)))</formula>
    </cfRule>
    <cfRule type="containsBlanks" dxfId="4154" priority="1545">
      <formula>LEN(TRIM(Z89))=0</formula>
    </cfRule>
  </conditionalFormatting>
  <conditionalFormatting sqref="Y92:Y865">
    <cfRule type="colorScale" priority="1329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Y27:Y30">
    <cfRule type="cellIs" dxfId="4153" priority="1326" operator="equal">
      <formula>"-"</formula>
    </cfRule>
    <cfRule type="cellIs" dxfId="4152" priority="1327" operator="lessThan">
      <formula>0</formula>
    </cfRule>
    <cfRule type="cellIs" dxfId="4151" priority="1328" operator="greaterThan">
      <formula>0</formula>
    </cfRule>
  </conditionalFormatting>
  <conditionalFormatting sqref="Y39">
    <cfRule type="cellIs" dxfId="4150" priority="1324" operator="lessThan">
      <formula>0</formula>
    </cfRule>
    <cfRule type="cellIs" dxfId="4149" priority="1325" operator="greaterThan">
      <formula>0</formula>
    </cfRule>
  </conditionalFormatting>
  <conditionalFormatting sqref="Y39">
    <cfRule type="cellIs" dxfId="4148" priority="1323" operator="equal">
      <formula>"-"</formula>
    </cfRule>
  </conditionalFormatting>
  <conditionalFormatting sqref="Y40">
    <cfRule type="cellIs" dxfId="4147" priority="1320" operator="equal">
      <formula>"-"</formula>
    </cfRule>
    <cfRule type="cellIs" dxfId="4146" priority="1321" operator="lessThan">
      <formula>0</formula>
    </cfRule>
    <cfRule type="cellIs" dxfId="4145" priority="1322" operator="greaterThan">
      <formula>0</formula>
    </cfRule>
  </conditionalFormatting>
  <conditionalFormatting sqref="Y41">
    <cfRule type="cellIs" dxfId="4144" priority="1317" operator="equal">
      <formula>"-"</formula>
    </cfRule>
    <cfRule type="cellIs" dxfId="4143" priority="1318" operator="lessThan">
      <formula>0</formula>
    </cfRule>
    <cfRule type="cellIs" dxfId="4142" priority="1319" operator="greaterThan">
      <formula>0</formula>
    </cfRule>
  </conditionalFormatting>
  <conditionalFormatting sqref="Y42">
    <cfRule type="cellIs" dxfId="4141" priority="1314" operator="equal">
      <formula>"-"</formula>
    </cfRule>
    <cfRule type="cellIs" dxfId="4140" priority="1315" operator="lessThan">
      <formula>0</formula>
    </cfRule>
    <cfRule type="cellIs" dxfId="4139" priority="1316" operator="greaterThan">
      <formula>0</formula>
    </cfRule>
  </conditionalFormatting>
  <conditionalFormatting sqref="Y43">
    <cfRule type="cellIs" dxfId="4138" priority="1311" operator="equal">
      <formula>"-"</formula>
    </cfRule>
    <cfRule type="cellIs" dxfId="4137" priority="1312" operator="lessThan">
      <formula>0</formula>
    </cfRule>
    <cfRule type="cellIs" dxfId="4136" priority="1313" operator="greaterThan">
      <formula>0</formula>
    </cfRule>
  </conditionalFormatting>
  <conditionalFormatting sqref="Y44">
    <cfRule type="cellIs" dxfId="4135" priority="1308" operator="equal">
      <formula>"-"</formula>
    </cfRule>
    <cfRule type="cellIs" dxfId="4134" priority="1309" operator="lessThan">
      <formula>0</formula>
    </cfRule>
    <cfRule type="cellIs" dxfId="4133" priority="1310" operator="greaterThan">
      <formula>0</formula>
    </cfRule>
  </conditionalFormatting>
  <conditionalFormatting sqref="Y37">
    <cfRule type="cellIs" dxfId="4132" priority="1306" operator="lessThan">
      <formula>0</formula>
    </cfRule>
    <cfRule type="cellIs" dxfId="4131" priority="1307" operator="greaterThan">
      <formula>0</formula>
    </cfRule>
  </conditionalFormatting>
  <conditionalFormatting sqref="Y37">
    <cfRule type="cellIs" dxfId="4130" priority="1305" operator="equal">
      <formula>"-"</formula>
    </cfRule>
  </conditionalFormatting>
  <conditionalFormatting sqref="Y38">
    <cfRule type="cellIs" dxfId="4129" priority="1303" operator="lessThan">
      <formula>0</formula>
    </cfRule>
    <cfRule type="cellIs" dxfId="4128" priority="1304" operator="greaterThan">
      <formula>0</formula>
    </cfRule>
  </conditionalFormatting>
  <conditionalFormatting sqref="Y38">
    <cfRule type="cellIs" dxfId="4127" priority="1302" operator="equal">
      <formula>"-"</formula>
    </cfRule>
  </conditionalFormatting>
  <conditionalFormatting sqref="Y56:Y67">
    <cfRule type="cellIs" dxfId="4126" priority="1299" operator="equal">
      <formula>"-"</formula>
    </cfRule>
    <cfRule type="cellIs" dxfId="4125" priority="1300" operator="lessThan">
      <formula>0</formula>
    </cfRule>
    <cfRule type="cellIs" dxfId="4124" priority="1301" operator="greaterThan">
      <formula>0</formula>
    </cfRule>
  </conditionalFormatting>
  <conditionalFormatting sqref="Y68:Y78">
    <cfRule type="cellIs" dxfId="4123" priority="1297" operator="lessThan">
      <formula>0</formula>
    </cfRule>
    <cfRule type="cellIs" dxfId="4122" priority="1298" operator="greaterThan">
      <formula>0</formula>
    </cfRule>
  </conditionalFormatting>
  <conditionalFormatting sqref="Y68:Y78">
    <cfRule type="cellIs" dxfId="4121" priority="1296" operator="equal">
      <formula>"-"</formula>
    </cfRule>
  </conditionalFormatting>
  <conditionalFormatting sqref="Y81">
    <cfRule type="cellIs" dxfId="4120" priority="1294" operator="lessThan">
      <formula>0</formula>
    </cfRule>
    <cfRule type="cellIs" dxfId="4119" priority="1295" operator="greaterThan">
      <formula>0</formula>
    </cfRule>
  </conditionalFormatting>
  <conditionalFormatting sqref="Y81">
    <cfRule type="cellIs" dxfId="4118" priority="1293" operator="equal">
      <formula>"-"</formula>
    </cfRule>
  </conditionalFormatting>
  <conditionalFormatting sqref="Y82">
    <cfRule type="cellIs" dxfId="4117" priority="1291" operator="lessThan">
      <formula>0</formula>
    </cfRule>
    <cfRule type="cellIs" dxfId="4116" priority="1292" operator="greaterThan">
      <formula>0</formula>
    </cfRule>
  </conditionalFormatting>
  <conditionalFormatting sqref="Y82">
    <cfRule type="cellIs" dxfId="4115" priority="1290" operator="equal">
      <formula>"-"</formula>
    </cfRule>
  </conditionalFormatting>
  <conditionalFormatting sqref="Y79">
    <cfRule type="cellIs" dxfId="4114" priority="1288" operator="lessThan">
      <formula>0</formula>
    </cfRule>
    <cfRule type="cellIs" dxfId="4113" priority="1289" operator="greaterThan">
      <formula>0</formula>
    </cfRule>
  </conditionalFormatting>
  <conditionalFormatting sqref="Y79">
    <cfRule type="cellIs" dxfId="4112" priority="1287" operator="equal">
      <formula>"-"</formula>
    </cfRule>
  </conditionalFormatting>
  <conditionalFormatting sqref="Y80">
    <cfRule type="cellIs" dxfId="4111" priority="1285" operator="lessThan">
      <formula>0</formula>
    </cfRule>
    <cfRule type="cellIs" dxfId="4110" priority="1286" operator="greaterThan">
      <formula>0</formula>
    </cfRule>
  </conditionalFormatting>
  <conditionalFormatting sqref="Y80">
    <cfRule type="cellIs" dxfId="4109" priority="1284" operator="equal">
      <formula>"-"</formula>
    </cfRule>
  </conditionalFormatting>
  <conditionalFormatting sqref="Y83:Y87">
    <cfRule type="cellIs" dxfId="4108" priority="1282" operator="lessThan">
      <formula>0</formula>
    </cfRule>
    <cfRule type="cellIs" dxfId="4107" priority="1283" operator="greaterThan">
      <formula>0</formula>
    </cfRule>
  </conditionalFormatting>
  <conditionalFormatting sqref="Y83:Y87">
    <cfRule type="cellIs" dxfId="4106" priority="1281" operator="equal">
      <formula>"-"</formula>
    </cfRule>
  </conditionalFormatting>
  <conditionalFormatting sqref="Y51">
    <cfRule type="cellIs" dxfId="4105" priority="1279" operator="lessThan">
      <formula>0</formula>
    </cfRule>
    <cfRule type="cellIs" dxfId="4104" priority="1280" operator="greaterThan">
      <formula>0</formula>
    </cfRule>
  </conditionalFormatting>
  <conditionalFormatting sqref="Y51">
    <cfRule type="cellIs" dxfId="4103" priority="1278" operator="equal">
      <formula>"-"</formula>
    </cfRule>
  </conditionalFormatting>
  <conditionalFormatting sqref="Y52">
    <cfRule type="cellIs" dxfId="4102" priority="1276" operator="lessThan">
      <formula>0</formula>
    </cfRule>
    <cfRule type="cellIs" dxfId="4101" priority="1277" operator="greaterThan">
      <formula>0</formula>
    </cfRule>
  </conditionalFormatting>
  <conditionalFormatting sqref="Y52">
    <cfRule type="cellIs" dxfId="4100" priority="1275" operator="equal">
      <formula>"-"</formula>
    </cfRule>
  </conditionalFormatting>
  <conditionalFormatting sqref="Y53">
    <cfRule type="cellIs" dxfId="4099" priority="1273" operator="lessThan">
      <formula>0</formula>
    </cfRule>
    <cfRule type="cellIs" dxfId="4098" priority="1274" operator="greaterThan">
      <formula>0</formula>
    </cfRule>
  </conditionalFormatting>
  <conditionalFormatting sqref="Y53">
    <cfRule type="cellIs" dxfId="4097" priority="1272" operator="equal">
      <formula>"-"</formula>
    </cfRule>
  </conditionalFormatting>
  <conditionalFormatting sqref="Y12:Y18">
    <cfRule type="cellIs" dxfId="4096" priority="1269" operator="equal">
      <formula>"-"</formula>
    </cfRule>
    <cfRule type="cellIs" dxfId="4095" priority="1270" operator="lessThan">
      <formula>0</formula>
    </cfRule>
    <cfRule type="cellIs" dxfId="4094" priority="1271" operator="greaterThan">
      <formula>0</formula>
    </cfRule>
  </conditionalFormatting>
  <conditionalFormatting sqref="Y3:Y11">
    <cfRule type="cellIs" dxfId="4093" priority="1266" operator="equal">
      <formula>"-"</formula>
    </cfRule>
    <cfRule type="cellIs" dxfId="4092" priority="1267" operator="lessThan">
      <formula>0</formula>
    </cfRule>
    <cfRule type="cellIs" dxfId="4091" priority="1268" operator="greaterThan">
      <formula>0</formula>
    </cfRule>
  </conditionalFormatting>
  <conditionalFormatting sqref="Y21:Y26">
    <cfRule type="cellIs" dxfId="4090" priority="1263" operator="equal">
      <formula>"-"</formula>
    </cfRule>
    <cfRule type="cellIs" dxfId="4089" priority="1264" operator="lessThan">
      <formula>0</formula>
    </cfRule>
    <cfRule type="cellIs" dxfId="4088" priority="1265" operator="greaterThan">
      <formula>0</formula>
    </cfRule>
  </conditionalFormatting>
  <conditionalFormatting sqref="Y33">
    <cfRule type="cellIs" dxfId="4087" priority="1260" operator="equal">
      <formula>"-"</formula>
    </cfRule>
    <cfRule type="cellIs" dxfId="4086" priority="1261" operator="lessThan">
      <formula>0</formula>
    </cfRule>
    <cfRule type="cellIs" dxfId="4085" priority="1262" operator="greaterThan">
      <formula>0</formula>
    </cfRule>
  </conditionalFormatting>
  <conditionalFormatting sqref="Y34:Y35">
    <cfRule type="cellIs" dxfId="4084" priority="1257" operator="equal">
      <formula>"-"</formula>
    </cfRule>
    <cfRule type="cellIs" dxfId="4083" priority="1258" operator="lessThan">
      <formula>0</formula>
    </cfRule>
    <cfRule type="cellIs" dxfId="4082" priority="1259" operator="greaterThan">
      <formula>0</formula>
    </cfRule>
  </conditionalFormatting>
  <conditionalFormatting sqref="Y47:Y48">
    <cfRule type="cellIs" dxfId="4081" priority="1251" operator="equal">
      <formula>"-"</formula>
    </cfRule>
    <cfRule type="cellIs" dxfId="4080" priority="1252" operator="lessThan">
      <formula>0</formula>
    </cfRule>
    <cfRule type="cellIs" dxfId="4079" priority="1253" operator="greaterThan">
      <formula>0</formula>
    </cfRule>
  </conditionalFormatting>
  <conditionalFormatting sqref="Y49:Y50">
    <cfRule type="cellIs" dxfId="4078" priority="1248" operator="equal">
      <formula>"-"</formula>
    </cfRule>
    <cfRule type="cellIs" dxfId="4077" priority="1249" operator="lessThan">
      <formula>0</formula>
    </cfRule>
    <cfRule type="cellIs" dxfId="4076" priority="1250" operator="greaterThan">
      <formula>0</formula>
    </cfRule>
  </conditionalFormatting>
  <conditionalFormatting sqref="T46">
    <cfRule type="containsText" dxfId="4075" priority="1126" operator="containsText" text="NEUTRO">
      <formula>NOT(ISERROR(SEARCH("NEUTRO",T46)))</formula>
    </cfRule>
    <cfRule type="containsText" dxfId="4074" priority="1127" operator="containsText" text="BULLISH">
      <formula>NOT(ISERROR(SEARCH("BULLISH",T46)))</formula>
    </cfRule>
    <cfRule type="containsText" dxfId="4073" priority="1128" operator="containsText" text="BEARISH">
      <formula>NOT(ISERROR(SEARCH("BEARISH",T46)))</formula>
    </cfRule>
    <cfRule type="containsBlanks" dxfId="4072" priority="1129">
      <formula>LEN(TRIM(T46))=0</formula>
    </cfRule>
  </conditionalFormatting>
  <conditionalFormatting sqref="T2">
    <cfRule type="containsText" dxfId="4071" priority="1138" operator="containsText" text="NEUTRO">
      <formula>NOT(ISERROR(SEARCH("NEUTRO",T2)))</formula>
    </cfRule>
    <cfRule type="containsText" dxfId="4070" priority="1139" operator="containsText" text="BULLISH">
      <formula>NOT(ISERROR(SEARCH("BULLISH",T2)))</formula>
    </cfRule>
    <cfRule type="containsText" dxfId="4069" priority="1140" operator="containsText" text="BEARISH">
      <formula>NOT(ISERROR(SEARCH("BEARISH",T2)))</formula>
    </cfRule>
    <cfRule type="containsBlanks" dxfId="4068" priority="1141">
      <formula>LEN(TRIM(T2))=0</formula>
    </cfRule>
  </conditionalFormatting>
  <conditionalFormatting sqref="T20">
    <cfRule type="containsText" dxfId="4067" priority="1134" operator="containsText" text="NEUTRO">
      <formula>NOT(ISERROR(SEARCH("NEUTRO",T20)))</formula>
    </cfRule>
    <cfRule type="containsText" dxfId="4066" priority="1135" operator="containsText" text="BULLISH">
      <formula>NOT(ISERROR(SEARCH("BULLISH",T20)))</formula>
    </cfRule>
    <cfRule type="containsText" dxfId="4065" priority="1136" operator="containsText" text="BEARISH">
      <formula>NOT(ISERROR(SEARCH("BEARISH",T20)))</formula>
    </cfRule>
    <cfRule type="containsBlanks" dxfId="4064" priority="1137">
      <formula>LEN(TRIM(T20))=0</formula>
    </cfRule>
  </conditionalFormatting>
  <conditionalFormatting sqref="T32">
    <cfRule type="containsText" dxfId="4063" priority="1130" operator="containsText" text="NEUTRO">
      <formula>NOT(ISERROR(SEARCH("NEUTRO",T32)))</formula>
    </cfRule>
    <cfRule type="containsText" dxfId="4062" priority="1131" operator="containsText" text="BULLISH">
      <formula>NOT(ISERROR(SEARCH("BULLISH",T32)))</formula>
    </cfRule>
    <cfRule type="containsText" dxfId="4061" priority="1132" operator="containsText" text="BEARISH">
      <formula>NOT(ISERROR(SEARCH("BEARISH",T32)))</formula>
    </cfRule>
    <cfRule type="containsBlanks" dxfId="4060" priority="1133">
      <formula>LEN(TRIM(T32))=0</formula>
    </cfRule>
  </conditionalFormatting>
  <conditionalFormatting sqref="T55">
    <cfRule type="containsText" dxfId="4059" priority="1122" operator="containsText" text="NEUTRO">
      <formula>NOT(ISERROR(SEARCH("NEUTRO",T55)))</formula>
    </cfRule>
    <cfRule type="containsText" dxfId="4058" priority="1123" operator="containsText" text="BULLISH">
      <formula>NOT(ISERROR(SEARCH("BULLISH",T55)))</formula>
    </cfRule>
    <cfRule type="containsText" dxfId="4057" priority="1124" operator="containsText" text="BEARISH">
      <formula>NOT(ISERROR(SEARCH("BEARISH",T55)))</formula>
    </cfRule>
    <cfRule type="containsBlanks" dxfId="4056" priority="1125">
      <formula>LEN(TRIM(T55))=0</formula>
    </cfRule>
  </conditionalFormatting>
  <conditionalFormatting sqref="T89">
    <cfRule type="containsText" dxfId="4055" priority="1118" operator="containsText" text="NEUTRO">
      <formula>NOT(ISERROR(SEARCH("NEUTRO",T89)))</formula>
    </cfRule>
    <cfRule type="containsText" dxfId="4054" priority="1119" operator="containsText" text="BULLISH">
      <formula>NOT(ISERROR(SEARCH("BULLISH",T89)))</formula>
    </cfRule>
    <cfRule type="containsText" dxfId="4053" priority="1120" operator="containsText" text="BEARISH">
      <formula>NOT(ISERROR(SEARCH("BEARISH",T89)))</formula>
    </cfRule>
    <cfRule type="containsBlanks" dxfId="4052" priority="1121">
      <formula>LEN(TRIM(T89))=0</formula>
    </cfRule>
  </conditionalFormatting>
  <conditionalFormatting sqref="V92:V865">
    <cfRule type="colorScale" priority="1223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V27:V30">
    <cfRule type="cellIs" dxfId="4051" priority="1220" operator="equal">
      <formula>"-"</formula>
    </cfRule>
    <cfRule type="cellIs" dxfId="4050" priority="1221" operator="lessThan">
      <formula>0</formula>
    </cfRule>
    <cfRule type="cellIs" dxfId="4049" priority="1222" operator="greaterThan">
      <formula>0</formula>
    </cfRule>
  </conditionalFormatting>
  <conditionalFormatting sqref="V39">
    <cfRule type="cellIs" dxfId="4048" priority="1218" operator="lessThan">
      <formula>0</formula>
    </cfRule>
    <cfRule type="cellIs" dxfId="4047" priority="1219" operator="greaterThan">
      <formula>0</formula>
    </cfRule>
  </conditionalFormatting>
  <conditionalFormatting sqref="V39">
    <cfRule type="cellIs" dxfId="4046" priority="1217" operator="equal">
      <formula>"-"</formula>
    </cfRule>
  </conditionalFormatting>
  <conditionalFormatting sqref="V40">
    <cfRule type="cellIs" dxfId="4045" priority="1214" operator="equal">
      <formula>"-"</formula>
    </cfRule>
    <cfRule type="cellIs" dxfId="4044" priority="1215" operator="lessThan">
      <formula>0</formula>
    </cfRule>
    <cfRule type="cellIs" dxfId="4043" priority="1216" operator="greaterThan">
      <formula>0</formula>
    </cfRule>
  </conditionalFormatting>
  <conditionalFormatting sqref="V41">
    <cfRule type="cellIs" dxfId="4042" priority="1211" operator="equal">
      <formula>"-"</formula>
    </cfRule>
    <cfRule type="cellIs" dxfId="4041" priority="1212" operator="lessThan">
      <formula>0</formula>
    </cfRule>
    <cfRule type="cellIs" dxfId="4040" priority="1213" operator="greaterThan">
      <formula>0</formula>
    </cfRule>
  </conditionalFormatting>
  <conditionalFormatting sqref="V42">
    <cfRule type="cellIs" dxfId="4039" priority="1208" operator="equal">
      <formula>"-"</formula>
    </cfRule>
    <cfRule type="cellIs" dxfId="4038" priority="1209" operator="lessThan">
      <formula>0</formula>
    </cfRule>
    <cfRule type="cellIs" dxfId="4037" priority="1210" operator="greaterThan">
      <formula>0</formula>
    </cfRule>
  </conditionalFormatting>
  <conditionalFormatting sqref="V43">
    <cfRule type="cellIs" dxfId="4036" priority="1205" operator="equal">
      <formula>"-"</formula>
    </cfRule>
    <cfRule type="cellIs" dxfId="4035" priority="1206" operator="lessThan">
      <formula>0</formula>
    </cfRule>
    <cfRule type="cellIs" dxfId="4034" priority="1207" operator="greaterThan">
      <formula>0</formula>
    </cfRule>
  </conditionalFormatting>
  <conditionalFormatting sqref="V44">
    <cfRule type="cellIs" dxfId="4033" priority="1202" operator="equal">
      <formula>"-"</formula>
    </cfRule>
    <cfRule type="cellIs" dxfId="4032" priority="1203" operator="lessThan">
      <formula>0</formula>
    </cfRule>
    <cfRule type="cellIs" dxfId="4031" priority="1204" operator="greaterThan">
      <formula>0</formula>
    </cfRule>
  </conditionalFormatting>
  <conditionalFormatting sqref="V37">
    <cfRule type="cellIs" dxfId="4030" priority="1200" operator="lessThan">
      <formula>0</formula>
    </cfRule>
    <cfRule type="cellIs" dxfId="4029" priority="1201" operator="greaterThan">
      <formula>0</formula>
    </cfRule>
  </conditionalFormatting>
  <conditionalFormatting sqref="V37">
    <cfRule type="cellIs" dxfId="4028" priority="1199" operator="equal">
      <formula>"-"</formula>
    </cfRule>
  </conditionalFormatting>
  <conditionalFormatting sqref="V38">
    <cfRule type="cellIs" dxfId="4027" priority="1197" operator="lessThan">
      <formula>0</formula>
    </cfRule>
    <cfRule type="cellIs" dxfId="4026" priority="1198" operator="greaterThan">
      <formula>0</formula>
    </cfRule>
  </conditionalFormatting>
  <conditionalFormatting sqref="V38">
    <cfRule type="cellIs" dxfId="4025" priority="1196" operator="equal">
      <formula>"-"</formula>
    </cfRule>
  </conditionalFormatting>
  <conditionalFormatting sqref="V56:V67">
    <cfRule type="cellIs" dxfId="4024" priority="1193" operator="equal">
      <formula>"-"</formula>
    </cfRule>
    <cfRule type="cellIs" dxfId="4023" priority="1194" operator="lessThan">
      <formula>0</formula>
    </cfRule>
    <cfRule type="cellIs" dxfId="4022" priority="1195" operator="greaterThan">
      <formula>0</formula>
    </cfRule>
  </conditionalFormatting>
  <conditionalFormatting sqref="V68:V78">
    <cfRule type="cellIs" dxfId="4021" priority="1191" operator="lessThan">
      <formula>0</formula>
    </cfRule>
    <cfRule type="cellIs" dxfId="4020" priority="1192" operator="greaterThan">
      <formula>0</formula>
    </cfRule>
  </conditionalFormatting>
  <conditionalFormatting sqref="V68:V78">
    <cfRule type="cellIs" dxfId="4019" priority="1190" operator="equal">
      <formula>"-"</formula>
    </cfRule>
  </conditionalFormatting>
  <conditionalFormatting sqref="V81">
    <cfRule type="cellIs" dxfId="4018" priority="1188" operator="lessThan">
      <formula>0</formula>
    </cfRule>
    <cfRule type="cellIs" dxfId="4017" priority="1189" operator="greaterThan">
      <formula>0</formula>
    </cfRule>
  </conditionalFormatting>
  <conditionalFormatting sqref="V81">
    <cfRule type="cellIs" dxfId="4016" priority="1187" operator="equal">
      <formula>"-"</formula>
    </cfRule>
  </conditionalFormatting>
  <conditionalFormatting sqref="V82">
    <cfRule type="cellIs" dxfId="4015" priority="1185" operator="lessThan">
      <formula>0</formula>
    </cfRule>
    <cfRule type="cellIs" dxfId="4014" priority="1186" operator="greaterThan">
      <formula>0</formula>
    </cfRule>
  </conditionalFormatting>
  <conditionalFormatting sqref="V82">
    <cfRule type="cellIs" dxfId="4013" priority="1184" operator="equal">
      <formula>"-"</formula>
    </cfRule>
  </conditionalFormatting>
  <conditionalFormatting sqref="V79">
    <cfRule type="cellIs" dxfId="4012" priority="1182" operator="lessThan">
      <formula>0</formula>
    </cfRule>
    <cfRule type="cellIs" dxfId="4011" priority="1183" operator="greaterThan">
      <formula>0</formula>
    </cfRule>
  </conditionalFormatting>
  <conditionalFormatting sqref="V79">
    <cfRule type="cellIs" dxfId="4010" priority="1181" operator="equal">
      <formula>"-"</formula>
    </cfRule>
  </conditionalFormatting>
  <conditionalFormatting sqref="V80">
    <cfRule type="cellIs" dxfId="4009" priority="1179" operator="lessThan">
      <formula>0</formula>
    </cfRule>
    <cfRule type="cellIs" dxfId="4008" priority="1180" operator="greaterThan">
      <formula>0</formula>
    </cfRule>
  </conditionalFormatting>
  <conditionalFormatting sqref="V80">
    <cfRule type="cellIs" dxfId="4007" priority="1178" operator="equal">
      <formula>"-"</formula>
    </cfRule>
  </conditionalFormatting>
  <conditionalFormatting sqref="V83:V87">
    <cfRule type="cellIs" dxfId="4006" priority="1176" operator="lessThan">
      <formula>0</formula>
    </cfRule>
    <cfRule type="cellIs" dxfId="4005" priority="1177" operator="greaterThan">
      <formula>0</formula>
    </cfRule>
  </conditionalFormatting>
  <conditionalFormatting sqref="V83:V87">
    <cfRule type="cellIs" dxfId="4004" priority="1175" operator="equal">
      <formula>"-"</formula>
    </cfRule>
  </conditionalFormatting>
  <conditionalFormatting sqref="V51">
    <cfRule type="cellIs" dxfId="4003" priority="1173" operator="lessThan">
      <formula>0</formula>
    </cfRule>
    <cfRule type="cellIs" dxfId="4002" priority="1174" operator="greaterThan">
      <formula>0</formula>
    </cfRule>
  </conditionalFormatting>
  <conditionalFormatting sqref="V51">
    <cfRule type="cellIs" dxfId="4001" priority="1172" operator="equal">
      <formula>"-"</formula>
    </cfRule>
  </conditionalFormatting>
  <conditionalFormatting sqref="V52">
    <cfRule type="cellIs" dxfId="4000" priority="1170" operator="lessThan">
      <formula>0</formula>
    </cfRule>
    <cfRule type="cellIs" dxfId="3999" priority="1171" operator="greaterThan">
      <formula>0</formula>
    </cfRule>
  </conditionalFormatting>
  <conditionalFormatting sqref="V52">
    <cfRule type="cellIs" dxfId="3998" priority="1169" operator="equal">
      <formula>"-"</formula>
    </cfRule>
  </conditionalFormatting>
  <conditionalFormatting sqref="V53">
    <cfRule type="cellIs" dxfId="3997" priority="1167" operator="lessThan">
      <formula>0</formula>
    </cfRule>
    <cfRule type="cellIs" dxfId="3996" priority="1168" operator="greaterThan">
      <formula>0</formula>
    </cfRule>
  </conditionalFormatting>
  <conditionalFormatting sqref="V53">
    <cfRule type="cellIs" dxfId="3995" priority="1166" operator="equal">
      <formula>"-"</formula>
    </cfRule>
  </conditionalFormatting>
  <conditionalFormatting sqref="V12:V18">
    <cfRule type="cellIs" dxfId="3994" priority="1163" operator="equal">
      <formula>"-"</formula>
    </cfRule>
    <cfRule type="cellIs" dxfId="3993" priority="1164" operator="lessThan">
      <formula>0</formula>
    </cfRule>
    <cfRule type="cellIs" dxfId="3992" priority="1165" operator="greaterThan">
      <formula>0</formula>
    </cfRule>
  </conditionalFormatting>
  <conditionalFormatting sqref="V3:V11">
    <cfRule type="cellIs" dxfId="3991" priority="1160" operator="equal">
      <formula>"-"</formula>
    </cfRule>
    <cfRule type="cellIs" dxfId="3990" priority="1161" operator="lessThan">
      <formula>0</formula>
    </cfRule>
    <cfRule type="cellIs" dxfId="3989" priority="1162" operator="greaterThan">
      <formula>0</formula>
    </cfRule>
  </conditionalFormatting>
  <conditionalFormatting sqref="V21:V26">
    <cfRule type="cellIs" dxfId="3988" priority="1157" operator="equal">
      <formula>"-"</formula>
    </cfRule>
    <cfRule type="cellIs" dxfId="3987" priority="1158" operator="lessThan">
      <formula>0</formula>
    </cfRule>
    <cfRule type="cellIs" dxfId="3986" priority="1159" operator="greaterThan">
      <formula>0</formula>
    </cfRule>
  </conditionalFormatting>
  <conditionalFormatting sqref="V33">
    <cfRule type="cellIs" dxfId="3985" priority="1154" operator="equal">
      <formula>"-"</formula>
    </cfRule>
    <cfRule type="cellIs" dxfId="3984" priority="1155" operator="lessThan">
      <formula>0</formula>
    </cfRule>
    <cfRule type="cellIs" dxfId="3983" priority="1156" operator="greaterThan">
      <formula>0</formula>
    </cfRule>
  </conditionalFormatting>
  <conditionalFormatting sqref="V34:V35">
    <cfRule type="cellIs" dxfId="3982" priority="1151" operator="equal">
      <formula>"-"</formula>
    </cfRule>
    <cfRule type="cellIs" dxfId="3981" priority="1152" operator="lessThan">
      <formula>0</formula>
    </cfRule>
    <cfRule type="cellIs" dxfId="3980" priority="1153" operator="greaterThan">
      <formula>0</formula>
    </cfRule>
  </conditionalFormatting>
  <conditionalFormatting sqref="V36">
    <cfRule type="cellIs" dxfId="3979" priority="1148" operator="equal">
      <formula>"-"</formula>
    </cfRule>
    <cfRule type="cellIs" dxfId="3978" priority="1149" operator="lessThan">
      <formula>0</formula>
    </cfRule>
    <cfRule type="cellIs" dxfId="3977" priority="1150" operator="greaterThan">
      <formula>0</formula>
    </cfRule>
  </conditionalFormatting>
  <conditionalFormatting sqref="V47:V48">
    <cfRule type="cellIs" dxfId="3976" priority="1145" operator="equal">
      <formula>"-"</formula>
    </cfRule>
    <cfRule type="cellIs" dxfId="3975" priority="1146" operator="lessThan">
      <formula>0</formula>
    </cfRule>
    <cfRule type="cellIs" dxfId="3974" priority="1147" operator="greaterThan">
      <formula>0</formula>
    </cfRule>
  </conditionalFormatting>
  <conditionalFormatting sqref="V49:V50">
    <cfRule type="cellIs" dxfId="3973" priority="1142" operator="equal">
      <formula>"-"</formula>
    </cfRule>
    <cfRule type="cellIs" dxfId="3972" priority="1143" operator="lessThan">
      <formula>0</formula>
    </cfRule>
    <cfRule type="cellIs" dxfId="3971" priority="1144" operator="greaterThan">
      <formula>0</formula>
    </cfRule>
  </conditionalFormatting>
  <conditionalFormatting sqref="S92:S865">
    <cfRule type="colorScale" priority="1011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S27:S30">
    <cfRule type="cellIs" dxfId="3970" priority="1008" operator="equal">
      <formula>"-"</formula>
    </cfRule>
    <cfRule type="cellIs" dxfId="3969" priority="1009" operator="lessThan">
      <formula>0</formula>
    </cfRule>
    <cfRule type="cellIs" dxfId="3968" priority="1010" operator="greaterThan">
      <formula>0</formula>
    </cfRule>
  </conditionalFormatting>
  <conditionalFormatting sqref="S39">
    <cfRule type="cellIs" dxfId="3967" priority="1006" operator="lessThan">
      <formula>0</formula>
    </cfRule>
    <cfRule type="cellIs" dxfId="3966" priority="1007" operator="greaterThan">
      <formula>0</formula>
    </cfRule>
  </conditionalFormatting>
  <conditionalFormatting sqref="S39">
    <cfRule type="cellIs" dxfId="3965" priority="1005" operator="equal">
      <formula>"-"</formula>
    </cfRule>
  </conditionalFormatting>
  <conditionalFormatting sqref="S40">
    <cfRule type="cellIs" dxfId="3964" priority="1002" operator="equal">
      <formula>"-"</formula>
    </cfRule>
    <cfRule type="cellIs" dxfId="3963" priority="1003" operator="lessThan">
      <formula>0</formula>
    </cfRule>
    <cfRule type="cellIs" dxfId="3962" priority="1004" operator="greaterThan">
      <formula>0</formula>
    </cfRule>
  </conditionalFormatting>
  <conditionalFormatting sqref="S41">
    <cfRule type="cellIs" dxfId="3961" priority="999" operator="equal">
      <formula>"-"</formula>
    </cfRule>
    <cfRule type="cellIs" dxfId="3960" priority="1000" operator="lessThan">
      <formula>0</formula>
    </cfRule>
    <cfRule type="cellIs" dxfId="3959" priority="1001" operator="greaterThan">
      <formula>0</formula>
    </cfRule>
  </conditionalFormatting>
  <conditionalFormatting sqref="S42">
    <cfRule type="cellIs" dxfId="3958" priority="996" operator="equal">
      <formula>"-"</formula>
    </cfRule>
    <cfRule type="cellIs" dxfId="3957" priority="997" operator="lessThan">
      <formula>0</formula>
    </cfRule>
    <cfRule type="cellIs" dxfId="3956" priority="998" operator="greaterThan">
      <formula>0</formula>
    </cfRule>
  </conditionalFormatting>
  <conditionalFormatting sqref="S43">
    <cfRule type="cellIs" dxfId="3955" priority="993" operator="equal">
      <formula>"-"</formula>
    </cfRule>
    <cfRule type="cellIs" dxfId="3954" priority="994" operator="lessThan">
      <formula>0</formula>
    </cfRule>
    <cfRule type="cellIs" dxfId="3953" priority="995" operator="greaterThan">
      <formula>0</formula>
    </cfRule>
  </conditionalFormatting>
  <conditionalFormatting sqref="S44">
    <cfRule type="cellIs" dxfId="3952" priority="990" operator="equal">
      <formula>"-"</formula>
    </cfRule>
    <cfRule type="cellIs" dxfId="3951" priority="991" operator="lessThan">
      <formula>0</formula>
    </cfRule>
    <cfRule type="cellIs" dxfId="3950" priority="992" operator="greaterThan">
      <formula>0</formula>
    </cfRule>
  </conditionalFormatting>
  <conditionalFormatting sqref="S37">
    <cfRule type="cellIs" dxfId="3949" priority="988" operator="lessThan">
      <formula>0</formula>
    </cfRule>
    <cfRule type="cellIs" dxfId="3948" priority="989" operator="greaterThan">
      <formula>0</formula>
    </cfRule>
  </conditionalFormatting>
  <conditionalFormatting sqref="S37">
    <cfRule type="cellIs" dxfId="3947" priority="987" operator="equal">
      <formula>"-"</formula>
    </cfRule>
  </conditionalFormatting>
  <conditionalFormatting sqref="S38">
    <cfRule type="cellIs" dxfId="3946" priority="985" operator="lessThan">
      <formula>0</formula>
    </cfRule>
    <cfRule type="cellIs" dxfId="3945" priority="986" operator="greaterThan">
      <formula>0</formula>
    </cfRule>
  </conditionalFormatting>
  <conditionalFormatting sqref="S38">
    <cfRule type="cellIs" dxfId="3944" priority="984" operator="equal">
      <formula>"-"</formula>
    </cfRule>
  </conditionalFormatting>
  <conditionalFormatting sqref="S56:S67">
    <cfRule type="cellIs" dxfId="3943" priority="981" operator="equal">
      <formula>"-"</formula>
    </cfRule>
    <cfRule type="cellIs" dxfId="3942" priority="982" operator="lessThan">
      <formula>0</formula>
    </cfRule>
    <cfRule type="cellIs" dxfId="3941" priority="983" operator="greaterThan">
      <formula>0</formula>
    </cfRule>
  </conditionalFormatting>
  <conditionalFormatting sqref="S68:S78">
    <cfRule type="cellIs" dxfId="3940" priority="979" operator="lessThan">
      <formula>0</formula>
    </cfRule>
    <cfRule type="cellIs" dxfId="3939" priority="980" operator="greaterThan">
      <formula>0</formula>
    </cfRule>
  </conditionalFormatting>
  <conditionalFormatting sqref="S68:S78">
    <cfRule type="cellIs" dxfId="3938" priority="978" operator="equal">
      <formula>"-"</formula>
    </cfRule>
  </conditionalFormatting>
  <conditionalFormatting sqref="S81">
    <cfRule type="cellIs" dxfId="3937" priority="976" operator="lessThan">
      <formula>0</formula>
    </cfRule>
    <cfRule type="cellIs" dxfId="3936" priority="977" operator="greaterThan">
      <formula>0</formula>
    </cfRule>
  </conditionalFormatting>
  <conditionalFormatting sqref="S81">
    <cfRule type="cellIs" dxfId="3935" priority="975" operator="equal">
      <formula>"-"</formula>
    </cfRule>
  </conditionalFormatting>
  <conditionalFormatting sqref="S82">
    <cfRule type="cellIs" dxfId="3934" priority="973" operator="lessThan">
      <formula>0</formula>
    </cfRule>
    <cfRule type="cellIs" dxfId="3933" priority="974" operator="greaterThan">
      <formula>0</formula>
    </cfRule>
  </conditionalFormatting>
  <conditionalFormatting sqref="S82">
    <cfRule type="cellIs" dxfId="3932" priority="972" operator="equal">
      <formula>"-"</formula>
    </cfRule>
  </conditionalFormatting>
  <conditionalFormatting sqref="S79">
    <cfRule type="cellIs" dxfId="3931" priority="970" operator="lessThan">
      <formula>0</formula>
    </cfRule>
    <cfRule type="cellIs" dxfId="3930" priority="971" operator="greaterThan">
      <formula>0</formula>
    </cfRule>
  </conditionalFormatting>
  <conditionalFormatting sqref="S79">
    <cfRule type="cellIs" dxfId="3929" priority="969" operator="equal">
      <formula>"-"</formula>
    </cfRule>
  </conditionalFormatting>
  <conditionalFormatting sqref="S80">
    <cfRule type="cellIs" dxfId="3928" priority="967" operator="lessThan">
      <formula>0</formula>
    </cfRule>
    <cfRule type="cellIs" dxfId="3927" priority="968" operator="greaterThan">
      <formula>0</formula>
    </cfRule>
  </conditionalFormatting>
  <conditionalFormatting sqref="S80">
    <cfRule type="cellIs" dxfId="3926" priority="966" operator="equal">
      <formula>"-"</formula>
    </cfRule>
  </conditionalFormatting>
  <conditionalFormatting sqref="S83:S87">
    <cfRule type="cellIs" dxfId="3925" priority="964" operator="lessThan">
      <formula>0</formula>
    </cfRule>
    <cfRule type="cellIs" dxfId="3924" priority="965" operator="greaterThan">
      <formula>0</formula>
    </cfRule>
  </conditionalFormatting>
  <conditionalFormatting sqref="S83:S87">
    <cfRule type="cellIs" dxfId="3923" priority="963" operator="equal">
      <formula>"-"</formula>
    </cfRule>
  </conditionalFormatting>
  <conditionalFormatting sqref="S51">
    <cfRule type="cellIs" dxfId="3922" priority="961" operator="lessThan">
      <formula>0</formula>
    </cfRule>
    <cfRule type="cellIs" dxfId="3921" priority="962" operator="greaterThan">
      <formula>0</formula>
    </cfRule>
  </conditionalFormatting>
  <conditionalFormatting sqref="S51">
    <cfRule type="cellIs" dxfId="3920" priority="960" operator="equal">
      <formula>"-"</formula>
    </cfRule>
  </conditionalFormatting>
  <conditionalFormatting sqref="S52">
    <cfRule type="cellIs" dxfId="3919" priority="958" operator="lessThan">
      <formula>0</formula>
    </cfRule>
    <cfRule type="cellIs" dxfId="3918" priority="959" operator="greaterThan">
      <formula>0</formula>
    </cfRule>
  </conditionalFormatting>
  <conditionalFormatting sqref="S52">
    <cfRule type="cellIs" dxfId="3917" priority="957" operator="equal">
      <formula>"-"</formula>
    </cfRule>
  </conditionalFormatting>
  <conditionalFormatting sqref="S53">
    <cfRule type="cellIs" dxfId="3916" priority="955" operator="lessThan">
      <formula>0</formula>
    </cfRule>
    <cfRule type="cellIs" dxfId="3915" priority="956" operator="greaterThan">
      <formula>0</formula>
    </cfRule>
  </conditionalFormatting>
  <conditionalFormatting sqref="S53">
    <cfRule type="cellIs" dxfId="3914" priority="954" operator="equal">
      <formula>"-"</formula>
    </cfRule>
  </conditionalFormatting>
  <conditionalFormatting sqref="S12:S18">
    <cfRule type="cellIs" dxfId="3913" priority="951" operator="equal">
      <formula>"-"</formula>
    </cfRule>
    <cfRule type="cellIs" dxfId="3912" priority="952" operator="lessThan">
      <formula>0</formula>
    </cfRule>
    <cfRule type="cellIs" dxfId="3911" priority="953" operator="greaterThan">
      <formula>0</formula>
    </cfRule>
  </conditionalFormatting>
  <conditionalFormatting sqref="S3:S11">
    <cfRule type="cellIs" dxfId="3910" priority="948" operator="equal">
      <formula>"-"</formula>
    </cfRule>
    <cfRule type="cellIs" dxfId="3909" priority="949" operator="lessThan">
      <formula>0</formula>
    </cfRule>
    <cfRule type="cellIs" dxfId="3908" priority="950" operator="greaterThan">
      <formula>0</formula>
    </cfRule>
  </conditionalFormatting>
  <conditionalFormatting sqref="S21:S26">
    <cfRule type="cellIs" dxfId="3907" priority="945" operator="equal">
      <formula>"-"</formula>
    </cfRule>
    <cfRule type="cellIs" dxfId="3906" priority="946" operator="lessThan">
      <formula>0</formula>
    </cfRule>
    <cfRule type="cellIs" dxfId="3905" priority="947" operator="greaterThan">
      <formula>0</formula>
    </cfRule>
  </conditionalFormatting>
  <conditionalFormatting sqref="S33">
    <cfRule type="cellIs" dxfId="3904" priority="942" operator="equal">
      <formula>"-"</formula>
    </cfRule>
    <cfRule type="cellIs" dxfId="3903" priority="943" operator="lessThan">
      <formula>0</formula>
    </cfRule>
    <cfRule type="cellIs" dxfId="3902" priority="944" operator="greaterThan">
      <formula>0</formula>
    </cfRule>
  </conditionalFormatting>
  <conditionalFormatting sqref="S34:S35">
    <cfRule type="cellIs" dxfId="3901" priority="939" operator="equal">
      <formula>"-"</formula>
    </cfRule>
    <cfRule type="cellIs" dxfId="3900" priority="940" operator="lessThan">
      <formula>0</formula>
    </cfRule>
    <cfRule type="cellIs" dxfId="3899" priority="941" operator="greaterThan">
      <formula>0</formula>
    </cfRule>
  </conditionalFormatting>
  <conditionalFormatting sqref="S36">
    <cfRule type="cellIs" dxfId="3898" priority="936" operator="equal">
      <formula>"-"</formula>
    </cfRule>
    <cfRule type="cellIs" dxfId="3897" priority="937" operator="lessThan">
      <formula>0</formula>
    </cfRule>
    <cfRule type="cellIs" dxfId="3896" priority="938" operator="greaterThan">
      <formula>0</formula>
    </cfRule>
  </conditionalFormatting>
  <conditionalFormatting sqref="S47:S48">
    <cfRule type="cellIs" dxfId="3895" priority="933" operator="equal">
      <formula>"-"</formula>
    </cfRule>
    <cfRule type="cellIs" dxfId="3894" priority="934" operator="lessThan">
      <formula>0</formula>
    </cfRule>
    <cfRule type="cellIs" dxfId="3893" priority="935" operator="greaterThan">
      <formula>0</formula>
    </cfRule>
  </conditionalFormatting>
  <conditionalFormatting sqref="S49:S50">
    <cfRule type="cellIs" dxfId="3892" priority="930" operator="equal">
      <formula>"-"</formula>
    </cfRule>
    <cfRule type="cellIs" dxfId="3891" priority="931" operator="lessThan">
      <formula>0</formula>
    </cfRule>
    <cfRule type="cellIs" dxfId="3890" priority="932" operator="greaterThan">
      <formula>0</formula>
    </cfRule>
  </conditionalFormatting>
  <conditionalFormatting sqref="Q2">
    <cfRule type="containsText" dxfId="3889" priority="926" operator="containsText" text="NEUTRO">
      <formula>NOT(ISERROR(SEARCH("NEUTRO",Q2)))</formula>
    </cfRule>
    <cfRule type="containsText" dxfId="3888" priority="927" operator="containsText" text="BULLISH">
      <formula>NOT(ISERROR(SEARCH("BULLISH",Q2)))</formula>
    </cfRule>
    <cfRule type="containsText" dxfId="3887" priority="928" operator="containsText" text="BEARISH">
      <formula>NOT(ISERROR(SEARCH("BEARISH",Q2)))</formula>
    </cfRule>
    <cfRule type="containsBlanks" dxfId="3886" priority="929">
      <formula>LEN(TRIM(Q2))=0</formula>
    </cfRule>
  </conditionalFormatting>
  <conditionalFormatting sqref="Q20">
    <cfRule type="containsText" dxfId="3885" priority="922" operator="containsText" text="NEUTRO">
      <formula>NOT(ISERROR(SEARCH("NEUTRO",Q20)))</formula>
    </cfRule>
    <cfRule type="containsText" dxfId="3884" priority="923" operator="containsText" text="BULLISH">
      <formula>NOT(ISERROR(SEARCH("BULLISH",Q20)))</formula>
    </cfRule>
    <cfRule type="containsText" dxfId="3883" priority="924" operator="containsText" text="BEARISH">
      <formula>NOT(ISERROR(SEARCH("BEARISH",Q20)))</formula>
    </cfRule>
    <cfRule type="containsBlanks" dxfId="3882" priority="925">
      <formula>LEN(TRIM(Q20))=0</formula>
    </cfRule>
  </conditionalFormatting>
  <conditionalFormatting sqref="Q32">
    <cfRule type="containsText" dxfId="3881" priority="918" operator="containsText" text="NEUTRO">
      <formula>NOT(ISERROR(SEARCH("NEUTRO",Q32)))</formula>
    </cfRule>
    <cfRule type="containsText" dxfId="3880" priority="919" operator="containsText" text="BULLISH">
      <formula>NOT(ISERROR(SEARCH("BULLISH",Q32)))</formula>
    </cfRule>
    <cfRule type="containsText" dxfId="3879" priority="920" operator="containsText" text="BEARISH">
      <formula>NOT(ISERROR(SEARCH("BEARISH",Q32)))</formula>
    </cfRule>
    <cfRule type="containsBlanks" dxfId="3878" priority="921">
      <formula>LEN(TRIM(Q32))=0</formula>
    </cfRule>
  </conditionalFormatting>
  <conditionalFormatting sqref="Q46">
    <cfRule type="containsText" dxfId="3877" priority="914" operator="containsText" text="NEUTRO">
      <formula>NOT(ISERROR(SEARCH("NEUTRO",Q46)))</formula>
    </cfRule>
    <cfRule type="containsText" dxfId="3876" priority="915" operator="containsText" text="BULLISH">
      <formula>NOT(ISERROR(SEARCH("BULLISH",Q46)))</formula>
    </cfRule>
    <cfRule type="containsText" dxfId="3875" priority="916" operator="containsText" text="BEARISH">
      <formula>NOT(ISERROR(SEARCH("BEARISH",Q46)))</formula>
    </cfRule>
    <cfRule type="containsBlanks" dxfId="3874" priority="917">
      <formula>LEN(TRIM(Q46))=0</formula>
    </cfRule>
  </conditionalFormatting>
  <conditionalFormatting sqref="Q55">
    <cfRule type="containsText" dxfId="3873" priority="910" operator="containsText" text="NEUTRO">
      <formula>NOT(ISERROR(SEARCH("NEUTRO",Q55)))</formula>
    </cfRule>
    <cfRule type="containsText" dxfId="3872" priority="911" operator="containsText" text="BULLISH">
      <formula>NOT(ISERROR(SEARCH("BULLISH",Q55)))</formula>
    </cfRule>
    <cfRule type="containsText" dxfId="3871" priority="912" operator="containsText" text="BEARISH">
      <formula>NOT(ISERROR(SEARCH("BEARISH",Q55)))</formula>
    </cfRule>
    <cfRule type="containsBlanks" dxfId="3870" priority="913">
      <formula>LEN(TRIM(Q55))=0</formula>
    </cfRule>
  </conditionalFormatting>
  <conditionalFormatting sqref="Q89">
    <cfRule type="containsText" dxfId="3869" priority="906" operator="containsText" text="NEUTRO">
      <formula>NOT(ISERROR(SEARCH("NEUTRO",Q89)))</formula>
    </cfRule>
    <cfRule type="containsText" dxfId="3868" priority="907" operator="containsText" text="BULLISH">
      <formula>NOT(ISERROR(SEARCH("BULLISH",Q89)))</formula>
    </cfRule>
    <cfRule type="containsText" dxfId="3867" priority="908" operator="containsText" text="BEARISH">
      <formula>NOT(ISERROR(SEARCH("BEARISH",Q89)))</formula>
    </cfRule>
    <cfRule type="containsBlanks" dxfId="3866" priority="909">
      <formula>LEN(TRIM(Q89))=0</formula>
    </cfRule>
  </conditionalFormatting>
  <conditionalFormatting sqref="P92:P865">
    <cfRule type="colorScale" priority="905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P27:P30">
    <cfRule type="cellIs" dxfId="3865" priority="902" operator="equal">
      <formula>"-"</formula>
    </cfRule>
    <cfRule type="cellIs" dxfId="3864" priority="903" operator="lessThan">
      <formula>0</formula>
    </cfRule>
    <cfRule type="cellIs" dxfId="3863" priority="904" operator="greaterThan">
      <formula>0</formula>
    </cfRule>
  </conditionalFormatting>
  <conditionalFormatting sqref="P39">
    <cfRule type="cellIs" dxfId="3862" priority="900" operator="lessThan">
      <formula>0</formula>
    </cfRule>
    <cfRule type="cellIs" dxfId="3861" priority="901" operator="greaterThan">
      <formula>0</formula>
    </cfRule>
  </conditionalFormatting>
  <conditionalFormatting sqref="P39">
    <cfRule type="cellIs" dxfId="3860" priority="899" operator="equal">
      <formula>"-"</formula>
    </cfRule>
  </conditionalFormatting>
  <conditionalFormatting sqref="P40">
    <cfRule type="cellIs" dxfId="3859" priority="896" operator="equal">
      <formula>"-"</formula>
    </cfRule>
    <cfRule type="cellIs" dxfId="3858" priority="897" operator="lessThan">
      <formula>0</formula>
    </cfRule>
    <cfRule type="cellIs" dxfId="3857" priority="898" operator="greaterThan">
      <formula>0</formula>
    </cfRule>
  </conditionalFormatting>
  <conditionalFormatting sqref="P41">
    <cfRule type="cellIs" dxfId="3856" priority="893" operator="equal">
      <formula>"-"</formula>
    </cfRule>
    <cfRule type="cellIs" dxfId="3855" priority="894" operator="lessThan">
      <formula>0</formula>
    </cfRule>
    <cfRule type="cellIs" dxfId="3854" priority="895" operator="greaterThan">
      <formula>0</formula>
    </cfRule>
  </conditionalFormatting>
  <conditionalFormatting sqref="P42">
    <cfRule type="cellIs" dxfId="3853" priority="890" operator="equal">
      <formula>"-"</formula>
    </cfRule>
    <cfRule type="cellIs" dxfId="3852" priority="891" operator="lessThan">
      <formula>0</formula>
    </cfRule>
    <cfRule type="cellIs" dxfId="3851" priority="892" operator="greaterThan">
      <formula>0</formula>
    </cfRule>
  </conditionalFormatting>
  <conditionalFormatting sqref="P43">
    <cfRule type="cellIs" dxfId="3850" priority="887" operator="equal">
      <formula>"-"</formula>
    </cfRule>
    <cfRule type="cellIs" dxfId="3849" priority="888" operator="lessThan">
      <formula>0</formula>
    </cfRule>
    <cfRule type="cellIs" dxfId="3848" priority="889" operator="greaterThan">
      <formula>0</formula>
    </cfRule>
  </conditionalFormatting>
  <conditionalFormatting sqref="P44">
    <cfRule type="cellIs" dxfId="3847" priority="884" operator="equal">
      <formula>"-"</formula>
    </cfRule>
    <cfRule type="cellIs" dxfId="3846" priority="885" operator="lessThan">
      <formula>0</formula>
    </cfRule>
    <cfRule type="cellIs" dxfId="3845" priority="886" operator="greaterThan">
      <formula>0</formula>
    </cfRule>
  </conditionalFormatting>
  <conditionalFormatting sqref="P37">
    <cfRule type="cellIs" dxfId="3844" priority="882" operator="lessThan">
      <formula>0</formula>
    </cfRule>
    <cfRule type="cellIs" dxfId="3843" priority="883" operator="greaterThan">
      <formula>0</formula>
    </cfRule>
  </conditionalFormatting>
  <conditionalFormatting sqref="P37">
    <cfRule type="cellIs" dxfId="3842" priority="881" operator="equal">
      <formula>"-"</formula>
    </cfRule>
  </conditionalFormatting>
  <conditionalFormatting sqref="P38">
    <cfRule type="cellIs" dxfId="3841" priority="879" operator="lessThan">
      <formula>0</formula>
    </cfRule>
    <cfRule type="cellIs" dxfId="3840" priority="880" operator="greaterThan">
      <formula>0</formula>
    </cfRule>
  </conditionalFormatting>
  <conditionalFormatting sqref="P38">
    <cfRule type="cellIs" dxfId="3839" priority="878" operator="equal">
      <formula>"-"</formula>
    </cfRule>
  </conditionalFormatting>
  <conditionalFormatting sqref="P56:P67">
    <cfRule type="cellIs" dxfId="3838" priority="875" operator="equal">
      <formula>"-"</formula>
    </cfRule>
    <cfRule type="cellIs" dxfId="3837" priority="876" operator="lessThan">
      <formula>0</formula>
    </cfRule>
    <cfRule type="cellIs" dxfId="3836" priority="877" operator="greaterThan">
      <formula>0</formula>
    </cfRule>
  </conditionalFormatting>
  <conditionalFormatting sqref="P68:P78">
    <cfRule type="cellIs" dxfId="3835" priority="873" operator="lessThan">
      <formula>0</formula>
    </cfRule>
    <cfRule type="cellIs" dxfId="3834" priority="874" operator="greaterThan">
      <formula>0</formula>
    </cfRule>
  </conditionalFormatting>
  <conditionalFormatting sqref="P68:P78">
    <cfRule type="cellIs" dxfId="3833" priority="872" operator="equal">
      <formula>"-"</formula>
    </cfRule>
  </conditionalFormatting>
  <conditionalFormatting sqref="P81">
    <cfRule type="cellIs" dxfId="3832" priority="870" operator="lessThan">
      <formula>0</formula>
    </cfRule>
    <cfRule type="cellIs" dxfId="3831" priority="871" operator="greaterThan">
      <formula>0</formula>
    </cfRule>
  </conditionalFormatting>
  <conditionalFormatting sqref="P81">
    <cfRule type="cellIs" dxfId="3830" priority="869" operator="equal">
      <formula>"-"</formula>
    </cfRule>
  </conditionalFormatting>
  <conditionalFormatting sqref="P82">
    <cfRule type="cellIs" dxfId="3829" priority="867" operator="lessThan">
      <formula>0</formula>
    </cfRule>
    <cfRule type="cellIs" dxfId="3828" priority="868" operator="greaterThan">
      <formula>0</formula>
    </cfRule>
  </conditionalFormatting>
  <conditionalFormatting sqref="P82">
    <cfRule type="cellIs" dxfId="3827" priority="866" operator="equal">
      <formula>"-"</formula>
    </cfRule>
  </conditionalFormatting>
  <conditionalFormatting sqref="P79">
    <cfRule type="cellIs" dxfId="3826" priority="864" operator="lessThan">
      <formula>0</formula>
    </cfRule>
    <cfRule type="cellIs" dxfId="3825" priority="865" operator="greaterThan">
      <formula>0</formula>
    </cfRule>
  </conditionalFormatting>
  <conditionalFormatting sqref="P79">
    <cfRule type="cellIs" dxfId="3824" priority="863" operator="equal">
      <formula>"-"</formula>
    </cfRule>
  </conditionalFormatting>
  <conditionalFormatting sqref="P80">
    <cfRule type="cellIs" dxfId="3823" priority="861" operator="lessThan">
      <formula>0</formula>
    </cfRule>
    <cfRule type="cellIs" dxfId="3822" priority="862" operator="greaterThan">
      <formula>0</formula>
    </cfRule>
  </conditionalFormatting>
  <conditionalFormatting sqref="P80">
    <cfRule type="cellIs" dxfId="3821" priority="860" operator="equal">
      <formula>"-"</formula>
    </cfRule>
  </conditionalFormatting>
  <conditionalFormatting sqref="P83:P87">
    <cfRule type="cellIs" dxfId="3820" priority="858" operator="lessThan">
      <formula>0</formula>
    </cfRule>
    <cfRule type="cellIs" dxfId="3819" priority="859" operator="greaterThan">
      <formula>0</formula>
    </cfRule>
  </conditionalFormatting>
  <conditionalFormatting sqref="P83:P87">
    <cfRule type="cellIs" dxfId="3818" priority="857" operator="equal">
      <formula>"-"</formula>
    </cfRule>
  </conditionalFormatting>
  <conditionalFormatting sqref="P51">
    <cfRule type="cellIs" dxfId="3817" priority="855" operator="lessThan">
      <formula>0</formula>
    </cfRule>
    <cfRule type="cellIs" dxfId="3816" priority="856" operator="greaterThan">
      <formula>0</formula>
    </cfRule>
  </conditionalFormatting>
  <conditionalFormatting sqref="P51">
    <cfRule type="cellIs" dxfId="3815" priority="854" operator="equal">
      <formula>"-"</formula>
    </cfRule>
  </conditionalFormatting>
  <conditionalFormatting sqref="P52">
    <cfRule type="cellIs" dxfId="3814" priority="852" operator="lessThan">
      <formula>0</formula>
    </cfRule>
    <cfRule type="cellIs" dxfId="3813" priority="853" operator="greaterThan">
      <formula>0</formula>
    </cfRule>
  </conditionalFormatting>
  <conditionalFormatting sqref="P52">
    <cfRule type="cellIs" dxfId="3812" priority="851" operator="equal">
      <formula>"-"</formula>
    </cfRule>
  </conditionalFormatting>
  <conditionalFormatting sqref="P53">
    <cfRule type="cellIs" dxfId="3811" priority="849" operator="lessThan">
      <formula>0</formula>
    </cfRule>
    <cfRule type="cellIs" dxfId="3810" priority="850" operator="greaterThan">
      <formula>0</formula>
    </cfRule>
  </conditionalFormatting>
  <conditionalFormatting sqref="P53">
    <cfRule type="cellIs" dxfId="3809" priority="848" operator="equal">
      <formula>"-"</formula>
    </cfRule>
  </conditionalFormatting>
  <conditionalFormatting sqref="P12:P18">
    <cfRule type="cellIs" dxfId="3808" priority="845" operator="equal">
      <formula>"-"</formula>
    </cfRule>
    <cfRule type="cellIs" dxfId="3807" priority="846" operator="lessThan">
      <formula>0</formula>
    </cfRule>
    <cfRule type="cellIs" dxfId="3806" priority="847" operator="greaterThan">
      <formula>0</formula>
    </cfRule>
  </conditionalFormatting>
  <conditionalFormatting sqref="P3:P11">
    <cfRule type="cellIs" dxfId="3805" priority="842" operator="equal">
      <formula>"-"</formula>
    </cfRule>
    <cfRule type="cellIs" dxfId="3804" priority="843" operator="lessThan">
      <formula>0</formula>
    </cfRule>
    <cfRule type="cellIs" dxfId="3803" priority="844" operator="greaterThan">
      <formula>0</formula>
    </cfRule>
  </conditionalFormatting>
  <conditionalFormatting sqref="P21:P26">
    <cfRule type="cellIs" dxfId="3802" priority="839" operator="equal">
      <formula>"-"</formula>
    </cfRule>
    <cfRule type="cellIs" dxfId="3801" priority="840" operator="lessThan">
      <formula>0</formula>
    </cfRule>
    <cfRule type="cellIs" dxfId="3800" priority="841" operator="greaterThan">
      <formula>0</formula>
    </cfRule>
  </conditionalFormatting>
  <conditionalFormatting sqref="P33">
    <cfRule type="cellIs" dxfId="3799" priority="836" operator="equal">
      <formula>"-"</formula>
    </cfRule>
    <cfRule type="cellIs" dxfId="3798" priority="837" operator="lessThan">
      <formula>0</formula>
    </cfRule>
    <cfRule type="cellIs" dxfId="3797" priority="838" operator="greaterThan">
      <formula>0</formula>
    </cfRule>
  </conditionalFormatting>
  <conditionalFormatting sqref="P34:P35">
    <cfRule type="cellIs" dxfId="3796" priority="833" operator="equal">
      <formula>"-"</formula>
    </cfRule>
    <cfRule type="cellIs" dxfId="3795" priority="834" operator="lessThan">
      <formula>0</formula>
    </cfRule>
    <cfRule type="cellIs" dxfId="3794" priority="835" operator="greaterThan">
      <formula>0</formula>
    </cfRule>
  </conditionalFormatting>
  <conditionalFormatting sqref="P36">
    <cfRule type="cellIs" dxfId="3793" priority="830" operator="equal">
      <formula>"-"</formula>
    </cfRule>
    <cfRule type="cellIs" dxfId="3792" priority="831" operator="lessThan">
      <formula>0</formula>
    </cfRule>
    <cfRule type="cellIs" dxfId="3791" priority="832" operator="greaterThan">
      <formula>0</formula>
    </cfRule>
  </conditionalFormatting>
  <conditionalFormatting sqref="P47:P48">
    <cfRule type="cellIs" dxfId="3790" priority="827" operator="equal">
      <formula>"-"</formula>
    </cfRule>
    <cfRule type="cellIs" dxfId="3789" priority="828" operator="lessThan">
      <formula>0</formula>
    </cfRule>
    <cfRule type="cellIs" dxfId="3788" priority="829" operator="greaterThan">
      <formula>0</formula>
    </cfRule>
  </conditionalFormatting>
  <conditionalFormatting sqref="P49:P50">
    <cfRule type="cellIs" dxfId="3787" priority="824" operator="equal">
      <formula>"-"</formula>
    </cfRule>
    <cfRule type="cellIs" dxfId="3786" priority="825" operator="lessThan">
      <formula>0</formula>
    </cfRule>
    <cfRule type="cellIs" dxfId="3785" priority="826" operator="greaterThan">
      <formula>0</formula>
    </cfRule>
  </conditionalFormatting>
  <conditionalFormatting sqref="N2">
    <cfRule type="containsText" dxfId="3784" priority="820" operator="containsText" text="NEUTRO">
      <formula>NOT(ISERROR(SEARCH("NEUTRO",N2)))</formula>
    </cfRule>
    <cfRule type="containsText" dxfId="3783" priority="821" operator="containsText" text="BULLISH">
      <formula>NOT(ISERROR(SEARCH("BULLISH",N2)))</formula>
    </cfRule>
    <cfRule type="containsText" dxfId="3782" priority="822" operator="containsText" text="BEARISH">
      <formula>NOT(ISERROR(SEARCH("BEARISH",N2)))</formula>
    </cfRule>
    <cfRule type="containsBlanks" dxfId="3781" priority="823">
      <formula>LEN(TRIM(N2))=0</formula>
    </cfRule>
  </conditionalFormatting>
  <conditionalFormatting sqref="N32">
    <cfRule type="containsText" dxfId="3780" priority="812" operator="containsText" text="NEUTRO">
      <formula>NOT(ISERROR(SEARCH("NEUTRO",N32)))</formula>
    </cfRule>
    <cfRule type="containsText" dxfId="3779" priority="813" operator="containsText" text="BULLISH">
      <formula>NOT(ISERROR(SEARCH("BULLISH",N32)))</formula>
    </cfRule>
    <cfRule type="containsText" dxfId="3778" priority="814" operator="containsText" text="BEARISH">
      <formula>NOT(ISERROR(SEARCH("BEARISH",N32)))</formula>
    </cfRule>
    <cfRule type="containsBlanks" dxfId="3777" priority="815">
      <formula>LEN(TRIM(N32))=0</formula>
    </cfRule>
  </conditionalFormatting>
  <conditionalFormatting sqref="N46">
    <cfRule type="containsText" dxfId="3776" priority="808" operator="containsText" text="NEUTRO">
      <formula>NOT(ISERROR(SEARCH("NEUTRO",N46)))</formula>
    </cfRule>
    <cfRule type="containsText" dxfId="3775" priority="809" operator="containsText" text="BULLISH">
      <formula>NOT(ISERROR(SEARCH("BULLISH",N46)))</formula>
    </cfRule>
    <cfRule type="containsText" dxfId="3774" priority="810" operator="containsText" text="BEARISH">
      <formula>NOT(ISERROR(SEARCH("BEARISH",N46)))</formula>
    </cfRule>
    <cfRule type="containsBlanks" dxfId="3773" priority="811">
      <formula>LEN(TRIM(N46))=0</formula>
    </cfRule>
  </conditionalFormatting>
  <conditionalFormatting sqref="N55">
    <cfRule type="containsText" dxfId="3772" priority="804" operator="containsText" text="NEUTRO">
      <formula>NOT(ISERROR(SEARCH("NEUTRO",N55)))</formula>
    </cfRule>
    <cfRule type="containsText" dxfId="3771" priority="805" operator="containsText" text="BULLISH">
      <formula>NOT(ISERROR(SEARCH("BULLISH",N55)))</formula>
    </cfRule>
    <cfRule type="containsText" dxfId="3770" priority="806" operator="containsText" text="BEARISH">
      <formula>NOT(ISERROR(SEARCH("BEARISH",N55)))</formula>
    </cfRule>
    <cfRule type="containsBlanks" dxfId="3769" priority="807">
      <formula>LEN(TRIM(N55))=0</formula>
    </cfRule>
  </conditionalFormatting>
  <conditionalFormatting sqref="N89">
    <cfRule type="containsText" dxfId="3768" priority="800" operator="containsText" text="NEUTRO">
      <formula>NOT(ISERROR(SEARCH("NEUTRO",N89)))</formula>
    </cfRule>
    <cfRule type="containsText" dxfId="3767" priority="801" operator="containsText" text="BULLISH">
      <formula>NOT(ISERROR(SEARCH("BULLISH",N89)))</formula>
    </cfRule>
    <cfRule type="containsText" dxfId="3766" priority="802" operator="containsText" text="BEARISH">
      <formula>NOT(ISERROR(SEARCH("BEARISH",N89)))</formula>
    </cfRule>
    <cfRule type="containsBlanks" dxfId="3765" priority="803">
      <formula>LEN(TRIM(N89))=0</formula>
    </cfRule>
  </conditionalFormatting>
  <conditionalFormatting sqref="M92:M865">
    <cfRule type="colorScale" priority="589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M27:M30">
    <cfRule type="cellIs" dxfId="3764" priority="586" operator="equal">
      <formula>"-"</formula>
    </cfRule>
    <cfRule type="cellIs" dxfId="3763" priority="587" operator="lessThan">
      <formula>0</formula>
    </cfRule>
    <cfRule type="cellIs" dxfId="3762" priority="588" operator="greaterThan">
      <formula>0</formula>
    </cfRule>
  </conditionalFormatting>
  <conditionalFormatting sqref="M39">
    <cfRule type="cellIs" dxfId="3761" priority="584" operator="lessThan">
      <formula>0</formula>
    </cfRule>
    <cfRule type="cellIs" dxfId="3760" priority="585" operator="greaterThan">
      <formula>0</formula>
    </cfRule>
  </conditionalFormatting>
  <conditionalFormatting sqref="M39">
    <cfRule type="cellIs" dxfId="3759" priority="583" operator="equal">
      <formula>"-"</formula>
    </cfRule>
  </conditionalFormatting>
  <conditionalFormatting sqref="M40">
    <cfRule type="cellIs" dxfId="3758" priority="580" operator="equal">
      <formula>"-"</formula>
    </cfRule>
    <cfRule type="cellIs" dxfId="3757" priority="581" operator="lessThan">
      <formula>0</formula>
    </cfRule>
    <cfRule type="cellIs" dxfId="3756" priority="582" operator="greaterThan">
      <formula>0</formula>
    </cfRule>
  </conditionalFormatting>
  <conditionalFormatting sqref="M41">
    <cfRule type="cellIs" dxfId="3755" priority="577" operator="equal">
      <formula>"-"</formula>
    </cfRule>
    <cfRule type="cellIs" dxfId="3754" priority="578" operator="lessThan">
      <formula>0</formula>
    </cfRule>
    <cfRule type="cellIs" dxfId="3753" priority="579" operator="greaterThan">
      <formula>0</formula>
    </cfRule>
  </conditionalFormatting>
  <conditionalFormatting sqref="M42">
    <cfRule type="cellIs" dxfId="3752" priority="574" operator="equal">
      <formula>"-"</formula>
    </cfRule>
    <cfRule type="cellIs" dxfId="3751" priority="575" operator="lessThan">
      <formula>0</formula>
    </cfRule>
    <cfRule type="cellIs" dxfId="3750" priority="576" operator="greaterThan">
      <formula>0</formula>
    </cfRule>
  </conditionalFormatting>
  <conditionalFormatting sqref="M43">
    <cfRule type="cellIs" dxfId="3749" priority="571" operator="equal">
      <formula>"-"</formula>
    </cfRule>
    <cfRule type="cellIs" dxfId="3748" priority="572" operator="lessThan">
      <formula>0</formula>
    </cfRule>
    <cfRule type="cellIs" dxfId="3747" priority="573" operator="greaterThan">
      <formula>0</formula>
    </cfRule>
  </conditionalFormatting>
  <conditionalFormatting sqref="M44">
    <cfRule type="cellIs" dxfId="3746" priority="568" operator="equal">
      <formula>"-"</formula>
    </cfRule>
    <cfRule type="cellIs" dxfId="3745" priority="569" operator="lessThan">
      <formula>0</formula>
    </cfRule>
    <cfRule type="cellIs" dxfId="3744" priority="570" operator="greaterThan">
      <formula>0</formula>
    </cfRule>
  </conditionalFormatting>
  <conditionalFormatting sqref="M37">
    <cfRule type="cellIs" dxfId="3743" priority="566" operator="lessThan">
      <formula>0</formula>
    </cfRule>
    <cfRule type="cellIs" dxfId="3742" priority="567" operator="greaterThan">
      <formula>0</formula>
    </cfRule>
  </conditionalFormatting>
  <conditionalFormatting sqref="M37">
    <cfRule type="cellIs" dxfId="3741" priority="565" operator="equal">
      <formula>"-"</formula>
    </cfRule>
  </conditionalFormatting>
  <conditionalFormatting sqref="M38">
    <cfRule type="cellIs" dxfId="3740" priority="563" operator="lessThan">
      <formula>0</formula>
    </cfRule>
    <cfRule type="cellIs" dxfId="3739" priority="564" operator="greaterThan">
      <formula>0</formula>
    </cfRule>
  </conditionalFormatting>
  <conditionalFormatting sqref="M38">
    <cfRule type="cellIs" dxfId="3738" priority="562" operator="equal">
      <formula>"-"</formula>
    </cfRule>
  </conditionalFormatting>
  <conditionalFormatting sqref="M56:M67">
    <cfRule type="cellIs" dxfId="3737" priority="559" operator="equal">
      <formula>"-"</formula>
    </cfRule>
    <cfRule type="cellIs" dxfId="3736" priority="560" operator="lessThan">
      <formula>0</formula>
    </cfRule>
    <cfRule type="cellIs" dxfId="3735" priority="561" operator="greaterThan">
      <formula>0</formula>
    </cfRule>
  </conditionalFormatting>
  <conditionalFormatting sqref="M68:M70 M72:M78">
    <cfRule type="cellIs" dxfId="3734" priority="557" operator="lessThan">
      <formula>0</formula>
    </cfRule>
    <cfRule type="cellIs" dxfId="3733" priority="558" operator="greaterThan">
      <formula>0</formula>
    </cfRule>
  </conditionalFormatting>
  <conditionalFormatting sqref="M68:M70 M72:M78">
    <cfRule type="cellIs" dxfId="3732" priority="556" operator="equal">
      <formula>"-"</formula>
    </cfRule>
  </conditionalFormatting>
  <conditionalFormatting sqref="M81">
    <cfRule type="cellIs" dxfId="3731" priority="554" operator="lessThan">
      <formula>0</formula>
    </cfRule>
    <cfRule type="cellIs" dxfId="3730" priority="555" operator="greaterThan">
      <formula>0</formula>
    </cfRule>
  </conditionalFormatting>
  <conditionalFormatting sqref="M81">
    <cfRule type="cellIs" dxfId="3729" priority="553" operator="equal">
      <formula>"-"</formula>
    </cfRule>
  </conditionalFormatting>
  <conditionalFormatting sqref="M82">
    <cfRule type="cellIs" dxfId="3728" priority="551" operator="lessThan">
      <formula>0</formula>
    </cfRule>
    <cfRule type="cellIs" dxfId="3727" priority="552" operator="greaterThan">
      <formula>0</formula>
    </cfRule>
  </conditionalFormatting>
  <conditionalFormatting sqref="M82">
    <cfRule type="cellIs" dxfId="3726" priority="550" operator="equal">
      <formula>"-"</formula>
    </cfRule>
  </conditionalFormatting>
  <conditionalFormatting sqref="M79">
    <cfRule type="cellIs" dxfId="3725" priority="548" operator="lessThan">
      <formula>0</formula>
    </cfRule>
    <cfRule type="cellIs" dxfId="3724" priority="549" operator="greaterThan">
      <formula>0</formula>
    </cfRule>
  </conditionalFormatting>
  <conditionalFormatting sqref="M79">
    <cfRule type="cellIs" dxfId="3723" priority="547" operator="equal">
      <formula>"-"</formula>
    </cfRule>
  </conditionalFormatting>
  <conditionalFormatting sqref="M80">
    <cfRule type="cellIs" dxfId="3722" priority="545" operator="lessThan">
      <formula>0</formula>
    </cfRule>
    <cfRule type="cellIs" dxfId="3721" priority="546" operator="greaterThan">
      <formula>0</formula>
    </cfRule>
  </conditionalFormatting>
  <conditionalFormatting sqref="M80">
    <cfRule type="cellIs" dxfId="3720" priority="544" operator="equal">
      <formula>"-"</formula>
    </cfRule>
  </conditionalFormatting>
  <conditionalFormatting sqref="M84:M87">
    <cfRule type="cellIs" dxfId="3719" priority="542" operator="lessThan">
      <formula>0</formula>
    </cfRule>
    <cfRule type="cellIs" dxfId="3718" priority="543" operator="greaterThan">
      <formula>0</formula>
    </cfRule>
  </conditionalFormatting>
  <conditionalFormatting sqref="M84:M87">
    <cfRule type="cellIs" dxfId="3717" priority="541" operator="equal">
      <formula>"-"</formula>
    </cfRule>
  </conditionalFormatting>
  <conditionalFormatting sqref="M51">
    <cfRule type="cellIs" dxfId="3716" priority="539" operator="lessThan">
      <formula>0</formula>
    </cfRule>
    <cfRule type="cellIs" dxfId="3715" priority="540" operator="greaterThan">
      <formula>0</formula>
    </cfRule>
  </conditionalFormatting>
  <conditionalFormatting sqref="M51">
    <cfRule type="cellIs" dxfId="3714" priority="538" operator="equal">
      <formula>"-"</formula>
    </cfRule>
  </conditionalFormatting>
  <conditionalFormatting sqref="M52">
    <cfRule type="cellIs" dxfId="3713" priority="536" operator="lessThan">
      <formula>0</formula>
    </cfRule>
    <cfRule type="cellIs" dxfId="3712" priority="537" operator="greaterThan">
      <formula>0</formula>
    </cfRule>
  </conditionalFormatting>
  <conditionalFormatting sqref="M52">
    <cfRule type="cellIs" dxfId="3711" priority="535" operator="equal">
      <formula>"-"</formula>
    </cfRule>
  </conditionalFormatting>
  <conditionalFormatting sqref="M53">
    <cfRule type="cellIs" dxfId="3710" priority="533" operator="lessThan">
      <formula>0</formula>
    </cfRule>
    <cfRule type="cellIs" dxfId="3709" priority="534" operator="greaterThan">
      <formula>0</formula>
    </cfRule>
  </conditionalFormatting>
  <conditionalFormatting sqref="M53">
    <cfRule type="cellIs" dxfId="3708" priority="532" operator="equal">
      <formula>"-"</formula>
    </cfRule>
  </conditionalFormatting>
  <conditionalFormatting sqref="M12:M14 M16:M18">
    <cfRule type="cellIs" dxfId="3707" priority="529" operator="equal">
      <formula>"-"</formula>
    </cfRule>
    <cfRule type="cellIs" dxfId="3706" priority="530" operator="lessThan">
      <formula>0</formula>
    </cfRule>
    <cfRule type="cellIs" dxfId="3705" priority="531" operator="greaterThan">
      <formula>0</formula>
    </cfRule>
  </conditionalFormatting>
  <conditionalFormatting sqref="M3:M11">
    <cfRule type="cellIs" dxfId="3704" priority="526" operator="equal">
      <formula>"-"</formula>
    </cfRule>
    <cfRule type="cellIs" dxfId="3703" priority="527" operator="lessThan">
      <formula>0</formula>
    </cfRule>
    <cfRule type="cellIs" dxfId="3702" priority="528" operator="greaterThan">
      <formula>0</formula>
    </cfRule>
  </conditionalFormatting>
  <conditionalFormatting sqref="M21:M22 M24:M26">
    <cfRule type="cellIs" dxfId="3701" priority="523" operator="equal">
      <formula>"-"</formula>
    </cfRule>
    <cfRule type="cellIs" dxfId="3700" priority="524" operator="lessThan">
      <formula>0</formula>
    </cfRule>
    <cfRule type="cellIs" dxfId="3699" priority="525" operator="greaterThan">
      <formula>0</formula>
    </cfRule>
  </conditionalFormatting>
  <conditionalFormatting sqref="M33">
    <cfRule type="cellIs" dxfId="3698" priority="520" operator="equal">
      <formula>"-"</formula>
    </cfRule>
    <cfRule type="cellIs" dxfId="3697" priority="521" operator="lessThan">
      <formula>0</formula>
    </cfRule>
    <cfRule type="cellIs" dxfId="3696" priority="522" operator="greaterThan">
      <formula>0</formula>
    </cfRule>
  </conditionalFormatting>
  <conditionalFormatting sqref="M34:M35">
    <cfRule type="cellIs" dxfId="3695" priority="517" operator="equal">
      <formula>"-"</formula>
    </cfRule>
    <cfRule type="cellIs" dxfId="3694" priority="518" operator="lessThan">
      <formula>0</formula>
    </cfRule>
    <cfRule type="cellIs" dxfId="3693" priority="519" operator="greaterThan">
      <formula>0</formula>
    </cfRule>
  </conditionalFormatting>
  <conditionalFormatting sqref="M47">
    <cfRule type="cellIs" dxfId="3692" priority="514" operator="equal">
      <formula>"-"</formula>
    </cfRule>
    <cfRule type="cellIs" dxfId="3691" priority="515" operator="lessThan">
      <formula>0</formula>
    </cfRule>
    <cfRule type="cellIs" dxfId="3690" priority="516" operator="greaterThan">
      <formula>0</formula>
    </cfRule>
  </conditionalFormatting>
  <conditionalFormatting sqref="M49:M50">
    <cfRule type="cellIs" dxfId="3689" priority="511" operator="equal">
      <formula>"-"</formula>
    </cfRule>
    <cfRule type="cellIs" dxfId="3688" priority="512" operator="lessThan">
      <formula>0</formula>
    </cfRule>
    <cfRule type="cellIs" dxfId="3687" priority="513" operator="greaterThan">
      <formula>0</formula>
    </cfRule>
  </conditionalFormatting>
  <conditionalFormatting sqref="M15">
    <cfRule type="cellIs" dxfId="3686" priority="508" operator="equal">
      <formula>"-"</formula>
    </cfRule>
    <cfRule type="cellIs" dxfId="3685" priority="509" operator="lessThan">
      <formula>0</formula>
    </cfRule>
    <cfRule type="cellIs" dxfId="3684" priority="510" operator="greaterThan">
      <formula>0</formula>
    </cfRule>
  </conditionalFormatting>
  <conditionalFormatting sqref="M23">
    <cfRule type="cellIs" dxfId="3683" priority="505" operator="equal">
      <formula>"-"</formula>
    </cfRule>
    <cfRule type="cellIs" dxfId="3682" priority="506" operator="lessThan">
      <formula>0</formula>
    </cfRule>
    <cfRule type="cellIs" dxfId="3681" priority="507" operator="greaterThan">
      <formula>0</formula>
    </cfRule>
  </conditionalFormatting>
  <conditionalFormatting sqref="M36">
    <cfRule type="cellIs" dxfId="3680" priority="502" operator="equal">
      <formula>"-"</formula>
    </cfRule>
    <cfRule type="cellIs" dxfId="3679" priority="503" operator="lessThan">
      <formula>0</formula>
    </cfRule>
    <cfRule type="cellIs" dxfId="3678" priority="504" operator="greaterThan">
      <formula>0</formula>
    </cfRule>
  </conditionalFormatting>
  <conditionalFormatting sqref="M48">
    <cfRule type="cellIs" dxfId="3677" priority="499" operator="equal">
      <formula>"-"</formula>
    </cfRule>
    <cfRule type="cellIs" dxfId="3676" priority="500" operator="lessThan">
      <formula>0</formula>
    </cfRule>
    <cfRule type="cellIs" dxfId="3675" priority="501" operator="greaterThan">
      <formula>0</formula>
    </cfRule>
  </conditionalFormatting>
  <conditionalFormatting sqref="M71">
    <cfRule type="cellIs" dxfId="3674" priority="497" operator="lessThan">
      <formula>0</formula>
    </cfRule>
    <cfRule type="cellIs" dxfId="3673" priority="498" operator="greaterThan">
      <formula>0</formula>
    </cfRule>
  </conditionalFormatting>
  <conditionalFormatting sqref="M71">
    <cfRule type="cellIs" dxfId="3672" priority="496" operator="equal">
      <formula>"-"</formula>
    </cfRule>
  </conditionalFormatting>
  <conditionalFormatting sqref="M83">
    <cfRule type="cellIs" dxfId="3671" priority="494" operator="lessThan">
      <formula>0</formula>
    </cfRule>
    <cfRule type="cellIs" dxfId="3670" priority="495" operator="greaterThan">
      <formula>0</formula>
    </cfRule>
  </conditionalFormatting>
  <conditionalFormatting sqref="M83">
    <cfRule type="cellIs" dxfId="3669" priority="493" operator="equal">
      <formula>"-"</formula>
    </cfRule>
  </conditionalFormatting>
  <conditionalFormatting sqref="K2">
    <cfRule type="containsText" dxfId="3668" priority="489" operator="containsText" text="NEUTRO">
      <formula>NOT(ISERROR(SEARCH("NEUTRO",K2)))</formula>
    </cfRule>
    <cfRule type="containsText" dxfId="3667" priority="490" operator="containsText" text="BULLISH">
      <formula>NOT(ISERROR(SEARCH("BULLISH",K2)))</formula>
    </cfRule>
    <cfRule type="containsText" dxfId="3666" priority="491" operator="containsText" text="BEARISH">
      <formula>NOT(ISERROR(SEARCH("BEARISH",K2)))</formula>
    </cfRule>
    <cfRule type="containsBlanks" dxfId="3665" priority="492">
      <formula>LEN(TRIM(K2))=0</formula>
    </cfRule>
  </conditionalFormatting>
  <conditionalFormatting sqref="J92:J865">
    <cfRule type="colorScale" priority="488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J27:J30">
    <cfRule type="cellIs" dxfId="3664" priority="485" operator="equal">
      <formula>"-"</formula>
    </cfRule>
    <cfRule type="cellIs" dxfId="3663" priority="486" operator="lessThan">
      <formula>0</formula>
    </cfRule>
    <cfRule type="cellIs" dxfId="3662" priority="487" operator="greaterThan">
      <formula>0</formula>
    </cfRule>
  </conditionalFormatting>
  <conditionalFormatting sqref="J39">
    <cfRule type="cellIs" dxfId="3661" priority="483" operator="lessThan">
      <formula>0</formula>
    </cfRule>
    <cfRule type="cellIs" dxfId="3660" priority="484" operator="greaterThan">
      <formula>0</formula>
    </cfRule>
  </conditionalFormatting>
  <conditionalFormatting sqref="J39">
    <cfRule type="cellIs" dxfId="3659" priority="482" operator="equal">
      <formula>"-"</formula>
    </cfRule>
  </conditionalFormatting>
  <conditionalFormatting sqref="J40">
    <cfRule type="cellIs" dxfId="3658" priority="479" operator="equal">
      <formula>"-"</formula>
    </cfRule>
    <cfRule type="cellIs" dxfId="3657" priority="480" operator="lessThan">
      <formula>0</formula>
    </cfRule>
    <cfRule type="cellIs" dxfId="3656" priority="481" operator="greaterThan">
      <formula>0</formula>
    </cfRule>
  </conditionalFormatting>
  <conditionalFormatting sqref="J41">
    <cfRule type="cellIs" dxfId="3655" priority="476" operator="equal">
      <formula>"-"</formula>
    </cfRule>
    <cfRule type="cellIs" dxfId="3654" priority="477" operator="lessThan">
      <formula>0</formula>
    </cfRule>
    <cfRule type="cellIs" dxfId="3653" priority="478" operator="greaterThan">
      <formula>0</formula>
    </cfRule>
  </conditionalFormatting>
  <conditionalFormatting sqref="J42">
    <cfRule type="cellIs" dxfId="3652" priority="473" operator="equal">
      <formula>"-"</formula>
    </cfRule>
    <cfRule type="cellIs" dxfId="3651" priority="474" operator="lessThan">
      <formula>0</formula>
    </cfRule>
    <cfRule type="cellIs" dxfId="3650" priority="475" operator="greaterThan">
      <formula>0</formula>
    </cfRule>
  </conditionalFormatting>
  <conditionalFormatting sqref="J43">
    <cfRule type="cellIs" dxfId="3649" priority="470" operator="equal">
      <formula>"-"</formula>
    </cfRule>
    <cfRule type="cellIs" dxfId="3648" priority="471" operator="lessThan">
      <formula>0</formula>
    </cfRule>
    <cfRule type="cellIs" dxfId="3647" priority="472" operator="greaterThan">
      <formula>0</formula>
    </cfRule>
  </conditionalFormatting>
  <conditionalFormatting sqref="J44">
    <cfRule type="cellIs" dxfId="3646" priority="467" operator="equal">
      <formula>"-"</formula>
    </cfRule>
    <cfRule type="cellIs" dxfId="3645" priority="468" operator="lessThan">
      <formula>0</formula>
    </cfRule>
    <cfRule type="cellIs" dxfId="3644" priority="469" operator="greaterThan">
      <formula>0</formula>
    </cfRule>
  </conditionalFormatting>
  <conditionalFormatting sqref="J37">
    <cfRule type="cellIs" dxfId="3643" priority="465" operator="lessThan">
      <formula>0</formula>
    </cfRule>
    <cfRule type="cellIs" dxfId="3642" priority="466" operator="greaterThan">
      <formula>0</formula>
    </cfRule>
  </conditionalFormatting>
  <conditionalFormatting sqref="J37">
    <cfRule type="cellIs" dxfId="3641" priority="464" operator="equal">
      <formula>"-"</formula>
    </cfRule>
  </conditionalFormatting>
  <conditionalFormatting sqref="J38">
    <cfRule type="cellIs" dxfId="3640" priority="462" operator="lessThan">
      <formula>0</formula>
    </cfRule>
    <cfRule type="cellIs" dxfId="3639" priority="463" operator="greaterThan">
      <formula>0</formula>
    </cfRule>
  </conditionalFormatting>
  <conditionalFormatting sqref="J38">
    <cfRule type="cellIs" dxfId="3638" priority="461" operator="equal">
      <formula>"-"</formula>
    </cfRule>
  </conditionalFormatting>
  <conditionalFormatting sqref="J56:J67">
    <cfRule type="cellIs" dxfId="3637" priority="458" operator="equal">
      <formula>"-"</formula>
    </cfRule>
    <cfRule type="cellIs" dxfId="3636" priority="459" operator="lessThan">
      <formula>0</formula>
    </cfRule>
    <cfRule type="cellIs" dxfId="3635" priority="460" operator="greaterThan">
      <formula>0</formula>
    </cfRule>
  </conditionalFormatting>
  <conditionalFormatting sqref="J68:J70 J72:J78">
    <cfRule type="cellIs" dxfId="3634" priority="456" operator="lessThan">
      <formula>0</formula>
    </cfRule>
    <cfRule type="cellIs" dxfId="3633" priority="457" operator="greaterThan">
      <formula>0</formula>
    </cfRule>
  </conditionalFormatting>
  <conditionalFormatting sqref="J68:J70 J72:J78">
    <cfRule type="cellIs" dxfId="3632" priority="455" operator="equal">
      <formula>"-"</formula>
    </cfRule>
  </conditionalFormatting>
  <conditionalFormatting sqref="J81">
    <cfRule type="cellIs" dxfId="3631" priority="453" operator="lessThan">
      <formula>0</formula>
    </cfRule>
    <cfRule type="cellIs" dxfId="3630" priority="454" operator="greaterThan">
      <formula>0</formula>
    </cfRule>
  </conditionalFormatting>
  <conditionalFormatting sqref="J81">
    <cfRule type="cellIs" dxfId="3629" priority="452" operator="equal">
      <formula>"-"</formula>
    </cfRule>
  </conditionalFormatting>
  <conditionalFormatting sqref="J82">
    <cfRule type="cellIs" dxfId="3628" priority="450" operator="lessThan">
      <formula>0</formula>
    </cfRule>
    <cfRule type="cellIs" dxfId="3627" priority="451" operator="greaterThan">
      <formula>0</formula>
    </cfRule>
  </conditionalFormatting>
  <conditionalFormatting sqref="J82">
    <cfRule type="cellIs" dxfId="3626" priority="449" operator="equal">
      <formula>"-"</formula>
    </cfRule>
  </conditionalFormatting>
  <conditionalFormatting sqref="J79">
    <cfRule type="cellIs" dxfId="3625" priority="447" operator="lessThan">
      <formula>0</formula>
    </cfRule>
    <cfRule type="cellIs" dxfId="3624" priority="448" operator="greaterThan">
      <formula>0</formula>
    </cfRule>
  </conditionalFormatting>
  <conditionalFormatting sqref="J79">
    <cfRule type="cellIs" dxfId="3623" priority="446" operator="equal">
      <formula>"-"</formula>
    </cfRule>
  </conditionalFormatting>
  <conditionalFormatting sqref="J80">
    <cfRule type="cellIs" dxfId="3622" priority="444" operator="lessThan">
      <formula>0</formula>
    </cfRule>
    <cfRule type="cellIs" dxfId="3621" priority="445" operator="greaterThan">
      <formula>0</formula>
    </cfRule>
  </conditionalFormatting>
  <conditionalFormatting sqref="J80">
    <cfRule type="cellIs" dxfId="3620" priority="443" operator="equal">
      <formula>"-"</formula>
    </cfRule>
  </conditionalFormatting>
  <conditionalFormatting sqref="J84:J87">
    <cfRule type="cellIs" dxfId="3619" priority="441" operator="lessThan">
      <formula>0</formula>
    </cfRule>
    <cfRule type="cellIs" dxfId="3618" priority="442" operator="greaterThan">
      <formula>0</formula>
    </cfRule>
  </conditionalFormatting>
  <conditionalFormatting sqref="J84:J87">
    <cfRule type="cellIs" dxfId="3617" priority="440" operator="equal">
      <formula>"-"</formula>
    </cfRule>
  </conditionalFormatting>
  <conditionalFormatting sqref="J51">
    <cfRule type="cellIs" dxfId="3616" priority="438" operator="lessThan">
      <formula>0</formula>
    </cfRule>
    <cfRule type="cellIs" dxfId="3615" priority="439" operator="greaterThan">
      <formula>0</formula>
    </cfRule>
  </conditionalFormatting>
  <conditionalFormatting sqref="J51">
    <cfRule type="cellIs" dxfId="3614" priority="437" operator="equal">
      <formula>"-"</formula>
    </cfRule>
  </conditionalFormatting>
  <conditionalFormatting sqref="J52">
    <cfRule type="cellIs" dxfId="3613" priority="435" operator="lessThan">
      <formula>0</formula>
    </cfRule>
    <cfRule type="cellIs" dxfId="3612" priority="436" operator="greaterThan">
      <formula>0</formula>
    </cfRule>
  </conditionalFormatting>
  <conditionalFormatting sqref="J52">
    <cfRule type="cellIs" dxfId="3611" priority="434" operator="equal">
      <formula>"-"</formula>
    </cfRule>
  </conditionalFormatting>
  <conditionalFormatting sqref="J53">
    <cfRule type="cellIs" dxfId="3610" priority="432" operator="lessThan">
      <formula>0</formula>
    </cfRule>
    <cfRule type="cellIs" dxfId="3609" priority="433" operator="greaterThan">
      <formula>0</formula>
    </cfRule>
  </conditionalFormatting>
  <conditionalFormatting sqref="J53">
    <cfRule type="cellIs" dxfId="3608" priority="431" operator="equal">
      <formula>"-"</formula>
    </cfRule>
  </conditionalFormatting>
  <conditionalFormatting sqref="J12:J14 J16:J18">
    <cfRule type="cellIs" dxfId="3607" priority="428" operator="equal">
      <formula>"-"</formula>
    </cfRule>
    <cfRule type="cellIs" dxfId="3606" priority="429" operator="lessThan">
      <formula>0</formula>
    </cfRule>
    <cfRule type="cellIs" dxfId="3605" priority="430" operator="greaterThan">
      <formula>0</formula>
    </cfRule>
  </conditionalFormatting>
  <conditionalFormatting sqref="J3:J11">
    <cfRule type="cellIs" dxfId="3604" priority="425" operator="equal">
      <formula>"-"</formula>
    </cfRule>
    <cfRule type="cellIs" dxfId="3603" priority="426" operator="lessThan">
      <formula>0</formula>
    </cfRule>
    <cfRule type="cellIs" dxfId="3602" priority="427" operator="greaterThan">
      <formula>0</formula>
    </cfRule>
  </conditionalFormatting>
  <conditionalFormatting sqref="J21:J22 J24:J26">
    <cfRule type="cellIs" dxfId="3601" priority="422" operator="equal">
      <formula>"-"</formula>
    </cfRule>
    <cfRule type="cellIs" dxfId="3600" priority="423" operator="lessThan">
      <formula>0</formula>
    </cfRule>
    <cfRule type="cellIs" dxfId="3599" priority="424" operator="greaterThan">
      <formula>0</formula>
    </cfRule>
  </conditionalFormatting>
  <conditionalFormatting sqref="J33">
    <cfRule type="cellIs" dxfId="3598" priority="419" operator="equal">
      <formula>"-"</formula>
    </cfRule>
    <cfRule type="cellIs" dxfId="3597" priority="420" operator="lessThan">
      <formula>0</formula>
    </cfRule>
    <cfRule type="cellIs" dxfId="3596" priority="421" operator="greaterThan">
      <formula>0</formula>
    </cfRule>
  </conditionalFormatting>
  <conditionalFormatting sqref="J34:J35">
    <cfRule type="cellIs" dxfId="3595" priority="416" operator="equal">
      <formula>"-"</formula>
    </cfRule>
    <cfRule type="cellIs" dxfId="3594" priority="417" operator="lessThan">
      <formula>0</formula>
    </cfRule>
    <cfRule type="cellIs" dxfId="3593" priority="418" operator="greaterThan">
      <formula>0</formula>
    </cfRule>
  </conditionalFormatting>
  <conditionalFormatting sqref="J47">
    <cfRule type="cellIs" dxfId="3592" priority="413" operator="equal">
      <formula>"-"</formula>
    </cfRule>
    <cfRule type="cellIs" dxfId="3591" priority="414" operator="lessThan">
      <formula>0</formula>
    </cfRule>
    <cfRule type="cellIs" dxfId="3590" priority="415" operator="greaterThan">
      <formula>0</formula>
    </cfRule>
  </conditionalFormatting>
  <conditionalFormatting sqref="J49:J50">
    <cfRule type="cellIs" dxfId="3589" priority="410" operator="equal">
      <formula>"-"</formula>
    </cfRule>
    <cfRule type="cellIs" dxfId="3588" priority="411" operator="lessThan">
      <formula>0</formula>
    </cfRule>
    <cfRule type="cellIs" dxfId="3587" priority="412" operator="greaterThan">
      <formula>0</formula>
    </cfRule>
  </conditionalFormatting>
  <conditionalFormatting sqref="J15">
    <cfRule type="cellIs" dxfId="3586" priority="407" operator="equal">
      <formula>"-"</formula>
    </cfRule>
    <cfRule type="cellIs" dxfId="3585" priority="408" operator="lessThan">
      <formula>0</formula>
    </cfRule>
    <cfRule type="cellIs" dxfId="3584" priority="409" operator="greaterThan">
      <formula>0</formula>
    </cfRule>
  </conditionalFormatting>
  <conditionalFormatting sqref="J23">
    <cfRule type="cellIs" dxfId="3583" priority="404" operator="equal">
      <formula>"-"</formula>
    </cfRule>
    <cfRule type="cellIs" dxfId="3582" priority="405" operator="lessThan">
      <formula>0</formula>
    </cfRule>
    <cfRule type="cellIs" dxfId="3581" priority="406" operator="greaterThan">
      <formula>0</formula>
    </cfRule>
  </conditionalFormatting>
  <conditionalFormatting sqref="J36">
    <cfRule type="cellIs" dxfId="3580" priority="401" operator="equal">
      <formula>"-"</formula>
    </cfRule>
    <cfRule type="cellIs" dxfId="3579" priority="402" operator="lessThan">
      <formula>0</formula>
    </cfRule>
    <cfRule type="cellIs" dxfId="3578" priority="403" operator="greaterThan">
      <formula>0</formula>
    </cfRule>
  </conditionalFormatting>
  <conditionalFormatting sqref="J48">
    <cfRule type="cellIs" dxfId="3577" priority="398" operator="equal">
      <formula>"-"</formula>
    </cfRule>
    <cfRule type="cellIs" dxfId="3576" priority="399" operator="lessThan">
      <formula>0</formula>
    </cfRule>
    <cfRule type="cellIs" dxfId="3575" priority="400" operator="greaterThan">
      <formula>0</formula>
    </cfRule>
  </conditionalFormatting>
  <conditionalFormatting sqref="J71">
    <cfRule type="cellIs" dxfId="3574" priority="396" operator="lessThan">
      <formula>0</formula>
    </cfRule>
    <cfRule type="cellIs" dxfId="3573" priority="397" operator="greaterThan">
      <formula>0</formula>
    </cfRule>
  </conditionalFormatting>
  <conditionalFormatting sqref="J71">
    <cfRule type="cellIs" dxfId="3572" priority="395" operator="equal">
      <formula>"-"</formula>
    </cfRule>
  </conditionalFormatting>
  <conditionalFormatting sqref="J83">
    <cfRule type="cellIs" dxfId="3571" priority="393" operator="lessThan">
      <formula>0</formula>
    </cfRule>
    <cfRule type="cellIs" dxfId="3570" priority="394" operator="greaterThan">
      <formula>0</formula>
    </cfRule>
  </conditionalFormatting>
  <conditionalFormatting sqref="J83">
    <cfRule type="cellIs" dxfId="3569" priority="392" operator="equal">
      <formula>"-"</formula>
    </cfRule>
  </conditionalFormatting>
  <conditionalFormatting sqref="H2">
    <cfRule type="containsText" dxfId="3568" priority="388" operator="containsText" text="NEUTRO">
      <formula>NOT(ISERROR(SEARCH("NEUTRO",H2)))</formula>
    </cfRule>
    <cfRule type="containsText" dxfId="3567" priority="389" operator="containsText" text="BULLISH">
      <formula>NOT(ISERROR(SEARCH("BULLISH",H2)))</formula>
    </cfRule>
    <cfRule type="containsText" dxfId="3566" priority="390" operator="containsText" text="BEARISH">
      <formula>NOT(ISERROR(SEARCH("BEARISH",H2)))</formula>
    </cfRule>
    <cfRule type="containsBlanks" dxfId="3565" priority="391">
      <formula>LEN(TRIM(H2))=0</formula>
    </cfRule>
  </conditionalFormatting>
  <conditionalFormatting sqref="N20">
    <cfRule type="containsText" dxfId="3564" priority="283" operator="containsText" text="NEUTRO">
      <formula>NOT(ISERROR(SEARCH("NEUTRO",N20)))</formula>
    </cfRule>
    <cfRule type="containsText" dxfId="3563" priority="284" operator="containsText" text="BULLISH">
      <formula>NOT(ISERROR(SEARCH("BULLISH",N20)))</formula>
    </cfRule>
    <cfRule type="containsText" dxfId="3562" priority="285" operator="containsText" text="BEARISH">
      <formula>NOT(ISERROR(SEARCH("BEARISH",N20)))</formula>
    </cfRule>
    <cfRule type="containsBlanks" dxfId="3561" priority="286">
      <formula>LEN(TRIM(N20))=0</formula>
    </cfRule>
  </conditionalFormatting>
  <conditionalFormatting sqref="K20">
    <cfRule type="containsText" dxfId="3560" priority="279" operator="containsText" text="NEUTRO">
      <formula>NOT(ISERROR(SEARCH("NEUTRO",K20)))</formula>
    </cfRule>
    <cfRule type="containsText" dxfId="3559" priority="280" operator="containsText" text="BULLISH">
      <formula>NOT(ISERROR(SEARCH("BULLISH",K20)))</formula>
    </cfRule>
    <cfRule type="containsText" dxfId="3558" priority="281" operator="containsText" text="BEARISH">
      <formula>NOT(ISERROR(SEARCH("BEARISH",K20)))</formula>
    </cfRule>
    <cfRule type="containsBlanks" dxfId="3557" priority="282">
      <formula>LEN(TRIM(K20))=0</formula>
    </cfRule>
  </conditionalFormatting>
  <conditionalFormatting sqref="H20 B20 E20">
    <cfRule type="containsText" dxfId="3556" priority="275" operator="containsText" text="NEUTRO">
      <formula>NOT(ISERROR(SEARCH("NEUTRO",B20)))</formula>
    </cfRule>
    <cfRule type="containsText" dxfId="3555" priority="276" operator="containsText" text="BULLISH">
      <formula>NOT(ISERROR(SEARCH("BULLISH",B20)))</formula>
    </cfRule>
    <cfRule type="containsText" dxfId="3554" priority="277" operator="containsText" text="BEARISH">
      <formula>NOT(ISERROR(SEARCH("BEARISH",B20)))</formula>
    </cfRule>
    <cfRule type="containsBlanks" dxfId="3553" priority="278">
      <formula>LEN(TRIM(B20))=0</formula>
    </cfRule>
  </conditionalFormatting>
  <conditionalFormatting sqref="K32">
    <cfRule type="containsText" dxfId="3552" priority="271" operator="containsText" text="NEUTRO">
      <formula>NOT(ISERROR(SEARCH("NEUTRO",K32)))</formula>
    </cfRule>
    <cfRule type="containsText" dxfId="3551" priority="272" operator="containsText" text="BULLISH">
      <formula>NOT(ISERROR(SEARCH("BULLISH",K32)))</formula>
    </cfRule>
    <cfRule type="containsText" dxfId="3550" priority="273" operator="containsText" text="BEARISH">
      <formula>NOT(ISERROR(SEARCH("BEARISH",K32)))</formula>
    </cfRule>
    <cfRule type="containsBlanks" dxfId="3549" priority="274">
      <formula>LEN(TRIM(K32))=0</formula>
    </cfRule>
  </conditionalFormatting>
  <conditionalFormatting sqref="H32">
    <cfRule type="containsText" dxfId="3548" priority="267" operator="containsText" text="NEUTRO">
      <formula>NOT(ISERROR(SEARCH("NEUTRO",H32)))</formula>
    </cfRule>
    <cfRule type="containsText" dxfId="3547" priority="268" operator="containsText" text="BULLISH">
      <formula>NOT(ISERROR(SEARCH("BULLISH",H32)))</formula>
    </cfRule>
    <cfRule type="containsText" dxfId="3546" priority="269" operator="containsText" text="BEARISH">
      <formula>NOT(ISERROR(SEARCH("BEARISH",H32)))</formula>
    </cfRule>
    <cfRule type="containsBlanks" dxfId="3545" priority="270">
      <formula>LEN(TRIM(H32))=0</formula>
    </cfRule>
  </conditionalFormatting>
  <conditionalFormatting sqref="K46">
    <cfRule type="containsText" dxfId="3544" priority="263" operator="containsText" text="NEUTRO">
      <formula>NOT(ISERROR(SEARCH("NEUTRO",K46)))</formula>
    </cfRule>
    <cfRule type="containsText" dxfId="3543" priority="264" operator="containsText" text="BULLISH">
      <formula>NOT(ISERROR(SEARCH("BULLISH",K46)))</formula>
    </cfRule>
    <cfRule type="containsText" dxfId="3542" priority="265" operator="containsText" text="BEARISH">
      <formula>NOT(ISERROR(SEARCH("BEARISH",K46)))</formula>
    </cfRule>
    <cfRule type="containsBlanks" dxfId="3541" priority="266">
      <formula>LEN(TRIM(K46))=0</formula>
    </cfRule>
  </conditionalFormatting>
  <conditionalFormatting sqref="H46">
    <cfRule type="containsText" dxfId="3540" priority="259" operator="containsText" text="NEUTRO">
      <formula>NOT(ISERROR(SEARCH("NEUTRO",H46)))</formula>
    </cfRule>
    <cfRule type="containsText" dxfId="3539" priority="260" operator="containsText" text="BULLISH">
      <formula>NOT(ISERROR(SEARCH("BULLISH",H46)))</formula>
    </cfRule>
    <cfRule type="containsText" dxfId="3538" priority="261" operator="containsText" text="BEARISH">
      <formula>NOT(ISERROR(SEARCH("BEARISH",H46)))</formula>
    </cfRule>
    <cfRule type="containsBlanks" dxfId="3537" priority="262">
      <formula>LEN(TRIM(H46))=0</formula>
    </cfRule>
  </conditionalFormatting>
  <conditionalFormatting sqref="K55">
    <cfRule type="containsText" dxfId="3536" priority="255" operator="containsText" text="NEUTRO">
      <formula>NOT(ISERROR(SEARCH("NEUTRO",K55)))</formula>
    </cfRule>
    <cfRule type="containsText" dxfId="3535" priority="256" operator="containsText" text="BULLISH">
      <formula>NOT(ISERROR(SEARCH("BULLISH",K55)))</formula>
    </cfRule>
    <cfRule type="containsText" dxfId="3534" priority="257" operator="containsText" text="BEARISH">
      <formula>NOT(ISERROR(SEARCH("BEARISH",K55)))</formula>
    </cfRule>
    <cfRule type="containsBlanks" dxfId="3533" priority="258">
      <formula>LEN(TRIM(K55))=0</formula>
    </cfRule>
  </conditionalFormatting>
  <conditionalFormatting sqref="H55">
    <cfRule type="containsText" dxfId="3532" priority="251" operator="containsText" text="NEUTRO">
      <formula>NOT(ISERROR(SEARCH("NEUTRO",H55)))</formula>
    </cfRule>
    <cfRule type="containsText" dxfId="3531" priority="252" operator="containsText" text="BULLISH">
      <formula>NOT(ISERROR(SEARCH("BULLISH",H55)))</formula>
    </cfRule>
    <cfRule type="containsText" dxfId="3530" priority="253" operator="containsText" text="BEARISH">
      <formula>NOT(ISERROR(SEARCH("BEARISH",H55)))</formula>
    </cfRule>
    <cfRule type="containsBlanks" dxfId="3529" priority="254">
      <formula>LEN(TRIM(H55))=0</formula>
    </cfRule>
  </conditionalFormatting>
  <conditionalFormatting sqref="K89">
    <cfRule type="containsText" dxfId="3528" priority="247" operator="containsText" text="NEUTRO">
      <formula>NOT(ISERROR(SEARCH("NEUTRO",K89)))</formula>
    </cfRule>
    <cfRule type="containsText" dxfId="3527" priority="248" operator="containsText" text="BULLISH">
      <formula>NOT(ISERROR(SEARCH("BULLISH",K89)))</formula>
    </cfRule>
    <cfRule type="containsText" dxfId="3526" priority="249" operator="containsText" text="BEARISH">
      <formula>NOT(ISERROR(SEARCH("BEARISH",K89)))</formula>
    </cfRule>
    <cfRule type="containsBlanks" dxfId="3525" priority="250">
      <formula>LEN(TRIM(K89))=0</formula>
    </cfRule>
  </conditionalFormatting>
  <conditionalFormatting sqref="H89">
    <cfRule type="containsText" dxfId="3524" priority="243" operator="containsText" text="NEUTRO">
      <formula>NOT(ISERROR(SEARCH("NEUTRO",H89)))</formula>
    </cfRule>
    <cfRule type="containsText" dxfId="3523" priority="244" operator="containsText" text="BULLISH">
      <formula>NOT(ISERROR(SEARCH("BULLISH",H89)))</formula>
    </cfRule>
    <cfRule type="containsText" dxfId="3522" priority="245" operator="containsText" text="BEARISH">
      <formula>NOT(ISERROR(SEARCH("BEARISH",H89)))</formula>
    </cfRule>
    <cfRule type="containsBlanks" dxfId="3521" priority="246">
      <formula>LEN(TRIM(H89))=0</formula>
    </cfRule>
  </conditionalFormatting>
  <conditionalFormatting sqref="G92:G865">
    <cfRule type="colorScale" priority="242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G27:G30">
    <cfRule type="cellIs" dxfId="3520" priority="239" operator="equal">
      <formula>"-"</formula>
    </cfRule>
    <cfRule type="cellIs" dxfId="3519" priority="240" operator="lessThan">
      <formula>0</formula>
    </cfRule>
    <cfRule type="cellIs" dxfId="3518" priority="241" operator="greaterThan">
      <formula>0</formula>
    </cfRule>
  </conditionalFormatting>
  <conditionalFormatting sqref="G39">
    <cfRule type="cellIs" dxfId="3517" priority="237" operator="lessThan">
      <formula>0</formula>
    </cfRule>
    <cfRule type="cellIs" dxfId="3516" priority="238" operator="greaterThan">
      <formula>0</formula>
    </cfRule>
  </conditionalFormatting>
  <conditionalFormatting sqref="G39">
    <cfRule type="cellIs" dxfId="3515" priority="236" operator="equal">
      <formula>"-"</formula>
    </cfRule>
  </conditionalFormatting>
  <conditionalFormatting sqref="G40">
    <cfRule type="cellIs" dxfId="3514" priority="233" operator="equal">
      <formula>"-"</formula>
    </cfRule>
    <cfRule type="cellIs" dxfId="3513" priority="234" operator="lessThan">
      <formula>0</formula>
    </cfRule>
    <cfRule type="cellIs" dxfId="3512" priority="235" operator="greaterThan">
      <formula>0</formula>
    </cfRule>
  </conditionalFormatting>
  <conditionalFormatting sqref="G41">
    <cfRule type="cellIs" dxfId="3511" priority="230" operator="equal">
      <formula>"-"</formula>
    </cfRule>
    <cfRule type="cellIs" dxfId="3510" priority="231" operator="lessThan">
      <formula>0</formula>
    </cfRule>
    <cfRule type="cellIs" dxfId="3509" priority="232" operator="greaterThan">
      <formula>0</formula>
    </cfRule>
  </conditionalFormatting>
  <conditionalFormatting sqref="G42">
    <cfRule type="cellIs" dxfId="3508" priority="227" operator="equal">
      <formula>"-"</formula>
    </cfRule>
    <cfRule type="cellIs" dxfId="3507" priority="228" operator="lessThan">
      <formula>0</formula>
    </cfRule>
    <cfRule type="cellIs" dxfId="3506" priority="229" operator="greaterThan">
      <formula>0</formula>
    </cfRule>
  </conditionalFormatting>
  <conditionalFormatting sqref="G43">
    <cfRule type="cellIs" dxfId="3505" priority="224" operator="equal">
      <formula>"-"</formula>
    </cfRule>
    <cfRule type="cellIs" dxfId="3504" priority="225" operator="lessThan">
      <formula>0</formula>
    </cfRule>
    <cfRule type="cellIs" dxfId="3503" priority="226" operator="greaterThan">
      <formula>0</formula>
    </cfRule>
  </conditionalFormatting>
  <conditionalFormatting sqref="G44">
    <cfRule type="cellIs" dxfId="3502" priority="221" operator="equal">
      <formula>"-"</formula>
    </cfRule>
    <cfRule type="cellIs" dxfId="3501" priority="222" operator="lessThan">
      <formula>0</formula>
    </cfRule>
    <cfRule type="cellIs" dxfId="3500" priority="223" operator="greaterThan">
      <formula>0</formula>
    </cfRule>
  </conditionalFormatting>
  <conditionalFormatting sqref="G37">
    <cfRule type="cellIs" dxfId="3499" priority="219" operator="lessThan">
      <formula>0</formula>
    </cfRule>
    <cfRule type="cellIs" dxfId="3498" priority="220" operator="greaterThan">
      <formula>0</formula>
    </cfRule>
  </conditionalFormatting>
  <conditionalFormatting sqref="G37">
    <cfRule type="cellIs" dxfId="3497" priority="218" operator="equal">
      <formula>"-"</formula>
    </cfRule>
  </conditionalFormatting>
  <conditionalFormatting sqref="G38">
    <cfRule type="cellIs" dxfId="3496" priority="216" operator="lessThan">
      <formula>0</formula>
    </cfRule>
    <cfRule type="cellIs" dxfId="3495" priority="217" operator="greaterThan">
      <formula>0</formula>
    </cfRule>
  </conditionalFormatting>
  <conditionalFormatting sqref="G38">
    <cfRule type="cellIs" dxfId="3494" priority="215" operator="equal">
      <formula>"-"</formula>
    </cfRule>
  </conditionalFormatting>
  <conditionalFormatting sqref="G56:G67">
    <cfRule type="cellIs" dxfId="3493" priority="212" operator="equal">
      <formula>"-"</formula>
    </cfRule>
    <cfRule type="cellIs" dxfId="3492" priority="213" operator="lessThan">
      <formula>0</formula>
    </cfRule>
    <cfRule type="cellIs" dxfId="3491" priority="214" operator="greaterThan">
      <formula>0</formula>
    </cfRule>
  </conditionalFormatting>
  <conditionalFormatting sqref="G68:G70 G72:G78">
    <cfRule type="cellIs" dxfId="3490" priority="210" operator="lessThan">
      <formula>0</formula>
    </cfRule>
    <cfRule type="cellIs" dxfId="3489" priority="211" operator="greaterThan">
      <formula>0</formula>
    </cfRule>
  </conditionalFormatting>
  <conditionalFormatting sqref="G68:G70 G72:G78">
    <cfRule type="cellIs" dxfId="3488" priority="209" operator="equal">
      <formula>"-"</formula>
    </cfRule>
  </conditionalFormatting>
  <conditionalFormatting sqref="G81">
    <cfRule type="cellIs" dxfId="3487" priority="207" operator="lessThan">
      <formula>0</formula>
    </cfRule>
    <cfRule type="cellIs" dxfId="3486" priority="208" operator="greaterThan">
      <formula>0</formula>
    </cfRule>
  </conditionalFormatting>
  <conditionalFormatting sqref="G81">
    <cfRule type="cellIs" dxfId="3485" priority="206" operator="equal">
      <formula>"-"</formula>
    </cfRule>
  </conditionalFormatting>
  <conditionalFormatting sqref="G82">
    <cfRule type="cellIs" dxfId="3484" priority="204" operator="lessThan">
      <formula>0</formula>
    </cfRule>
    <cfRule type="cellIs" dxfId="3483" priority="205" operator="greaterThan">
      <formula>0</formula>
    </cfRule>
  </conditionalFormatting>
  <conditionalFormatting sqref="G82">
    <cfRule type="cellIs" dxfId="3482" priority="203" operator="equal">
      <formula>"-"</formula>
    </cfRule>
  </conditionalFormatting>
  <conditionalFormatting sqref="G79">
    <cfRule type="cellIs" dxfId="3481" priority="201" operator="lessThan">
      <formula>0</formula>
    </cfRule>
    <cfRule type="cellIs" dxfId="3480" priority="202" operator="greaterThan">
      <formula>0</formula>
    </cfRule>
  </conditionalFormatting>
  <conditionalFormatting sqref="G79">
    <cfRule type="cellIs" dxfId="3479" priority="200" operator="equal">
      <formula>"-"</formula>
    </cfRule>
  </conditionalFormatting>
  <conditionalFormatting sqref="G80">
    <cfRule type="cellIs" dxfId="3478" priority="198" operator="lessThan">
      <formula>0</formula>
    </cfRule>
    <cfRule type="cellIs" dxfId="3477" priority="199" operator="greaterThan">
      <formula>0</formula>
    </cfRule>
  </conditionalFormatting>
  <conditionalFormatting sqref="G80">
    <cfRule type="cellIs" dxfId="3476" priority="197" operator="equal">
      <formula>"-"</formula>
    </cfRule>
  </conditionalFormatting>
  <conditionalFormatting sqref="G84:G87">
    <cfRule type="cellIs" dxfId="3475" priority="195" operator="lessThan">
      <formula>0</formula>
    </cfRule>
    <cfRule type="cellIs" dxfId="3474" priority="196" operator="greaterThan">
      <formula>0</formula>
    </cfRule>
  </conditionalFormatting>
  <conditionalFormatting sqref="G84:G87">
    <cfRule type="cellIs" dxfId="3473" priority="194" operator="equal">
      <formula>"-"</formula>
    </cfRule>
  </conditionalFormatting>
  <conditionalFormatting sqref="G51">
    <cfRule type="cellIs" dxfId="3472" priority="192" operator="lessThan">
      <formula>0</formula>
    </cfRule>
    <cfRule type="cellIs" dxfId="3471" priority="193" operator="greaterThan">
      <formula>0</formula>
    </cfRule>
  </conditionalFormatting>
  <conditionalFormatting sqref="G51">
    <cfRule type="cellIs" dxfId="3470" priority="191" operator="equal">
      <formula>"-"</formula>
    </cfRule>
  </conditionalFormatting>
  <conditionalFormatting sqref="G52">
    <cfRule type="cellIs" dxfId="3469" priority="189" operator="lessThan">
      <formula>0</formula>
    </cfRule>
    <cfRule type="cellIs" dxfId="3468" priority="190" operator="greaterThan">
      <formula>0</formula>
    </cfRule>
  </conditionalFormatting>
  <conditionalFormatting sqref="G52">
    <cfRule type="cellIs" dxfId="3467" priority="188" operator="equal">
      <formula>"-"</formula>
    </cfRule>
  </conditionalFormatting>
  <conditionalFormatting sqref="G53">
    <cfRule type="cellIs" dxfId="3466" priority="186" operator="lessThan">
      <formula>0</formula>
    </cfRule>
    <cfRule type="cellIs" dxfId="3465" priority="187" operator="greaterThan">
      <formula>0</formula>
    </cfRule>
  </conditionalFormatting>
  <conditionalFormatting sqref="G53">
    <cfRule type="cellIs" dxfId="3464" priority="185" operator="equal">
      <formula>"-"</formula>
    </cfRule>
  </conditionalFormatting>
  <conditionalFormatting sqref="G12:G14 G16:G18">
    <cfRule type="cellIs" dxfId="3463" priority="182" operator="equal">
      <formula>"-"</formula>
    </cfRule>
    <cfRule type="cellIs" dxfId="3462" priority="183" operator="lessThan">
      <formula>0</formula>
    </cfRule>
    <cfRule type="cellIs" dxfId="3461" priority="184" operator="greaterThan">
      <formula>0</formula>
    </cfRule>
  </conditionalFormatting>
  <conditionalFormatting sqref="G3:G11">
    <cfRule type="cellIs" dxfId="3460" priority="179" operator="equal">
      <formula>"-"</formula>
    </cfRule>
    <cfRule type="cellIs" dxfId="3459" priority="180" operator="lessThan">
      <formula>0</formula>
    </cfRule>
    <cfRule type="cellIs" dxfId="3458" priority="181" operator="greaterThan">
      <formula>0</formula>
    </cfRule>
  </conditionalFormatting>
  <conditionalFormatting sqref="G21:G22 G24:G26">
    <cfRule type="cellIs" dxfId="3457" priority="176" operator="equal">
      <formula>"-"</formula>
    </cfRule>
    <cfRule type="cellIs" dxfId="3456" priority="177" operator="lessThan">
      <formula>0</formula>
    </cfRule>
    <cfRule type="cellIs" dxfId="3455" priority="178" operator="greaterThan">
      <formula>0</formula>
    </cfRule>
  </conditionalFormatting>
  <conditionalFormatting sqref="G33">
    <cfRule type="cellIs" dxfId="3454" priority="173" operator="equal">
      <formula>"-"</formula>
    </cfRule>
    <cfRule type="cellIs" dxfId="3453" priority="174" operator="lessThan">
      <formula>0</formula>
    </cfRule>
    <cfRule type="cellIs" dxfId="3452" priority="175" operator="greaterThan">
      <formula>0</formula>
    </cfRule>
  </conditionalFormatting>
  <conditionalFormatting sqref="G34:G35">
    <cfRule type="cellIs" dxfId="3451" priority="170" operator="equal">
      <formula>"-"</formula>
    </cfRule>
    <cfRule type="cellIs" dxfId="3450" priority="171" operator="lessThan">
      <formula>0</formula>
    </cfRule>
    <cfRule type="cellIs" dxfId="3449" priority="172" operator="greaterThan">
      <formula>0</formula>
    </cfRule>
  </conditionalFormatting>
  <conditionalFormatting sqref="G47">
    <cfRule type="cellIs" dxfId="3448" priority="167" operator="equal">
      <formula>"-"</formula>
    </cfRule>
    <cfRule type="cellIs" dxfId="3447" priority="168" operator="lessThan">
      <formula>0</formula>
    </cfRule>
    <cfRule type="cellIs" dxfId="3446" priority="169" operator="greaterThan">
      <formula>0</formula>
    </cfRule>
  </conditionalFormatting>
  <conditionalFormatting sqref="G49:G50">
    <cfRule type="cellIs" dxfId="3445" priority="164" operator="equal">
      <formula>"-"</formula>
    </cfRule>
    <cfRule type="cellIs" dxfId="3444" priority="165" operator="lessThan">
      <formula>0</formula>
    </cfRule>
    <cfRule type="cellIs" dxfId="3443" priority="166" operator="greaterThan">
      <formula>0</formula>
    </cfRule>
  </conditionalFormatting>
  <conditionalFormatting sqref="G15">
    <cfRule type="cellIs" dxfId="3442" priority="161" operator="equal">
      <formula>"-"</formula>
    </cfRule>
    <cfRule type="cellIs" dxfId="3441" priority="162" operator="lessThan">
      <formula>0</formula>
    </cfRule>
    <cfRule type="cellIs" dxfId="3440" priority="163" operator="greaterThan">
      <formula>0</formula>
    </cfRule>
  </conditionalFormatting>
  <conditionalFormatting sqref="G23">
    <cfRule type="cellIs" dxfId="3439" priority="158" operator="equal">
      <formula>"-"</formula>
    </cfRule>
    <cfRule type="cellIs" dxfId="3438" priority="159" operator="lessThan">
      <formula>0</formula>
    </cfRule>
    <cfRule type="cellIs" dxfId="3437" priority="160" operator="greaterThan">
      <formula>0</formula>
    </cfRule>
  </conditionalFormatting>
  <conditionalFormatting sqref="G36">
    <cfRule type="cellIs" dxfId="3436" priority="155" operator="equal">
      <formula>"-"</formula>
    </cfRule>
    <cfRule type="cellIs" dxfId="3435" priority="156" operator="lessThan">
      <formula>0</formula>
    </cfRule>
    <cfRule type="cellIs" dxfId="3434" priority="157" operator="greaterThan">
      <formula>0</formula>
    </cfRule>
  </conditionalFormatting>
  <conditionalFormatting sqref="G48">
    <cfRule type="cellIs" dxfId="3433" priority="152" operator="equal">
      <formula>"-"</formula>
    </cfRule>
    <cfRule type="cellIs" dxfId="3432" priority="153" operator="lessThan">
      <formula>0</formula>
    </cfRule>
    <cfRule type="cellIs" dxfId="3431" priority="154" operator="greaterThan">
      <formula>0</formula>
    </cfRule>
  </conditionalFormatting>
  <conditionalFormatting sqref="G71">
    <cfRule type="cellIs" dxfId="3430" priority="150" operator="lessThan">
      <formula>0</formula>
    </cfRule>
    <cfRule type="cellIs" dxfId="3429" priority="151" operator="greaterThan">
      <formula>0</formula>
    </cfRule>
  </conditionalFormatting>
  <conditionalFormatting sqref="G71">
    <cfRule type="cellIs" dxfId="3428" priority="149" operator="equal">
      <formula>"-"</formula>
    </cfRule>
  </conditionalFormatting>
  <conditionalFormatting sqref="G83">
    <cfRule type="cellIs" dxfId="3427" priority="147" operator="lessThan">
      <formula>0</formula>
    </cfRule>
    <cfRule type="cellIs" dxfId="3426" priority="148" operator="greaterThan">
      <formula>0</formula>
    </cfRule>
  </conditionalFormatting>
  <conditionalFormatting sqref="G83">
    <cfRule type="cellIs" dxfId="3425" priority="146" operator="equal">
      <formula>"-"</formula>
    </cfRule>
  </conditionalFormatting>
  <conditionalFormatting sqref="E2">
    <cfRule type="containsText" dxfId="3424" priority="142" operator="containsText" text="NEUTRO">
      <formula>NOT(ISERROR(SEARCH("NEUTRO",E2)))</formula>
    </cfRule>
    <cfRule type="containsText" dxfId="3423" priority="143" operator="containsText" text="BULLISH">
      <formula>NOT(ISERROR(SEARCH("BULLISH",E2)))</formula>
    </cfRule>
    <cfRule type="containsText" dxfId="3422" priority="144" operator="containsText" text="BEARISH">
      <formula>NOT(ISERROR(SEARCH("BEARISH",E2)))</formula>
    </cfRule>
    <cfRule type="containsBlanks" dxfId="3421" priority="145">
      <formula>LEN(TRIM(E2))=0</formula>
    </cfRule>
  </conditionalFormatting>
  <conditionalFormatting sqref="E32">
    <cfRule type="containsText" dxfId="3420" priority="134" operator="containsText" text="NEUTRO">
      <formula>NOT(ISERROR(SEARCH("NEUTRO",E32)))</formula>
    </cfRule>
    <cfRule type="containsText" dxfId="3419" priority="135" operator="containsText" text="BULLISH">
      <formula>NOT(ISERROR(SEARCH("BULLISH",E32)))</formula>
    </cfRule>
    <cfRule type="containsText" dxfId="3418" priority="136" operator="containsText" text="BEARISH">
      <formula>NOT(ISERROR(SEARCH("BEARISH",E32)))</formula>
    </cfRule>
    <cfRule type="containsBlanks" dxfId="3417" priority="137">
      <formula>LEN(TRIM(E32))=0</formula>
    </cfRule>
  </conditionalFormatting>
  <conditionalFormatting sqref="E46">
    <cfRule type="containsText" dxfId="3416" priority="130" operator="containsText" text="NEUTRO">
      <formula>NOT(ISERROR(SEARCH("NEUTRO",E46)))</formula>
    </cfRule>
    <cfRule type="containsText" dxfId="3415" priority="131" operator="containsText" text="BULLISH">
      <formula>NOT(ISERROR(SEARCH("BULLISH",E46)))</formula>
    </cfRule>
    <cfRule type="containsText" dxfId="3414" priority="132" operator="containsText" text="BEARISH">
      <formula>NOT(ISERROR(SEARCH("BEARISH",E46)))</formula>
    </cfRule>
    <cfRule type="containsBlanks" dxfId="3413" priority="133">
      <formula>LEN(TRIM(E46))=0</formula>
    </cfRule>
  </conditionalFormatting>
  <conditionalFormatting sqref="E55">
    <cfRule type="containsText" dxfId="3412" priority="126" operator="containsText" text="NEUTRO">
      <formula>NOT(ISERROR(SEARCH("NEUTRO",E55)))</formula>
    </cfRule>
    <cfRule type="containsText" dxfId="3411" priority="127" operator="containsText" text="BULLISH">
      <formula>NOT(ISERROR(SEARCH("BULLISH",E55)))</formula>
    </cfRule>
    <cfRule type="containsText" dxfId="3410" priority="128" operator="containsText" text="BEARISH">
      <formula>NOT(ISERROR(SEARCH("BEARISH",E55)))</formula>
    </cfRule>
    <cfRule type="containsBlanks" dxfId="3409" priority="129">
      <formula>LEN(TRIM(E55))=0</formula>
    </cfRule>
  </conditionalFormatting>
  <conditionalFormatting sqref="E89">
    <cfRule type="containsText" dxfId="3408" priority="122" operator="containsText" text="NEUTRO">
      <formula>NOT(ISERROR(SEARCH("NEUTRO",E89)))</formula>
    </cfRule>
    <cfRule type="containsText" dxfId="3407" priority="123" operator="containsText" text="BULLISH">
      <formula>NOT(ISERROR(SEARCH("BULLISH",E89)))</formula>
    </cfRule>
    <cfRule type="containsText" dxfId="3406" priority="124" operator="containsText" text="BEARISH">
      <formula>NOT(ISERROR(SEARCH("BEARISH",E89)))</formula>
    </cfRule>
    <cfRule type="containsBlanks" dxfId="3405" priority="125">
      <formula>LEN(TRIM(E89))=0</formula>
    </cfRule>
  </conditionalFormatting>
  <conditionalFormatting sqref="D92:D865">
    <cfRule type="colorScale" priority="121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D27:D30">
    <cfRule type="cellIs" dxfId="3404" priority="118" operator="equal">
      <formula>"-"</formula>
    </cfRule>
    <cfRule type="cellIs" dxfId="3403" priority="119" operator="lessThan">
      <formula>0</formula>
    </cfRule>
    <cfRule type="cellIs" dxfId="3402" priority="120" operator="greaterThan">
      <formula>0</formula>
    </cfRule>
  </conditionalFormatting>
  <conditionalFormatting sqref="D39">
    <cfRule type="cellIs" dxfId="3401" priority="116" operator="lessThan">
      <formula>0</formula>
    </cfRule>
    <cfRule type="cellIs" dxfId="3400" priority="117" operator="greaterThan">
      <formula>0</formula>
    </cfRule>
  </conditionalFormatting>
  <conditionalFormatting sqref="D39">
    <cfRule type="cellIs" dxfId="3399" priority="115" operator="equal">
      <formula>"-"</formula>
    </cfRule>
  </conditionalFormatting>
  <conditionalFormatting sqref="D40">
    <cfRule type="cellIs" dxfId="3398" priority="112" operator="equal">
      <formula>"-"</formula>
    </cfRule>
    <cfRule type="cellIs" dxfId="3397" priority="113" operator="lessThan">
      <formula>0</formula>
    </cfRule>
    <cfRule type="cellIs" dxfId="3396" priority="114" operator="greaterThan">
      <formula>0</formula>
    </cfRule>
  </conditionalFormatting>
  <conditionalFormatting sqref="D41">
    <cfRule type="cellIs" dxfId="3395" priority="109" operator="equal">
      <formula>"-"</formula>
    </cfRule>
    <cfRule type="cellIs" dxfId="3394" priority="110" operator="lessThan">
      <formula>0</formula>
    </cfRule>
    <cfRule type="cellIs" dxfId="3393" priority="111" operator="greaterThan">
      <formula>0</formula>
    </cfRule>
  </conditionalFormatting>
  <conditionalFormatting sqref="D42">
    <cfRule type="cellIs" dxfId="3392" priority="106" operator="equal">
      <formula>"-"</formula>
    </cfRule>
    <cfRule type="cellIs" dxfId="3391" priority="107" operator="lessThan">
      <formula>0</formula>
    </cfRule>
    <cfRule type="cellIs" dxfId="3390" priority="108" operator="greaterThan">
      <formula>0</formula>
    </cfRule>
  </conditionalFormatting>
  <conditionalFormatting sqref="D43">
    <cfRule type="cellIs" dxfId="3389" priority="103" operator="equal">
      <formula>"-"</formula>
    </cfRule>
    <cfRule type="cellIs" dxfId="3388" priority="104" operator="lessThan">
      <formula>0</formula>
    </cfRule>
    <cfRule type="cellIs" dxfId="3387" priority="105" operator="greaterThan">
      <formula>0</formula>
    </cfRule>
  </conditionalFormatting>
  <conditionalFormatting sqref="D44">
    <cfRule type="cellIs" dxfId="3386" priority="100" operator="equal">
      <formula>"-"</formula>
    </cfRule>
    <cfRule type="cellIs" dxfId="3385" priority="101" operator="lessThan">
      <formula>0</formula>
    </cfRule>
    <cfRule type="cellIs" dxfId="3384" priority="102" operator="greaterThan">
      <formula>0</formula>
    </cfRule>
  </conditionalFormatting>
  <conditionalFormatting sqref="D37">
    <cfRule type="cellIs" dxfId="3383" priority="98" operator="lessThan">
      <formula>0</formula>
    </cfRule>
    <cfRule type="cellIs" dxfId="3382" priority="99" operator="greaterThan">
      <formula>0</formula>
    </cfRule>
  </conditionalFormatting>
  <conditionalFormatting sqref="D37">
    <cfRule type="cellIs" dxfId="3381" priority="97" operator="equal">
      <formula>"-"</formula>
    </cfRule>
  </conditionalFormatting>
  <conditionalFormatting sqref="D38">
    <cfRule type="cellIs" dxfId="3380" priority="95" operator="lessThan">
      <formula>0</formula>
    </cfRule>
    <cfRule type="cellIs" dxfId="3379" priority="96" operator="greaterThan">
      <formula>0</formula>
    </cfRule>
  </conditionalFormatting>
  <conditionalFormatting sqref="D38">
    <cfRule type="cellIs" dxfId="3378" priority="94" operator="equal">
      <formula>"-"</formula>
    </cfRule>
  </conditionalFormatting>
  <conditionalFormatting sqref="D56:D67">
    <cfRule type="cellIs" dxfId="3377" priority="91" operator="equal">
      <formula>"-"</formula>
    </cfRule>
    <cfRule type="cellIs" dxfId="3376" priority="92" operator="lessThan">
      <formula>0</formula>
    </cfRule>
    <cfRule type="cellIs" dxfId="3375" priority="93" operator="greaterThan">
      <formula>0</formula>
    </cfRule>
  </conditionalFormatting>
  <conditionalFormatting sqref="D68:D70 D72:D78">
    <cfRule type="cellIs" dxfId="3374" priority="89" operator="lessThan">
      <formula>0</formula>
    </cfRule>
    <cfRule type="cellIs" dxfId="3373" priority="90" operator="greaterThan">
      <formula>0</formula>
    </cfRule>
  </conditionalFormatting>
  <conditionalFormatting sqref="D68:D70 D72:D78">
    <cfRule type="cellIs" dxfId="3372" priority="88" operator="equal">
      <formula>"-"</formula>
    </cfRule>
  </conditionalFormatting>
  <conditionalFormatting sqref="D81">
    <cfRule type="cellIs" dxfId="3371" priority="86" operator="lessThan">
      <formula>0</formula>
    </cfRule>
    <cfRule type="cellIs" dxfId="3370" priority="87" operator="greaterThan">
      <formula>0</formula>
    </cfRule>
  </conditionalFormatting>
  <conditionalFormatting sqref="D81">
    <cfRule type="cellIs" dxfId="3369" priority="85" operator="equal">
      <formula>"-"</formula>
    </cfRule>
  </conditionalFormatting>
  <conditionalFormatting sqref="D82">
    <cfRule type="cellIs" dxfId="3368" priority="83" operator="lessThan">
      <formula>0</formula>
    </cfRule>
    <cfRule type="cellIs" dxfId="3367" priority="84" operator="greaterThan">
      <formula>0</formula>
    </cfRule>
  </conditionalFormatting>
  <conditionalFormatting sqref="D82">
    <cfRule type="cellIs" dxfId="3366" priority="82" operator="equal">
      <formula>"-"</formula>
    </cfRule>
  </conditionalFormatting>
  <conditionalFormatting sqref="D79">
    <cfRule type="cellIs" dxfId="3365" priority="80" operator="lessThan">
      <formula>0</formula>
    </cfRule>
    <cfRule type="cellIs" dxfId="3364" priority="81" operator="greaterThan">
      <formula>0</formula>
    </cfRule>
  </conditionalFormatting>
  <conditionalFormatting sqref="D79">
    <cfRule type="cellIs" dxfId="3363" priority="79" operator="equal">
      <formula>"-"</formula>
    </cfRule>
  </conditionalFormatting>
  <conditionalFormatting sqref="D80">
    <cfRule type="cellIs" dxfId="3362" priority="77" operator="lessThan">
      <formula>0</formula>
    </cfRule>
    <cfRule type="cellIs" dxfId="3361" priority="78" operator="greaterThan">
      <formula>0</formula>
    </cfRule>
  </conditionalFormatting>
  <conditionalFormatting sqref="D80">
    <cfRule type="cellIs" dxfId="3360" priority="76" operator="equal">
      <formula>"-"</formula>
    </cfRule>
  </conditionalFormatting>
  <conditionalFormatting sqref="D84:D87">
    <cfRule type="cellIs" dxfId="3359" priority="74" operator="lessThan">
      <formula>0</formula>
    </cfRule>
    <cfRule type="cellIs" dxfId="3358" priority="75" operator="greaterThan">
      <formula>0</formula>
    </cfRule>
  </conditionalFormatting>
  <conditionalFormatting sqref="D84:D87">
    <cfRule type="cellIs" dxfId="3357" priority="73" operator="equal">
      <formula>"-"</formula>
    </cfRule>
  </conditionalFormatting>
  <conditionalFormatting sqref="D51">
    <cfRule type="cellIs" dxfId="3356" priority="71" operator="lessThan">
      <formula>0</formula>
    </cfRule>
    <cfRule type="cellIs" dxfId="3355" priority="72" operator="greaterThan">
      <formula>0</formula>
    </cfRule>
  </conditionalFormatting>
  <conditionalFormatting sqref="D51">
    <cfRule type="cellIs" dxfId="3354" priority="70" operator="equal">
      <formula>"-"</formula>
    </cfRule>
  </conditionalFormatting>
  <conditionalFormatting sqref="D52">
    <cfRule type="cellIs" dxfId="3353" priority="68" operator="lessThan">
      <formula>0</formula>
    </cfRule>
    <cfRule type="cellIs" dxfId="3352" priority="69" operator="greaterThan">
      <formula>0</formula>
    </cfRule>
  </conditionalFormatting>
  <conditionalFormatting sqref="D52">
    <cfRule type="cellIs" dxfId="3351" priority="67" operator="equal">
      <formula>"-"</formula>
    </cfRule>
  </conditionalFormatting>
  <conditionalFormatting sqref="D53">
    <cfRule type="cellIs" dxfId="3350" priority="65" operator="lessThan">
      <formula>0</formula>
    </cfRule>
    <cfRule type="cellIs" dxfId="3349" priority="66" operator="greaterThan">
      <formula>0</formula>
    </cfRule>
  </conditionalFormatting>
  <conditionalFormatting sqref="D53">
    <cfRule type="cellIs" dxfId="3348" priority="64" operator="equal">
      <formula>"-"</formula>
    </cfRule>
  </conditionalFormatting>
  <conditionalFormatting sqref="D12:D14 D16:D18">
    <cfRule type="cellIs" dxfId="3347" priority="61" operator="equal">
      <formula>"-"</formula>
    </cfRule>
    <cfRule type="cellIs" dxfId="3346" priority="62" operator="lessThan">
      <formula>0</formula>
    </cfRule>
    <cfRule type="cellIs" dxfId="3345" priority="63" operator="greaterThan">
      <formula>0</formula>
    </cfRule>
  </conditionalFormatting>
  <conditionalFormatting sqref="D3:D11">
    <cfRule type="cellIs" dxfId="3344" priority="58" operator="equal">
      <formula>"-"</formula>
    </cfRule>
    <cfRule type="cellIs" dxfId="3343" priority="59" operator="lessThan">
      <formula>0</formula>
    </cfRule>
    <cfRule type="cellIs" dxfId="3342" priority="60" operator="greaterThan">
      <formula>0</formula>
    </cfRule>
  </conditionalFormatting>
  <conditionalFormatting sqref="D21:D22 D24:D26">
    <cfRule type="cellIs" dxfId="3341" priority="55" operator="equal">
      <formula>"-"</formula>
    </cfRule>
    <cfRule type="cellIs" dxfId="3340" priority="56" operator="lessThan">
      <formula>0</formula>
    </cfRule>
    <cfRule type="cellIs" dxfId="3339" priority="57" operator="greaterThan">
      <formula>0</formula>
    </cfRule>
  </conditionalFormatting>
  <conditionalFormatting sqref="D33">
    <cfRule type="cellIs" dxfId="3338" priority="52" operator="equal">
      <formula>"-"</formula>
    </cfRule>
    <cfRule type="cellIs" dxfId="3337" priority="53" operator="lessThan">
      <formula>0</formula>
    </cfRule>
    <cfRule type="cellIs" dxfId="3336" priority="54" operator="greaterThan">
      <formula>0</formula>
    </cfRule>
  </conditionalFormatting>
  <conditionalFormatting sqref="D34:D35">
    <cfRule type="cellIs" dxfId="3335" priority="49" operator="equal">
      <formula>"-"</formula>
    </cfRule>
    <cfRule type="cellIs" dxfId="3334" priority="50" operator="lessThan">
      <formula>0</formula>
    </cfRule>
    <cfRule type="cellIs" dxfId="3333" priority="51" operator="greaterThan">
      <formula>0</formula>
    </cfRule>
  </conditionalFormatting>
  <conditionalFormatting sqref="D47">
    <cfRule type="cellIs" dxfId="3332" priority="46" operator="equal">
      <formula>"-"</formula>
    </cfRule>
    <cfRule type="cellIs" dxfId="3331" priority="47" operator="lessThan">
      <formula>0</formula>
    </cfRule>
    <cfRule type="cellIs" dxfId="3330" priority="48" operator="greaterThan">
      <formula>0</formula>
    </cfRule>
  </conditionalFormatting>
  <conditionalFormatting sqref="D49:D50">
    <cfRule type="cellIs" dxfId="3329" priority="43" operator="equal">
      <formula>"-"</formula>
    </cfRule>
    <cfRule type="cellIs" dxfId="3328" priority="44" operator="lessThan">
      <formula>0</formula>
    </cfRule>
    <cfRule type="cellIs" dxfId="3327" priority="45" operator="greaterThan">
      <formula>0</formula>
    </cfRule>
  </conditionalFormatting>
  <conditionalFormatting sqref="D15">
    <cfRule type="cellIs" dxfId="3326" priority="40" operator="equal">
      <formula>"-"</formula>
    </cfRule>
    <cfRule type="cellIs" dxfId="3325" priority="41" operator="lessThan">
      <formula>0</formula>
    </cfRule>
    <cfRule type="cellIs" dxfId="3324" priority="42" operator="greaterThan">
      <formula>0</formula>
    </cfRule>
  </conditionalFormatting>
  <conditionalFormatting sqref="D23">
    <cfRule type="cellIs" dxfId="3323" priority="37" operator="equal">
      <formula>"-"</formula>
    </cfRule>
    <cfRule type="cellIs" dxfId="3322" priority="38" operator="lessThan">
      <formula>0</formula>
    </cfRule>
    <cfRule type="cellIs" dxfId="3321" priority="39" operator="greaterThan">
      <formula>0</formula>
    </cfRule>
  </conditionalFormatting>
  <conditionalFormatting sqref="D36">
    <cfRule type="cellIs" dxfId="3320" priority="34" operator="equal">
      <formula>"-"</formula>
    </cfRule>
    <cfRule type="cellIs" dxfId="3319" priority="35" operator="lessThan">
      <formula>0</formula>
    </cfRule>
    <cfRule type="cellIs" dxfId="3318" priority="36" operator="greaterThan">
      <formula>0</formula>
    </cfRule>
  </conditionalFormatting>
  <conditionalFormatting sqref="D48">
    <cfRule type="cellIs" dxfId="3317" priority="31" operator="equal">
      <formula>"-"</formula>
    </cfRule>
    <cfRule type="cellIs" dxfId="3316" priority="32" operator="lessThan">
      <formula>0</formula>
    </cfRule>
    <cfRule type="cellIs" dxfId="3315" priority="33" operator="greaterThan">
      <formula>0</formula>
    </cfRule>
  </conditionalFormatting>
  <conditionalFormatting sqref="D71">
    <cfRule type="cellIs" dxfId="3314" priority="29" operator="lessThan">
      <formula>0</formula>
    </cfRule>
    <cfRule type="cellIs" dxfId="3313" priority="30" operator="greaterThan">
      <formula>0</formula>
    </cfRule>
  </conditionalFormatting>
  <conditionalFormatting sqref="D71">
    <cfRule type="cellIs" dxfId="3312" priority="28" operator="equal">
      <formula>"-"</formula>
    </cfRule>
  </conditionalFormatting>
  <conditionalFormatting sqref="D83">
    <cfRule type="cellIs" dxfId="3311" priority="26" operator="lessThan">
      <formula>0</formula>
    </cfRule>
    <cfRule type="cellIs" dxfId="3310" priority="27" operator="greaterThan">
      <formula>0</formula>
    </cfRule>
  </conditionalFormatting>
  <conditionalFormatting sqref="D83">
    <cfRule type="cellIs" dxfId="3309" priority="25" operator="equal">
      <formula>"-"</formula>
    </cfRule>
  </conditionalFormatting>
  <conditionalFormatting sqref="B2">
    <cfRule type="containsText" dxfId="3308" priority="21" operator="containsText" text="NEUTRO">
      <formula>NOT(ISERROR(SEARCH("NEUTRO",B2)))</formula>
    </cfRule>
    <cfRule type="containsText" dxfId="3307" priority="22" operator="containsText" text="BULLISH">
      <formula>NOT(ISERROR(SEARCH("BULLISH",B2)))</formula>
    </cfRule>
    <cfRule type="containsText" dxfId="3306" priority="23" operator="containsText" text="BEARISH">
      <formula>NOT(ISERROR(SEARCH("BEARISH",B2)))</formula>
    </cfRule>
    <cfRule type="containsBlanks" dxfId="3305" priority="24">
      <formula>LEN(TRIM(B2))=0</formula>
    </cfRule>
  </conditionalFormatting>
  <conditionalFormatting sqref="B32">
    <cfRule type="containsText" dxfId="3304" priority="13" operator="containsText" text="NEUTRO">
      <formula>NOT(ISERROR(SEARCH("NEUTRO",B32)))</formula>
    </cfRule>
    <cfRule type="containsText" dxfId="3303" priority="14" operator="containsText" text="BULLISH">
      <formula>NOT(ISERROR(SEARCH("BULLISH",B32)))</formula>
    </cfRule>
    <cfRule type="containsText" dxfId="3302" priority="15" operator="containsText" text="BEARISH">
      <formula>NOT(ISERROR(SEARCH("BEARISH",B32)))</formula>
    </cfRule>
    <cfRule type="containsBlanks" dxfId="3301" priority="16">
      <formula>LEN(TRIM(B32))=0</formula>
    </cfRule>
  </conditionalFormatting>
  <conditionalFormatting sqref="B46">
    <cfRule type="containsText" dxfId="3300" priority="9" operator="containsText" text="NEUTRO">
      <formula>NOT(ISERROR(SEARCH("NEUTRO",B46)))</formula>
    </cfRule>
    <cfRule type="containsText" dxfId="3299" priority="10" operator="containsText" text="BULLISH">
      <formula>NOT(ISERROR(SEARCH("BULLISH",B46)))</formula>
    </cfRule>
    <cfRule type="containsText" dxfId="3298" priority="11" operator="containsText" text="BEARISH">
      <formula>NOT(ISERROR(SEARCH("BEARISH",B46)))</formula>
    </cfRule>
    <cfRule type="containsBlanks" dxfId="3297" priority="12">
      <formula>LEN(TRIM(B46))=0</formula>
    </cfRule>
  </conditionalFormatting>
  <conditionalFormatting sqref="B55">
    <cfRule type="containsText" dxfId="3296" priority="5" operator="containsText" text="NEUTRO">
      <formula>NOT(ISERROR(SEARCH("NEUTRO",B55)))</formula>
    </cfRule>
    <cfRule type="containsText" dxfId="3295" priority="6" operator="containsText" text="BULLISH">
      <formula>NOT(ISERROR(SEARCH("BULLISH",B55)))</formula>
    </cfRule>
    <cfRule type="containsText" dxfId="3294" priority="7" operator="containsText" text="BEARISH">
      <formula>NOT(ISERROR(SEARCH("BEARISH",B55)))</formula>
    </cfRule>
    <cfRule type="containsBlanks" dxfId="3293" priority="8">
      <formula>LEN(TRIM(B55))=0</formula>
    </cfRule>
  </conditionalFormatting>
  <conditionalFormatting sqref="B89">
    <cfRule type="containsText" dxfId="3292" priority="1" operator="containsText" text="NEUTRO">
      <formula>NOT(ISERROR(SEARCH("NEUTRO",B89)))</formula>
    </cfRule>
    <cfRule type="containsText" dxfId="3291" priority="2" operator="containsText" text="BULLISH">
      <formula>NOT(ISERROR(SEARCH("BULLISH",B89)))</formula>
    </cfRule>
    <cfRule type="containsText" dxfId="3290" priority="3" operator="containsText" text="BEARISH">
      <formula>NOT(ISERROR(SEARCH("BEARISH",B89)))</formula>
    </cfRule>
    <cfRule type="containsBlanks" dxfId="3289" priority="4">
      <formula>LEN(TRIM(B89))=0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Hoja2.bce">
                <anchor moveWithCells="1">
                  <from>
                    <xdr:col>0</xdr:col>
                    <xdr:colOff>533400</xdr:colOff>
                    <xdr:row>0</xdr:row>
                    <xdr:rowOff>28575</xdr:rowOff>
                  </from>
                  <to>
                    <xdr:col>1</xdr:col>
                    <xdr:colOff>0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AW59"/>
  <sheetViews>
    <sheetView tabSelected="1" zoomScale="70" zoomScaleNormal="70" workbookViewId="0">
      <selection activeCell="C9" sqref="C9"/>
    </sheetView>
  </sheetViews>
  <sheetFormatPr baseColWidth="10" defaultRowHeight="15" x14ac:dyDescent="0.25"/>
  <cols>
    <col min="1" max="1" width="33.5703125" style="12" customWidth="1"/>
    <col min="2" max="3" width="11.42578125" style="5" customWidth="1"/>
    <col min="4" max="4" width="11.42578125" style="19"/>
    <col min="5" max="6" width="11.42578125" style="5" customWidth="1"/>
    <col min="7" max="7" width="11.42578125" style="19"/>
    <col min="8" max="9" width="11.42578125" style="5" customWidth="1"/>
    <col min="10" max="10" width="11.42578125" style="19"/>
    <col min="11" max="12" width="11.42578125" style="5" customWidth="1"/>
    <col min="13" max="13" width="11.42578125" style="19"/>
    <col min="14" max="15" width="11.42578125" style="5" customWidth="1"/>
    <col min="16" max="16" width="11.42578125" style="19"/>
    <col min="17" max="18" width="11.42578125" style="5" customWidth="1"/>
    <col min="19" max="19" width="11.42578125" style="19"/>
    <col min="20" max="21" width="11.42578125" style="5" customWidth="1"/>
    <col min="22" max="22" width="11.42578125" style="19"/>
    <col min="23" max="24" width="11.42578125" style="5" customWidth="1"/>
    <col min="25" max="25" width="11.42578125" style="19"/>
    <col min="26" max="26" width="12.28515625" style="5" bestFit="1" customWidth="1"/>
    <col min="27" max="27" width="11.42578125" style="5" customWidth="1"/>
    <col min="28" max="28" width="11.42578125" style="19"/>
    <col min="29" max="30" width="11.42578125" style="5" customWidth="1"/>
    <col min="31" max="31" width="11.42578125" style="19"/>
    <col min="32" max="33" width="11.42578125" style="5" customWidth="1"/>
    <col min="34" max="34" width="11.42578125" style="19"/>
    <col min="35" max="36" width="11.42578125" style="5" customWidth="1"/>
    <col min="37" max="37" width="11.42578125" style="19"/>
    <col min="38" max="39" width="11.42578125" style="5"/>
    <col min="40" max="40" width="11.42578125" style="19"/>
  </cols>
  <sheetData>
    <row r="1" spans="1:49" s="260" customFormat="1" x14ac:dyDescent="0.25">
      <c r="A1" s="261" t="s">
        <v>159</v>
      </c>
      <c r="B1" s="322">
        <v>46142</v>
      </c>
      <c r="C1" s="323"/>
      <c r="D1" s="30"/>
      <c r="E1" s="322">
        <v>46100</v>
      </c>
      <c r="F1" s="323"/>
      <c r="G1" s="30">
        <v>3.7499999999999999E-2</v>
      </c>
      <c r="H1" s="322">
        <v>46058</v>
      </c>
      <c r="I1" s="323"/>
      <c r="J1" s="30">
        <v>3.7499999999999999E-2</v>
      </c>
      <c r="K1" s="322">
        <v>46374</v>
      </c>
      <c r="L1" s="323"/>
      <c r="M1" s="30">
        <v>3.7499999999999999E-2</v>
      </c>
      <c r="N1" s="322">
        <v>45967</v>
      </c>
      <c r="O1" s="323"/>
      <c r="P1" s="30">
        <v>0.04</v>
      </c>
      <c r="Q1" s="322">
        <v>45918</v>
      </c>
      <c r="R1" s="323"/>
      <c r="S1" s="30">
        <v>0.04</v>
      </c>
      <c r="T1" s="322">
        <v>45876</v>
      </c>
      <c r="U1" s="323"/>
      <c r="V1" s="30">
        <v>0.04</v>
      </c>
      <c r="W1" s="322">
        <v>45827</v>
      </c>
      <c r="X1" s="323"/>
      <c r="Y1" s="30">
        <v>4.2500000000000003E-2</v>
      </c>
      <c r="Z1" s="324">
        <v>45785</v>
      </c>
      <c r="AA1" s="323"/>
      <c r="AB1" s="30">
        <v>4.2500000000000003E-2</v>
      </c>
      <c r="AC1" s="329">
        <v>45736</v>
      </c>
      <c r="AD1" s="323"/>
      <c r="AE1" s="30">
        <v>4.4999999999999998E-2</v>
      </c>
      <c r="AF1" s="324">
        <v>45694</v>
      </c>
      <c r="AG1" s="323"/>
      <c r="AH1" s="30">
        <v>4.4999999999999998E-2</v>
      </c>
      <c r="AI1" s="31">
        <v>45645</v>
      </c>
      <c r="AJ1" s="259"/>
      <c r="AK1" s="30">
        <v>4.7500000000000001E-2</v>
      </c>
      <c r="AL1" s="322">
        <v>45603</v>
      </c>
      <c r="AM1" s="323"/>
      <c r="AN1" s="30">
        <v>4.7500000000000001E-2</v>
      </c>
      <c r="AO1" s="322">
        <v>45554</v>
      </c>
      <c r="AP1" s="323"/>
      <c r="AQ1" s="30">
        <v>0.05</v>
      </c>
      <c r="AR1" s="325">
        <v>45505</v>
      </c>
      <c r="AS1" s="326"/>
      <c r="AT1" s="30">
        <v>0.05</v>
      </c>
      <c r="AU1" s="327">
        <v>45431</v>
      </c>
      <c r="AV1" s="328"/>
      <c r="AW1" s="30">
        <v>5.2499999999999998E-2</v>
      </c>
    </row>
    <row r="2" spans="1:49" x14ac:dyDescent="0.25">
      <c r="A2" s="2" t="s">
        <v>1</v>
      </c>
      <c r="B2" s="316" t="str">
        <f>IF(AND(D3="-",D4="-",D5="-",D6="-",D7="-",D8="-",D9="-",D10="-"), "",
    IF(SUM(IF(D3="-",0,IF(D3&lt;0,-2,IF(D3&gt;0,2,0))), IF(D4="-",0,IF(D4&lt;0,-2,IF(D4&gt;0,2,0))),
            IF(D5="-",0,IF(D5&lt;0,-2,IF(D5&gt;0,2,0))), IF(D6="-",0,IF(D6&lt;0,-2,IF(D6&gt;0,2,0))),
            IF(D7="-",0,IF(D7&lt;0,-1,IF(D7&gt;0,1,0))), IF(D8="-",0,IF(D8&lt;0,-1,IF(D8&gt;0,1,0))),
            IF(D9="-",0,IF(D9&lt;0,-1,IF(D9&gt;0,1,0))), IF(D10="-",0,IF(D10&lt;0,-1,IF(D10&gt;0,1,0))))
        / 12 &gt; 0.1, "BULLISH",
        IF(SUM(IF(D3="-",0,IF(D3&lt;0,-2,IF(D3&gt;0,2,0))), IF(D4="-",0,IF(D4&lt;0,-2,IF(D4&gt;0,2,0))),
                IF(D5="-",0,IF(D5&lt;0,-2,IF(D5&gt;0,2,0))), IF(D6="-",0,IF(D6&lt;0,-2,IF(D6&gt;0,2,0))),
                IF(D7="-",0,IF(D7&lt;0,-1,IF(D7&gt;0,1,0))), IF(D8="-",0,IF(D8&lt;0,-1,IF(D8&gt;0,1,0))),
                IF(D9="-",0,IF(D9&lt;0,-1,IF(D9&gt;0,1,0))), IF(D10="-",0,IF(D10&lt;0,-1,IF(D10&gt;0,1,0))))
            / 12 &lt; -0.1, "BEARISH",
            "NEUTRO"
        )
    )
)</f>
        <v/>
      </c>
      <c r="C2" s="317"/>
      <c r="D2" s="318"/>
      <c r="E2" s="316" t="str">
        <f>IF(AND(G3="-",G4="-",G5="-",G6="-",G7="-",G8="-",G9="-",G10="-"), "",
    IF(SUM(IF(G3="-",0,IF(G3&lt;0,-2,IF(G3&gt;0,2,0))), IF(G4="-",0,IF(G4&lt;0,-2,IF(G4&gt;0,2,0))),
            IF(G5="-",0,IF(G5&lt;0,-2,IF(G5&gt;0,2,0))), IF(G6="-",0,IF(G6&lt;0,-2,IF(G6&gt;0,2,0))),
            IF(G7="-",0,IF(G7&lt;0,-1,IF(G7&gt;0,1,0))), IF(G8="-",0,IF(G8&lt;0,-1,IF(G8&gt;0,1,0))),
            IF(G9="-",0,IF(G9&lt;0,-1,IF(G9&gt;0,1,0))), IF(G10="-",0,IF(G10&lt;0,-1,IF(G10&gt;0,1,0))))
        / 12 &gt; 0.1, "BULLISH",
        IF(SUM(IF(G3="-",0,IF(G3&lt;0,-2,IF(G3&gt;0,2,0))), IF(G4="-",0,IF(G4&lt;0,-2,IF(G4&gt;0,2,0))),
                IF(G5="-",0,IF(G5&lt;0,-2,IF(G5&gt;0,2,0))), IF(G6="-",0,IF(G6&lt;0,-2,IF(G6&gt;0,2,0))),
                IF(G7="-",0,IF(G7&lt;0,-1,IF(G7&gt;0,1,0))), IF(G8="-",0,IF(G8&lt;0,-1,IF(G8&gt;0,1,0))),
                IF(G9="-",0,IF(G9&lt;0,-1,IF(G9&gt;0,1,0))), IF(G10="-",0,IF(G10&lt;0,-1,IF(G10&gt;0,1,0))))
            / 12 &lt; -0.1, "BEARISH",
            "NEUTRO"
        )
    )
)</f>
        <v>BULLISH</v>
      </c>
      <c r="F2" s="317"/>
      <c r="G2" s="318"/>
      <c r="H2" s="316" t="str">
        <f>IF(AND(J3="-",J4="-",J5="-",J6="-",J7="-",J8="-",J9="-",J10="-"), "",
    IF(SUM(IF(J3="-",0,IF(J3&lt;0,-2,IF(J3&gt;0,2,0))), IF(J4="-",0,IF(J4&lt;0,-2,IF(J4&gt;0,2,0))),
            IF(J5="-",0,IF(J5&lt;0,-2,IF(J5&gt;0,2,0))), IF(J6="-",0,IF(J6&lt;0,-2,IF(J6&gt;0,2,0))),
            IF(J7="-",0,IF(J7&lt;0,-1,IF(J7&gt;0,1,0))), IF(J8="-",0,IF(J8&lt;0,-1,IF(J8&gt;0,1,0))),
            IF(J9="-",0,IF(J9&lt;0,-1,IF(J9&gt;0,1,0))), IF(J10="-",0,IF(J10&lt;0,-1,IF(J10&gt;0,1,0))))
        / 12 &gt; 0.1, "BULLISH",
        IF(SUM(IF(J3="-",0,IF(J3&lt;0,-2,IF(J3&gt;0,2,0))), IF(J4="-",0,IF(J4&lt;0,-2,IF(J4&gt;0,2,0))),
                IF(J5="-",0,IF(J5&lt;0,-2,IF(J5&gt;0,2,0))), IF(J6="-",0,IF(J6&lt;0,-2,IF(J6&gt;0,2,0))),
                IF(J7="-",0,IF(J7&lt;0,-1,IF(J7&gt;0,1,0))), IF(J8="-",0,IF(J8&lt;0,-1,IF(J8&gt;0,1,0))),
                IF(J9="-",0,IF(J9&lt;0,-1,IF(J9&gt;0,1,0))), IF(J10="-",0,IF(J10&lt;0,-1,IF(J10&gt;0,1,0))))
            / 12 &lt; -0.1, "BEARISH",
            "NEUTRO"
        )
    )
)</f>
        <v>NEUTRO</v>
      </c>
      <c r="I2" s="317"/>
      <c r="J2" s="318"/>
      <c r="K2" s="316" t="str">
        <f>IF(AND(M3="-",M4="-",M5="-",M6="-",M7="-",M8="-",M9="-",M10="-"), "",
    IF(SUM(IF(M3="-",0,IF(M3&lt;0,-2,IF(M3&gt;0,2,0))), IF(M4="-",0,IF(M4&lt;0,-2,IF(M4&gt;0,2,0))),
            IF(M5="-",0,IF(M5&lt;0,-2,IF(M5&gt;0,2,0))), IF(M6="-",0,IF(M6&lt;0,-2,IF(M6&gt;0,2,0))),
            IF(M7="-",0,IF(M7&lt;0,-1,IF(M7&gt;0,1,0))), IF(M8="-",0,IF(M8&lt;0,-1,IF(M8&gt;0,1,0))),
            IF(M9="-",0,IF(M9&lt;0,-1,IF(M9&gt;0,1,0))), IF(M10="-",0,IF(M10&lt;0,-1,IF(M10&gt;0,1,0))))
        / 12 &gt; 0.1, "BULLISH",
        IF(SUM(IF(M3="-",0,IF(M3&lt;0,-2,IF(M3&gt;0,2,0))), IF(M4="-",0,IF(M4&lt;0,-2,IF(M4&gt;0,2,0))),
                IF(M5="-",0,IF(M5&lt;0,-2,IF(M5&gt;0,2,0))), IF(M6="-",0,IF(M6&lt;0,-2,IF(M6&gt;0,2,0))),
                IF(M7="-",0,IF(M7&lt;0,-1,IF(M7&gt;0,1,0))), IF(M8="-",0,IF(M8&lt;0,-1,IF(M8&gt;0,1,0))),
                IF(M9="-",0,IF(M9&lt;0,-1,IF(M9&gt;0,1,0))), IF(M10="-",0,IF(M10&lt;0,-1,IF(M10&gt;0,1,0))))
            / 12 &lt; -0.1, "BEARISH",
            "NEUTRO"
        )
    )
)</f>
        <v/>
      </c>
      <c r="L2" s="317"/>
      <c r="M2" s="318"/>
      <c r="N2" s="316" t="str">
        <f>IF(AND(P3="-",P4="-",P5="-",P6="-",P7="-",P8="-",P9="-",P10="-"), "",
    IF(SUM(IF(P3="-",0,IF(P3&lt;0,-2,IF(P3&gt;0,2,0))), IF(P4="-",0,IF(P4&lt;0,-2,IF(P4&gt;0,2,0))),
            IF(P5="-",0,IF(P5&lt;0,-2,IF(P5&gt;0,2,0))), IF(P6="-",0,IF(P6&lt;0,-2,IF(P6&gt;0,2,0))),
            IF(P7="-",0,IF(P7&lt;0,-1,IF(P7&gt;0,1,0))), IF(P8="-",0,IF(P8&lt;0,-1,IF(P8&gt;0,1,0))),
            IF(P9="-",0,IF(P9&lt;0,-1,IF(P9&gt;0,1,0))), IF(P10="-",0,IF(P10&lt;0,-1,IF(P10&gt;0,1,0))))
        / 12 &gt; 0.1, "BULLISH",
        IF(SUM(IF(P3="-",0,IF(P3&lt;0,-2,IF(P3&gt;0,2,0))), IF(P4="-",0,IF(P4&lt;0,-2,IF(P4&gt;0,2,0))),
                IF(P5="-",0,IF(P5&lt;0,-2,IF(P5&gt;0,2,0))), IF(P6="-",0,IF(P6&lt;0,-2,IF(P6&gt;0,2,0))),
                IF(P7="-",0,IF(P7&lt;0,-1,IF(P7&gt;0,1,0))), IF(P8="-",0,IF(P8&lt;0,-1,IF(P8&gt;0,1,0))),
                IF(P9="-",0,IF(P9&lt;0,-1,IF(P9&gt;0,1,0))), IF(P10="-",0,IF(P10&lt;0,-1,IF(P10&gt;0,1,0))))
            / 12 &lt; -0.1, "BEARISH",
            "NEUTRO"
        )
    )
)</f>
        <v>BEARISH</v>
      </c>
      <c r="O2" s="317"/>
      <c r="P2" s="318"/>
      <c r="Q2" s="316" t="str">
        <f>IF(AND(S3="-",S4="-",S5="-",S6="-",S7="-",S8="-",S9="-",S10="-"), "",
    IF(SUM(IF(S3="-",0,IF(S3&lt;0,-2,IF(S3&gt;0,2,0))), IF(S4="-",0,IF(S4&lt;0,-2,IF(S4&gt;0,2,0))),
            IF(S5="-",0,IF(S5&lt;0,-2,IF(S5&gt;0,2,0))), IF(S6="-",0,IF(S6&lt;0,-2,IF(S6&gt;0,2,0))),
            IF(S7="-",0,IF(S7&lt;0,-1,IF(S7&gt;0,1,0))), IF(S8="-",0,IF(S8&lt;0,-1,IF(S8&gt;0,1,0))),
            IF(S9="-",0,IF(S9&lt;0,-1,IF(S9&gt;0,1,0))), IF(S10="-",0,IF(S10&lt;0,-1,IF(S10&gt;0,1,0))))
        / 12 &gt; 0.1, "BULLISH",
        IF(SUM(IF(S3="-",0,IF(S3&lt;0,-2,IF(S3&gt;0,2,0))), IF(S4="-",0,IF(S4&lt;0,-2,IF(S4&gt;0,2,0))),
                IF(S5="-",0,IF(S5&lt;0,-2,IF(S5&gt;0,2,0))), IF(S6="-",0,IF(S6&lt;0,-2,IF(S6&gt;0,2,0))),
                IF(S7="-",0,IF(S7&lt;0,-1,IF(S7&gt;0,1,0))), IF(S8="-",0,IF(S8&lt;0,-1,IF(S8&gt;0,1,0))),
                IF(S9="-",0,IF(S9&lt;0,-1,IF(S9&gt;0,1,0))), IF(S10="-",0,IF(S10&lt;0,-1,IF(S10&gt;0,1,0))))
            / 12 &lt; -0.1, "BEARISH",
            "NEUTRO"
        )
    )
)</f>
        <v>BULLISH</v>
      </c>
      <c r="R2" s="317"/>
      <c r="S2" s="318"/>
      <c r="T2" s="316" t="str">
        <f>IF(AND(V3="-",V4="-",V5="-",V6="-",V7="-",V8="-",V9="-",V10="-"), "",
    IF(SUM(IF(V3="-",0,IF(V3&lt;0,-2,IF(V3&gt;0,2,0))), IF(V4="-",0,IF(V4&lt;0,-2,IF(V4&gt;0,2,0))),
            IF(V5="-",0,IF(V5&lt;0,-2,IF(V5&gt;0,2,0))), IF(V6="-",0,IF(V6&lt;0,-2,IF(V6&gt;0,2,0))),
            IF(V7="-",0,IF(V7&lt;0,-1,IF(V7&gt;0,1,0))), IF(V8="-",0,IF(V8&lt;0,-1,IF(V8&gt;0,1,0))),
            IF(V9="-",0,IF(V9&lt;0,-1,IF(V9&gt;0,1,0))), IF(V10="-",0,IF(V10&lt;0,-1,IF(V10&gt;0,1,0))))
        / 12 &gt; 0.1, "BULLISH",
        IF(SUM(IF(V3="-",0,IF(V3&lt;0,-2,IF(V3&gt;0,2,0))), IF(V4="-",0,IF(V4&lt;0,-2,IF(V4&gt;0,2,0))),
                IF(V5="-",0,IF(V5&lt;0,-2,IF(V5&gt;0,2,0))), IF(V6="-",0,IF(V6&lt;0,-2,IF(V6&gt;0,2,0))),
                IF(V7="-",0,IF(V7&lt;0,-1,IF(V7&gt;0,1,0))), IF(V8="-",0,IF(V8&lt;0,-1,IF(V8&gt;0,1,0))),
                IF(V9="-",0,IF(V9&lt;0,-1,IF(V9&gt;0,1,0))), IF(V10="-",0,IF(V10&lt;0,-1,IF(V10&gt;0,1,0))))
            / 12 &lt; -0.1, "BEARISH",
            "NEUTRO"
        )
    )
)</f>
        <v>BULLISH</v>
      </c>
      <c r="U2" s="317"/>
      <c r="V2" s="318"/>
      <c r="W2" s="316" t="str">
        <f>IF(AND(Y3="-",Y4="-",Y5="-",Y6="-",Y7="-",Y8="-",Y9="-",Y10="-"), "",
    IF(SUM(IF(Y3="-",0,IF(Y3&lt;0,-2,IF(Y3&gt;0,2,0))), IF(Y4="-",0,IF(Y4&lt;0,-2,IF(Y4&gt;0,2,0))),
            IF(Y5="-",0,IF(Y5&lt;0,-2,IF(Y5&gt;0,2,0))), IF(Y6="-",0,IF(Y6&lt;0,-2,IF(Y6&gt;0,2,0))),
            IF(Y7="-",0,IF(Y7&lt;0,-1,IF(Y7&gt;0,1,0))), IF(Y8="-",0,IF(Y8&lt;0,-1,IF(Y8&gt;0,1,0))),
            IF(Y9="-",0,IF(Y9&lt;0,-1,IF(Y9&gt;0,1,0))), IF(Y10="-",0,IF(Y10&lt;0,-1,IF(Y10&gt;0,1,0))))
        / 12 &gt; 0.1, "BULLISH",
        IF(SUM(IF(Y3="-",0,IF(Y3&lt;0,-2,IF(Y3&gt;0,2,0))), IF(Y4="-",0,IF(Y4&lt;0,-2,IF(Y4&gt;0,2,0))),
                IF(Y5="-",0,IF(Y5&lt;0,-2,IF(Y5&gt;0,2,0))), IF(Y6="-",0,IF(Y6&lt;0,-2,IF(Y6&gt;0,2,0))),
                IF(Y7="-",0,IF(Y7&lt;0,-1,IF(Y7&gt;0,1,0))), IF(Y8="-",0,IF(Y8&lt;0,-1,IF(Y8&gt;0,1,0))),
                IF(Y9="-",0,IF(Y9&lt;0,-1,IF(Y9&gt;0,1,0))), IF(Y10="-",0,IF(Y10&lt;0,-1,IF(Y10&gt;0,1,0))))
            / 12 &lt; -0.1, "BEARISH",
            "NEUTRO"
        )
    )
)</f>
        <v>BULLISH</v>
      </c>
      <c r="X2" s="317"/>
      <c r="Y2" s="318"/>
      <c r="Z2" s="316" t="str">
        <f>IF(AND(AB3="-",AB4="-",AB5="-",AB6="-",AB7="-",AB8="-",AB9="-",AB10="-"), "",
    IF(SUM(IF(AB3="-",0,IF(AB3&lt;0,-2,IF(AB3&gt;0,2,0))), IF(AB4="-",0,IF(AB4&lt;0,-2,IF(AB4&gt;0,2,0))),
            IF(AB5="-",0,IF(AB5&lt;0,-2,IF(AB5&gt;0,2,0))), IF(AB6="-",0,IF(AB6&lt;0,-2,IF(AB6&gt;0,2,0))),
            IF(AB7="-",0,IF(AB7&lt;0,-1,IF(AB7&gt;0,1,0))), IF(AB8="-",0,IF(AB8&lt;0,-1,IF(AB8&gt;0,1,0))),
            IF(AB9="-",0,IF(AB9&lt;0,-1,IF(AB9&gt;0,1,0))), IF(AB10="-",0,IF(AB10&lt;0,-1,IF(AB10&gt;0,1,0))))
        / 12 &gt; 0.1, "BULLISH",
        IF(SUM(IF(AB3="-",0,IF(AB3&lt;0,-2,IF(AB3&gt;0,2,0))), IF(AB4="-",0,IF(AB4&lt;0,-2,IF(AB4&gt;0,2,0))),
                IF(AB5="-",0,IF(AB5&lt;0,-2,IF(AB5&gt;0,2,0))), IF(AB6="-",0,IF(AB6&lt;0,-2,IF(AB6&gt;0,2,0))),
                IF(AB7="-",0,IF(AB7&lt;0,-1,IF(AB7&gt;0,1,0))), IF(AB8="-",0,IF(AB8&lt;0,-1,IF(AB8&gt;0,1,0))),
                IF(AB9="-",0,IF(AB9&lt;0,-1,IF(AB9&gt;0,1,0))), IF(AB10="-",0,IF(AB10&lt;0,-1,IF(AB10&gt;0,1,0))))
            / 12 &lt; -0.1, "BEARISH",
            "NEUTRO"
        )
    )
)</f>
        <v>BEARISH</v>
      </c>
      <c r="AA2" s="317"/>
      <c r="AB2" s="318"/>
      <c r="AC2" s="316" t="str">
        <f>IF(AND(AE3="-",AE4="-",AE5="-",AE6="-",AE7="-",AE8="-",AE9="-",AE10="-"), "",
    IF(SUM(IF(AE3="-",0,IF(AE3&lt;0,-2,IF(AE3&gt;0,2,0))), IF(AE4="-",0,IF(AE4&lt;0,-2,IF(AE4&gt;0,2,0))),
            IF(AE5="-",0,IF(AE5&lt;0,-2,IF(AE5&gt;0,2,0))), IF(AE6="-",0,IF(AE6&lt;0,-2,IF(AE6&gt;0,2,0))),
            IF(AE7="-",0,IF(AE7&lt;0,-1,IF(AE7&gt;0,1,0))), IF(AE8="-",0,IF(AE8&lt;0,-1,IF(AE8&gt;0,1,0))),
            IF(AE9="-",0,IF(AE9&lt;0,-1,IF(AE9&gt;0,1,0))), IF(AE10="-",0,IF(AE10&lt;0,-1,IF(AE10&gt;0,1,0))))
        / 12 &gt; 0.1, "BULLISH",
        IF(SUM(IF(AE3="-",0,IF(AE3&lt;0,-2,IF(AE3&gt;0,2,0))), IF(AE4="-",0,IF(AE4&lt;0,-2,IF(AE4&gt;0,2,0))),
                IF(AE5="-",0,IF(AE5&lt;0,-2,IF(AE5&gt;0,2,0))), IF(AE6="-",0,IF(AE6&lt;0,-2,IF(AE6&gt;0,2,0))),
                IF(AE7="-",0,IF(AE7&lt;0,-1,IF(AE7&gt;0,1,0))), IF(AE8="-",0,IF(AE8&lt;0,-1,IF(AE8&gt;0,1,0))),
                IF(AE9="-",0,IF(AE9&lt;0,-1,IF(AE9&gt;0,1,0))), IF(AE10="-",0,IF(AE10&lt;0,-1,IF(AE10&gt;0,1,0))))
            / 12 &lt; -0.1, "BEARISH",
            "NEUTRO"
        )
    )
)</f>
        <v>BULLISH</v>
      </c>
      <c r="AD2" s="317"/>
      <c r="AE2" s="318"/>
      <c r="AF2" s="316" t="str">
        <f>IF(AND(AH3="-",AH4="-",AH5="-",AH6="-",AH7="-",AH8="-",AH9="-",AH10="-"), "",
    IF(SUM(IF(AH3="-",0,IF(AH3&lt;0,-2,IF(AH3&gt;0,2,0))), IF(AH4="-",0,IF(AH4&lt;0,-2,IF(AH4&gt;0,2,0))),
            IF(AH5="-",0,IF(AH5&lt;0,-2,IF(AH5&gt;0,2,0))), IF(AH6="-",0,IF(AH6&lt;0,-2,IF(AH6&gt;0,2,0))),
            IF(AH7="-",0,IF(AH7&lt;0,-1,IF(AH7&gt;0,1,0))), IF(AH8="-",0,IF(AH8&lt;0,-1,IF(AH8&gt;0,1,0))),
            IF(AH9="-",0,IF(AH9&lt;0,-1,IF(AH9&gt;0,1,0))), IF(AH10="-",0,IF(AH10&lt;0,-1,IF(AH10&gt;0,1,0))))
        / 12 &gt; 0.1, "BULLISH",
        IF(SUM(IF(AH3="-",0,IF(AH3&lt;0,-2,IF(AH3&gt;0,2,0))), IF(AH4="-",0,IF(AH4&lt;0,-2,IF(AH4&gt;0,2,0))),
                IF(AH5="-",0,IF(AH5&lt;0,-2,IF(AH5&gt;0,2,0))), IF(AH6="-",0,IF(AH6&lt;0,-2,IF(AH6&gt;0,2,0))),
                IF(AH7="-",0,IF(AH7&lt;0,-1,IF(AH7&gt;0,1,0))), IF(AH8="-",0,IF(AH8&lt;0,-1,IF(AH8&gt;0,1,0))),
                IF(AH9="-",0,IF(AH9&lt;0,-1,IF(AH9&gt;0,1,0))), IF(AH10="-",0,IF(AH10&lt;0,-1,IF(AH10&gt;0,1,0))))
            / 12 &lt; -0.1, "BEARISH",
            "NEUTRO"
        )
    )
)</f>
        <v>BEARISH</v>
      </c>
      <c r="AG2" s="317"/>
      <c r="AH2" s="318"/>
      <c r="AI2" s="316" t="str">
        <f>IF(AND(AK3="-",AK4="-",AK5="-",AK6="-",AK7="-",AK8="-",AK9="-",AK10="-"), "",
    IF(SUM(IF(AK3="-",0,IF(AK3&lt;0,-2,IF(AK3&gt;0,2,0))), IF(AK4="-",0,IF(AK4&lt;0,-2,IF(AK4&gt;0,2,0))),
            IF(AK5="-",0,IF(AK5&lt;0,-2,IF(AK5&gt;0,2,0))), IF(AK6="-",0,IF(AK6&lt;0,-2,IF(AK6&gt;0,2,0))),
            IF(AK7="-",0,IF(AK7&lt;0,-1,IF(AK7&gt;0,1,0))), IF(AK8="-",0,IF(AK8&lt;0,-1,IF(AK8&gt;0,1,0))),
            IF(AK9="-",0,IF(AK9&lt;0,-1,IF(AK9&gt;0,1,0))), IF(AK10="-",0,IF(AK10&lt;0,-1,IF(AK10&gt;0,1,0))))
        / 12 &gt; 0.1, "BULLISH",
        IF(SUM(IF(AK3="-",0,IF(AK3&lt;0,-2,IF(AK3&gt;0,2,0))), IF(AK4="-",0,IF(AK4&lt;0,-2,IF(AK4&gt;0,2,0))),
                IF(AK5="-",0,IF(AK5&lt;0,-2,IF(AK5&gt;0,2,0))), IF(AK6="-",0,IF(AK6&lt;0,-2,IF(AK6&gt;0,2,0))),
                IF(AK7="-",0,IF(AK7&lt;0,-1,IF(AK7&gt;0,1,0))), IF(AK8="-",0,IF(AK8&lt;0,-1,IF(AK8&gt;0,1,0))),
                IF(AK9="-",0,IF(AK9&lt;0,-1,IF(AK9&gt;0,1,0))), IF(AK10="-",0,IF(AK10&lt;0,-1,IF(AK10&gt;0,1,0))))
            / 12 &lt; -0.1, "BEARISH",
            "NEUTRO"
        )
    )
)</f>
        <v>BULLISH</v>
      </c>
      <c r="AJ2" s="317"/>
      <c r="AK2" s="318"/>
      <c r="AL2" s="316" t="str">
        <f>IF(AND(AN3="-",AN4="-",AN5="-",AN6="-",AN7="-",AN8="-",AN9="-",AN10="-"), "",
    IF(SUM(IF(AN3="-",0,IF(AN3&lt;0,-2,IF(AN3&gt;0,2,0))), IF(AN4="-",0,IF(AN4&lt;0,-2,IF(AN4&gt;0,2,0))),
            IF(AN5="-",0,IF(AN5&lt;0,-2,IF(AN5&gt;0,2,0))), IF(AN6="-",0,IF(AN6&lt;0,-2,IF(AN6&gt;0,2,0))),
            IF(AN7="-",0,IF(AN7&lt;0,-1,IF(AN7&gt;0,1,0))), IF(AN8="-",0,IF(AN8&lt;0,-1,IF(AN8&gt;0,1,0))),
            IF(AN9="-",0,IF(AN9&lt;0,-1,IF(AN9&gt;0,1,0))), IF(AN10="-",0,IF(AN10&lt;0,-1,IF(AN10&gt;0,1,0))))
        / 12 &gt; 0.1, "BULLISH",
        IF(SUM(IF(AN3="-",0,IF(AN3&lt;0,-2,IF(AN3&gt;0,2,0))), IF(AN4="-",0,IF(AN4&lt;0,-2,IF(AN4&gt;0,2,0))),
                IF(AN5="-",0,IF(AN5&lt;0,-2,IF(AN5&gt;0,2,0))), IF(AN6="-",0,IF(AN6&lt;0,-2,IF(AN6&gt;0,2,0))),
                IF(AN7="-",0,IF(AN7&lt;0,-1,IF(AN7&gt;0,1,0))), IF(AN8="-",0,IF(AN8&lt;0,-1,IF(AN8&gt;0,1,0))),
                IF(AN9="-",0,IF(AN9&lt;0,-1,IF(AN9&gt;0,1,0))), IF(AN10="-",0,IF(AN10&lt;0,-1,IF(AN10&gt;0,1,0))))
            / 12 &lt; -0.1, "BEARISH",
            "NEUTRO"
        )
    )
)</f>
        <v>BEARISH</v>
      </c>
      <c r="AM2" s="317"/>
      <c r="AN2" s="318"/>
      <c r="AO2" s="316" t="str">
        <f>IF(AND(AQ3="-",AQ4="-",AQ5="-",AQ6="-",AQ7="-",AQ8="-",AQ9="-",AQ10="-"), "",
    IF(SUM(IF(AQ3="-",0,IF(AQ3&lt;0,-2,IF(AQ3&gt;0,2,0))), IF(AQ4="-",0,IF(AQ4&lt;0,-2,IF(AQ4&gt;0,2,0))),
            IF(AQ5="-",0,IF(AQ5&lt;0,-2,IF(AQ5&gt;0,2,0))), IF(AQ6="-",0,IF(AQ6&lt;0,-2,IF(AQ6&gt;0,2,0))),
            IF(AQ7="-",0,IF(AQ7&lt;0,-1,IF(AQ7&gt;0,1,0))), IF(AQ8="-",0,IF(AQ8&lt;0,-1,IF(AQ8&gt;0,1,0))),
            IF(AQ9="-",0,IF(AQ9&lt;0,-1,IF(AQ9&gt;0,1,0))), IF(AQ10="-",0,IF(AQ10&lt;0,-1,IF(AQ10&gt;0,1,0))))
        / 12 &gt; 0.1, "BULLISH",
        IF(SUM(IF(AQ3="-",0,IF(AQ3&lt;0,-2,IF(AQ3&gt;0,2,0))), IF(AQ4="-",0,IF(AQ4&lt;0,-2,IF(AQ4&gt;0,2,0))),
                IF(AQ5="-",0,IF(AQ5&lt;0,-2,IF(AQ5&gt;0,2,0))), IF(AQ6="-",0,IF(AQ6&lt;0,-2,IF(AQ6&gt;0,2,0))),
                IF(AQ7="-",0,IF(AQ7&lt;0,-1,IF(AQ7&gt;0,1,0))), IF(AQ8="-",0,IF(AQ8&lt;0,-1,IF(AQ8&gt;0,1,0))),
                IF(AQ9="-",0,IF(AQ9&lt;0,-1,IF(AQ9&gt;0,1,0))), IF(AQ10="-",0,IF(AQ10&lt;0,-1,IF(AQ10&gt;0,1,0))))
            / 12 &lt; -0.1, "BEARISH",
            "NEUTRO"
        )
    )
)</f>
        <v>BEARISH</v>
      </c>
      <c r="AP2" s="317"/>
      <c r="AQ2" s="318"/>
      <c r="AR2" s="316" t="str">
        <f>IF(AND(AT3="-",AT4="-",AT5="-",AT6="-",AT7="-",AT8="-",AT9="-",AT10="-"), "",
    IF(SUM(IF(AT3="-",0,IF(AT3&lt;0,-2,IF(AT3&gt;0,2,0))), IF(AT4="-",0,IF(AT4&lt;0,-2,IF(AT4&gt;0,2,0))),
            IF(AT5="-",0,IF(AT5&lt;0,-2,IF(AT5&gt;0,2,0))), IF(AT6="-",0,IF(AT6&lt;0,-2,IF(AT6&gt;0,2,0))),
            IF(AT7="-",0,IF(AT7&lt;0,-1,IF(AT7&gt;0,1,0))), IF(AT8="-",0,IF(AT8&lt;0,-1,IF(AT8&gt;0,1,0))),
            IF(AT9="-",0,IF(AT9&lt;0,-1,IF(AT9&gt;0,1,0))), IF(AT10="-",0,IF(AT10&lt;0,-1,IF(AT10&gt;0,1,0))))
        / 12 &gt; 0.1, "BULLISH",
        IF(SUM(IF(AT3="-",0,IF(AT3&lt;0,-2,IF(AT3&gt;0,2,0))), IF(AT4="-",0,IF(AT4&lt;0,-2,IF(AT4&gt;0,2,0))),
                IF(AT5="-",0,IF(AT5&lt;0,-2,IF(AT5&gt;0,2,0))), IF(AT6="-",0,IF(AT6&lt;0,-2,IF(AT6&gt;0,2,0))),
                IF(AT7="-",0,IF(AT7&lt;0,-1,IF(AT7&gt;0,1,0))), IF(AT8="-",0,IF(AT8&lt;0,-1,IF(AT8&gt;0,1,0))),
                IF(AT9="-",0,IF(AT9&lt;0,-1,IF(AT9&gt;0,1,0))), IF(AT10="-",0,IF(AT10&lt;0,-1,IF(AT10&gt;0,1,0))))
            / 12 &lt; -0.1, "BEARISH",
            "NEUTRO"
        )
    )
)</f>
        <v>BEARISH</v>
      </c>
      <c r="AS2" s="317"/>
      <c r="AT2" s="318"/>
      <c r="AU2" s="316" t="str">
        <f>IF(AND(AW3="-",AW4="-",AW5="-",AW6="-",AW7="-",AW8="-",AW9="-",AW10="-"), "",
    IF(SUM(IF(AW3="-",0,IF(AW3&lt;0,-2,IF(AW3&gt;0,2,0))), IF(AW4="-",0,IF(AW4&lt;0,-2,IF(AW4&gt;0,2,0))),
            IF(AW5="-",0,IF(AW5&lt;0,-2,IF(AW5&gt;0,2,0))), IF(AW6="-",0,IF(AW6&lt;0,-2,IF(AW6&gt;0,2,0))),
            IF(AW7="-",0,IF(AW7&lt;0,-1,IF(AW7&gt;0,1,0))), IF(AW8="-",0,IF(AW8&lt;0,-1,IF(AW8&gt;0,1,0))),
            IF(AW9="-",0,IF(AW9&lt;0,-1,IF(AW9&gt;0,1,0))), IF(AW10="-",0,IF(AW10&lt;0,-1,IF(AW10&gt;0,1,0))))
        / 12 &gt; 0.1, "BULLISH",
        IF(SUM(IF(AW3="-",0,IF(AW3&lt;0,-2,IF(AW3&gt;0,2,0))), IF(AW4="-",0,IF(AW4&lt;0,-2,IF(AW4&gt;0,2,0))),
                IF(AW5="-",0,IF(AW5&lt;0,-2,IF(AW5&gt;0,2,0))), IF(AW6="-",0,IF(AW6&lt;0,-2,IF(AW6&gt;0,2,0))),
                IF(AW7="-",0,IF(AW7&lt;0,-1,IF(AW7&gt;0,1,0))), IF(AW8="-",0,IF(AW8&lt;0,-1,IF(AW8&gt;0,1,0))),
                IF(AW9="-",0,IF(AW9&lt;0,-1,IF(AW9&gt;0,1,0))), IF(AW10="-",0,IF(AW10&lt;0,-1,IF(AW10&gt;0,1,0))))
            / 12 &lt; -0.1, "BEARISH",
            "NEUTRO"
        )
    )
)</f>
        <v>BULLISH</v>
      </c>
      <c r="AV2" s="317"/>
      <c r="AW2" s="318"/>
    </row>
    <row r="3" spans="1:49" x14ac:dyDescent="0.25">
      <c r="A3" s="32" t="s">
        <v>160</v>
      </c>
      <c r="B3" s="37"/>
      <c r="C3" s="37"/>
      <c r="D3" s="34" t="str">
        <f>IF(OR(B3="",C3="",B3="-",C3="-"),"-",B3-C3)</f>
        <v>-</v>
      </c>
      <c r="E3" s="37">
        <v>3.3000000000000002E-2</v>
      </c>
      <c r="F3" s="37">
        <v>0.03</v>
      </c>
      <c r="G3" s="34">
        <f>IF(OR(E3="",F3="",E3="-",F3="-"),"-",E3-F3)</f>
        <v>3.0000000000000027E-3</v>
      </c>
      <c r="H3" s="33">
        <v>3.4000000000000002E-2</v>
      </c>
      <c r="I3" s="33">
        <v>3.2000000000000001E-2</v>
      </c>
      <c r="J3" s="34">
        <f>IF(OR(H3="",I3="",H3="-",I3="-"),"-",H3-I3)</f>
        <v>2.0000000000000018E-3</v>
      </c>
      <c r="K3" s="37"/>
      <c r="L3" s="37"/>
      <c r="M3" s="34" t="str">
        <f>IF(OR(K3="",L3="",K3="-",L3="-"),"-",K3-L3)</f>
        <v>-</v>
      </c>
      <c r="N3" s="33">
        <v>3.7999999999999999E-2</v>
      </c>
      <c r="O3" s="33">
        <v>3.7999999999999999E-2</v>
      </c>
      <c r="P3" s="34">
        <f>IF(OR(N3="",O3="",N3="-",O3="-"),"-",N3-O3)</f>
        <v>0</v>
      </c>
      <c r="Q3" s="33">
        <v>3.7999999999999999E-2</v>
      </c>
      <c r="R3" s="33">
        <v>3.5999999999999997E-2</v>
      </c>
      <c r="S3" s="34">
        <f>IF(OR(Q3="",R3="",Q3="-",R3="-"),"-",Q3-R3)</f>
        <v>2.0000000000000018E-3</v>
      </c>
      <c r="T3" s="33">
        <v>3.5999999999999997E-2</v>
      </c>
      <c r="U3" s="33">
        <v>3.4000000000000002E-2</v>
      </c>
      <c r="V3" s="34">
        <f>IF(OR(T3="",U3="",T3="-",U3="-"),"-",T3-U3)</f>
        <v>1.9999999999999948E-3</v>
      </c>
      <c r="W3" s="33">
        <v>3.4000000000000002E-2</v>
      </c>
      <c r="X3" s="33">
        <v>2.5999999999999999E-2</v>
      </c>
      <c r="Y3" s="34">
        <f>IF(OR(W3="",X3="",W3="-",X3="-"),"-",W3-X3)</f>
        <v>8.0000000000000036E-3</v>
      </c>
      <c r="Z3" s="33">
        <v>2.5999999999999999E-2</v>
      </c>
      <c r="AA3" s="35">
        <v>0.03</v>
      </c>
      <c r="AB3" s="34">
        <f>IF(OR(Z3="",AA3="",Z3="-",AA3="-"),"-",Z3-AA3)</f>
        <v>-4.0000000000000001E-3</v>
      </c>
      <c r="AC3" s="35">
        <v>0.03</v>
      </c>
      <c r="AD3" s="33">
        <v>2.5000000000000001E-2</v>
      </c>
      <c r="AE3" s="34">
        <f>IF(OR(AC3="",AD3="",AC3="-",AD3="-"),"-",AC3-AD3)</f>
        <v>4.9999999999999975E-3</v>
      </c>
      <c r="AF3" s="33">
        <v>2.5000000000000001E-2</v>
      </c>
      <c r="AG3" s="33">
        <v>2.5999999999999999E-2</v>
      </c>
      <c r="AH3" s="34">
        <f>IF(OR(AF3="",AG3="",AF3="-",AG3="-"),"-",AF3-AG3)</f>
        <v>-9.9999999999999742E-4</v>
      </c>
      <c r="AI3" s="33">
        <v>2.5999999999999999E-2</v>
      </c>
      <c r="AJ3" s="33">
        <v>1.7000000000000001E-2</v>
      </c>
      <c r="AK3" s="34">
        <f>IF(OR(AI3="",AJ3="",AI3="-",AJ3="-"),"-",AI3-AJ3)</f>
        <v>8.9999999999999976E-3</v>
      </c>
      <c r="AL3" s="33">
        <v>1.7000000000000001E-2</v>
      </c>
      <c r="AM3" s="33">
        <v>2.1999999999999999E-2</v>
      </c>
      <c r="AN3" s="34">
        <f>IF(OR(AL3="",AM3="",AL3="-",AM3="-"),"-",AL3-AM3)</f>
        <v>-4.9999999999999975E-3</v>
      </c>
      <c r="AO3" s="33">
        <v>2.1999999999999999E-2</v>
      </c>
      <c r="AP3" s="35">
        <v>2.1999999999999999E-2</v>
      </c>
      <c r="AQ3" s="34">
        <f>IF(OR(AO3="",AP3="",AO3="-",AP3="-"),"-",AO3-AP3)</f>
        <v>0</v>
      </c>
      <c r="AR3" s="33">
        <v>0.02</v>
      </c>
      <c r="AS3" s="33">
        <v>0.02</v>
      </c>
      <c r="AT3" s="34">
        <f>IF(OR(AR3="",AS3="",AR3="-",AS3="-"),"-",AR3-AS3)</f>
        <v>0</v>
      </c>
      <c r="AU3" s="36"/>
      <c r="AV3" s="37"/>
      <c r="AW3" s="34" t="str">
        <f>IF(OR(AU3="",AV3="",AU3="-",AV3="-"),"-",AU3-AV3)</f>
        <v>-</v>
      </c>
    </row>
    <row r="4" spans="1:49" x14ac:dyDescent="0.25">
      <c r="A4" s="32" t="s">
        <v>161</v>
      </c>
      <c r="B4" s="37"/>
      <c r="C4" s="37"/>
      <c r="D4" s="34" t="str">
        <f>IF(OR(B4="",C4="",B4="-",C4="-"),"-",B4-C4)</f>
        <v>-</v>
      </c>
      <c r="E4" s="37">
        <v>3.2000000000000001E-2</v>
      </c>
      <c r="F4" s="37">
        <v>3.2000000000000001E-2</v>
      </c>
      <c r="G4" s="34">
        <f>IF(OR(E4="",F4="",E4="-",F4="-"),"-",E4-F4)</f>
        <v>0</v>
      </c>
      <c r="H4" s="33">
        <v>3.2000000000000001E-2</v>
      </c>
      <c r="I4" s="33">
        <v>3.2000000000000001E-2</v>
      </c>
      <c r="J4" s="34">
        <f>IF(OR(H4="",I4="",H4="-",I4="-"),"-",H4-I4)</f>
        <v>0</v>
      </c>
      <c r="K4" s="37"/>
      <c r="L4" s="37"/>
      <c r="M4" s="34" t="str">
        <f>IF(OR(K4="",L4="",K4="-",L4="-"),"-",K4-L4)</f>
        <v>-</v>
      </c>
      <c r="N4" s="33">
        <v>3.5000000000000003E-2</v>
      </c>
      <c r="O4" s="33">
        <v>3.5999999999999997E-2</v>
      </c>
      <c r="P4" s="34">
        <f>IF(OR(N4="",O4="",N4="-",O4="-"),"-",N4-O4)</f>
        <v>-9.9999999999999395E-4</v>
      </c>
      <c r="Q4" s="33">
        <v>3.5999999999999997E-2</v>
      </c>
      <c r="R4" s="33">
        <v>3.6999999999999998E-2</v>
      </c>
      <c r="S4" s="34">
        <f>IF(OR(Q4="",R4="",Q4="-",R4="-"),"-",Q4-R4)</f>
        <v>-1.0000000000000009E-3</v>
      </c>
      <c r="T4" s="33">
        <v>3.6999999999999998E-2</v>
      </c>
      <c r="U4" s="33">
        <v>3.5000000000000003E-2</v>
      </c>
      <c r="V4" s="34">
        <f>IF(OR(T4="",U4="",T4="-",U4="-"),"-",T4-U4)</f>
        <v>1.9999999999999948E-3</v>
      </c>
      <c r="W4" s="33">
        <v>3.5000000000000003E-2</v>
      </c>
      <c r="X4" s="33">
        <v>3.4000000000000002E-2</v>
      </c>
      <c r="Y4" s="34">
        <f>IF(OR(W4="",X4="",W4="-",X4="-"),"-",W4-X4)</f>
        <v>1.0000000000000009E-3</v>
      </c>
      <c r="Z4" s="33">
        <v>3.4000000000000002E-2</v>
      </c>
      <c r="AA4" s="33">
        <v>3.6999999999999998E-2</v>
      </c>
      <c r="AB4" s="34">
        <f>IF(OR(Z4="",AA4="",Z4="-",AA4="-"),"-",Z4-AA4)</f>
        <v>-2.9999999999999957E-3</v>
      </c>
      <c r="AC4" s="33">
        <v>3.6999999999999998E-2</v>
      </c>
      <c r="AD4" s="33">
        <v>3.2000000000000001E-2</v>
      </c>
      <c r="AE4" s="34">
        <f>IF(OR(AC4="",AD4="",AC4="-",AD4="-"),"-",AC4-AD4)</f>
        <v>4.9999999999999975E-3</v>
      </c>
      <c r="AF4" s="33">
        <v>3.2000000000000001E-2</v>
      </c>
      <c r="AG4" s="33">
        <v>3.5000000000000003E-2</v>
      </c>
      <c r="AH4" s="34">
        <f>IF(OR(AF4="",AG4="",AF4="-",AG4="-"),"-",AF4-AG4)</f>
        <v>-3.0000000000000027E-3</v>
      </c>
      <c r="AI4" s="33">
        <v>3.5000000000000003E-2</v>
      </c>
      <c r="AJ4" s="33">
        <v>3.2000000000000001E-2</v>
      </c>
      <c r="AK4" s="34">
        <f>IF(OR(AI4="",AJ4="",AI4="-",AJ4="-"),"-",AI4-AJ4)</f>
        <v>3.0000000000000027E-3</v>
      </c>
      <c r="AL4" s="33">
        <v>3.2000000000000001E-2</v>
      </c>
      <c r="AM4" s="33">
        <v>3.5999999999999997E-2</v>
      </c>
      <c r="AN4" s="34">
        <f>IF(OR(AL4="",AM4="",AL4="-",AM4="-"),"-",AL4-AM4)</f>
        <v>-3.9999999999999966E-3</v>
      </c>
      <c r="AO4" s="33">
        <v>3.5999999999999997E-2</v>
      </c>
      <c r="AP4" s="33">
        <v>3.3000000000000002E-2</v>
      </c>
      <c r="AQ4" s="34">
        <f>IF(OR(AO4="",AP4="",AO4="-",AP4="-"),"-",AO4-AP4)</f>
        <v>2.9999999999999957E-3</v>
      </c>
      <c r="AR4" s="33">
        <v>3.5000000000000003E-2</v>
      </c>
      <c r="AS4" s="33">
        <v>3.5000000000000003E-2</v>
      </c>
      <c r="AT4" s="34">
        <f>IF(OR(AR4="",AS4="",AR4="-",AS4="-"),"-",AR4-AS4)</f>
        <v>0</v>
      </c>
      <c r="AU4" s="36">
        <v>0.5</v>
      </c>
      <c r="AV4" s="37">
        <v>0.4</v>
      </c>
      <c r="AW4" s="34">
        <f>IF(OR(AU4="",AV4="",AU4="-",AV4="-"),"-",AU4-AV4)</f>
        <v>9.9999999999999978E-2</v>
      </c>
    </row>
    <row r="5" spans="1:49" x14ac:dyDescent="0.25">
      <c r="A5" s="32" t="s">
        <v>162</v>
      </c>
      <c r="B5" s="37"/>
      <c r="C5" s="37"/>
      <c r="D5" s="34" t="str">
        <f>IF(OR(B5="",C5="",B5="-",C5="-"),"-",B5-C5)</f>
        <v>-</v>
      </c>
      <c r="E5" s="37">
        <v>5.0000000000000001E-3</v>
      </c>
      <c r="F5" s="37">
        <v>-2E-3</v>
      </c>
      <c r="G5" s="34">
        <f>IF(OR(E5="",F5="",E5="-",F5="-"),"-",E5-F5)</f>
        <v>7.0000000000000001E-3</v>
      </c>
      <c r="H5" s="33">
        <v>-2E-3</v>
      </c>
      <c r="I5" s="33">
        <v>5.0000000000000001E-3</v>
      </c>
      <c r="J5" s="34">
        <f>IF(OR(H5="",I5="",H5="-",I5="-"),"-",H5-I5)</f>
        <v>-7.0000000000000001E-3</v>
      </c>
      <c r="K5" s="37"/>
      <c r="L5" s="37"/>
      <c r="M5" s="34" t="str">
        <f>IF(OR(K5="",L5="",K5="-",L5="-"),"-",K5-L5)</f>
        <v>-</v>
      </c>
      <c r="N5" s="37">
        <v>0</v>
      </c>
      <c r="O5" s="33">
        <v>6.0000000000000001E-3</v>
      </c>
      <c r="P5" s="34">
        <f>IF(OR(N5="",O5="",N5="-",O5="-"),"-",N5-O5)</f>
        <v>-6.0000000000000001E-3</v>
      </c>
      <c r="Q5" s="37"/>
      <c r="R5" s="37"/>
      <c r="S5" s="34" t="str">
        <f>IF(OR(Q5="",R5="",Q5="-",R5="-"),"-",Q5-R5)</f>
        <v>-</v>
      </c>
      <c r="T5" s="37"/>
      <c r="U5" s="37"/>
      <c r="V5" s="34" t="str">
        <f>IF(OR(T5="",U5="",T5="-",U5="-"),"-",T5-U5)</f>
        <v>-</v>
      </c>
      <c r="W5" s="37"/>
      <c r="X5" s="37"/>
      <c r="Y5" s="34" t="str">
        <f>IF(OR(W5="",X5="",W5="-",X5="-"),"-",W5-X5)</f>
        <v>-</v>
      </c>
      <c r="Z5" s="37"/>
      <c r="AA5" s="37"/>
      <c r="AB5" s="34" t="str">
        <f>IF(OR(Z5="",AA5="",Z5="-",AA5="-"),"-",Z5-AA5)</f>
        <v>-</v>
      </c>
      <c r="AC5" s="33">
        <v>8.0000000000000002E-3</v>
      </c>
      <c r="AD5" s="33">
        <v>2E-3</v>
      </c>
      <c r="AE5" s="34">
        <f>IF(OR(AC5="",AD5="",AC5="-",AD5="-"),"-",AC5-AD5)</f>
        <v>6.0000000000000001E-3</v>
      </c>
      <c r="AF5" s="33">
        <v>1E-3</v>
      </c>
      <c r="AG5" s="35">
        <v>0</v>
      </c>
      <c r="AH5" s="34">
        <f>IF(OR(AF5="",AG5="",AF5="-",AG5="-"),"-",AF5-AG5)</f>
        <v>1E-3</v>
      </c>
      <c r="AI5" s="33">
        <v>0</v>
      </c>
      <c r="AJ5" s="33">
        <v>-5.0000000000000001E-3</v>
      </c>
      <c r="AK5" s="34">
        <f>IF(OR(AI5="",AJ5="",AI5="-",AJ5="-"),"-",AI5-AJ5)</f>
        <v>5.0000000000000001E-3</v>
      </c>
      <c r="AL5" s="35">
        <v>-0.01</v>
      </c>
      <c r="AM5" s="33">
        <v>-3.0000000000000001E-3</v>
      </c>
      <c r="AN5" s="34">
        <f>IF(OR(AL5="",AM5="",AL5="-",AM5="-"),"-",AL5-AM5)</f>
        <v>-7.0000000000000001E-3</v>
      </c>
      <c r="AO5" s="33">
        <v>-5.0000000000000001E-3</v>
      </c>
      <c r="AP5" s="33">
        <v>-3.0000000000000001E-3</v>
      </c>
      <c r="AQ5" s="34">
        <f>IF(OR(AO5="",AP5="",AO5="-",AP5="-"),"-",AO5-AP5)</f>
        <v>-2E-3</v>
      </c>
      <c r="AR5" s="35">
        <v>-8.0000000000000002E-3</v>
      </c>
      <c r="AS5" s="33">
        <v>-6.0000000000000001E-3</v>
      </c>
      <c r="AT5" s="34">
        <f>IF(OR(AR5="",AS5="",AR5="-",AS5="-"),"-",AR5-AS5)</f>
        <v>-2E-3</v>
      </c>
      <c r="AU5" s="36"/>
      <c r="AV5" s="37"/>
      <c r="AW5" s="34" t="str">
        <f>IF(OR(AU5="",AV5="",AU5="-",AV5="-"),"-",AU5-AV5)</f>
        <v>-</v>
      </c>
    </row>
    <row r="6" spans="1:49" x14ac:dyDescent="0.25">
      <c r="A6" s="32" t="s">
        <v>163</v>
      </c>
      <c r="B6" s="37"/>
      <c r="C6" s="37"/>
      <c r="D6" s="34" t="str">
        <f>IF(OR(B6="",C6="",B6="-",C6="-"),"-",B6-C6)</f>
        <v>-</v>
      </c>
      <c r="E6" s="37">
        <v>3.0000000000000001E-3</v>
      </c>
      <c r="F6" s="37">
        <v>0</v>
      </c>
      <c r="G6" s="34">
        <f>IF(OR(E6="",F6="",E6="-",F6="-"),"-",E6-F6)</f>
        <v>3.0000000000000001E-3</v>
      </c>
      <c r="H6" s="37">
        <v>0</v>
      </c>
      <c r="I6" s="33">
        <v>1E-3</v>
      </c>
      <c r="J6" s="34">
        <f>IF(OR(H6="",I6="",H6="-",I6="-"),"-",H6-I6)</f>
        <v>-1E-3</v>
      </c>
      <c r="K6" s="37"/>
      <c r="L6" s="37"/>
      <c r="M6" s="34" t="str">
        <f>IF(OR(K6="",L6="",K6="-",L6="-"),"-",K6-L6)</f>
        <v>-</v>
      </c>
      <c r="N6" s="33">
        <v>1E-3</v>
      </c>
      <c r="O6" s="33">
        <v>6.0000000000000001E-3</v>
      </c>
      <c r="P6" s="34">
        <f>IF(OR(N6="",O6="",N6="-",O6="-"),"-",N6-O6)</f>
        <v>-5.0000000000000001E-3</v>
      </c>
      <c r="Q6" s="37"/>
      <c r="R6" s="37"/>
      <c r="S6" s="34" t="str">
        <f>IF(OR(Q6="",R6="",Q6="-",R6="-"),"-",Q6-R6)</f>
        <v>-</v>
      </c>
      <c r="T6" s="37"/>
      <c r="U6" s="37"/>
      <c r="V6" s="34" t="str">
        <f>IF(OR(T6="",U6="",T6="-",U6="-"),"-",T6-U6)</f>
        <v>-</v>
      </c>
      <c r="W6" s="37"/>
      <c r="X6" s="37"/>
      <c r="Y6" s="34" t="str">
        <f>IF(OR(W6="",X6="",W6="-",X6="-"),"-",W6-X6)</f>
        <v>-</v>
      </c>
      <c r="Z6" s="37"/>
      <c r="AA6" s="37"/>
      <c r="AB6" s="34" t="str">
        <f>IF(OR(Z6="",AA6="",Z6="-",AA6="-"),"-",Z6-AA6)</f>
        <v>-</v>
      </c>
      <c r="AC6" s="33">
        <v>5.0000000000000001E-3</v>
      </c>
      <c r="AD6" s="33">
        <v>-2E-3</v>
      </c>
      <c r="AE6" s="34">
        <f>IF(OR(AC6="",AD6="",AC6="-",AD6="-"),"-",AC6-AD6)</f>
        <v>7.0000000000000001E-3</v>
      </c>
      <c r="AF6" s="33">
        <v>1E-3</v>
      </c>
      <c r="AG6" s="33">
        <v>4.0000000000000001E-3</v>
      </c>
      <c r="AH6" s="34">
        <f>IF(OR(AF6="",AG6="",AF6="-",AG6="-"),"-",AF6-AG6)</f>
        <v>-3.0000000000000001E-3</v>
      </c>
      <c r="AI6" s="33">
        <v>3.0000000000000001E-3</v>
      </c>
      <c r="AJ6" s="33">
        <v>-4.0000000000000001E-3</v>
      </c>
      <c r="AK6" s="34">
        <f>IF(OR(AI6="",AJ6="",AI6="-",AJ6="-"),"-",AI6-AJ6)</f>
        <v>7.0000000000000001E-3</v>
      </c>
      <c r="AL6" s="33">
        <v>-5.0000000000000001E-3</v>
      </c>
      <c r="AM6" s="33">
        <v>-3.0000000000000001E-3</v>
      </c>
      <c r="AN6" s="34">
        <f>IF(OR(AL6="",AM6="",AL6="-",AM6="-"),"-",AL6-AM6)</f>
        <v>-2E-3</v>
      </c>
      <c r="AO6" s="35">
        <v>-3.0000000000000001E-3</v>
      </c>
      <c r="AP6" s="33">
        <v>0</v>
      </c>
      <c r="AQ6" s="34">
        <f>IF(OR(AO6="",AP6="",AO6="-",AP6="-"),"-",AO6-AP6)</f>
        <v>-3.0000000000000001E-3</v>
      </c>
      <c r="AR6" s="33">
        <v>-3.0000000000000001E-3</v>
      </c>
      <c r="AS6" s="33">
        <v>0</v>
      </c>
      <c r="AT6" s="34">
        <f>IF(OR(AR6="",AS6="",AR6="-",AS6="-"),"-",AR6-AS6)</f>
        <v>-3.0000000000000001E-3</v>
      </c>
      <c r="AU6" s="36"/>
      <c r="AV6" s="37"/>
      <c r="AW6" s="34" t="str">
        <f>IF(OR(AU6="",AV6="",AU6="-",AV6="-"),"-",AU6-AV6)</f>
        <v>-</v>
      </c>
    </row>
    <row r="7" spans="1:49" x14ac:dyDescent="0.25">
      <c r="A7" s="38" t="s">
        <v>164</v>
      </c>
      <c r="B7" s="42"/>
      <c r="C7" s="42"/>
      <c r="D7" s="4" t="str">
        <f>IF(OR(B7="",C7="",B7="-",C7="-"),"-",B7-C7)</f>
        <v>-</v>
      </c>
      <c r="E7" s="42">
        <v>3.7999999999999999E-2</v>
      </c>
      <c r="F7" s="42">
        <v>4.2000000000000003E-2</v>
      </c>
      <c r="G7" s="4">
        <f>IF(OR(E7="",F7="",E7="-",F7="-"),"-",E7-F7)</f>
        <v>-4.0000000000000036E-3</v>
      </c>
      <c r="H7" s="39">
        <v>4.2000000000000003E-2</v>
      </c>
      <c r="I7" s="39">
        <v>3.7999999999999999E-2</v>
      </c>
      <c r="J7" s="4">
        <f>IF(OR(H7="",I7="",H7="-",I7="-"),"-",H7-I7)</f>
        <v>4.0000000000000036E-3</v>
      </c>
      <c r="K7" s="42"/>
      <c r="L7" s="42"/>
      <c r="M7" s="4" t="str">
        <f>IF(OR(K7="",L7="",K7="-",L7="-"),"-",K7-L7)</f>
        <v>-</v>
      </c>
      <c r="N7" s="39">
        <v>4.4999999999999998E-2</v>
      </c>
      <c r="O7" s="39">
        <v>4.5999999999999999E-2</v>
      </c>
      <c r="P7" s="4">
        <f>IF(OR(N7="",O7="",N7="-",O7="-"),"-",N7-O7)</f>
        <v>-1.0000000000000009E-3</v>
      </c>
      <c r="Q7" s="39">
        <v>4.5999999999999999E-2</v>
      </c>
      <c r="R7" s="39">
        <v>4.3999999999999997E-2</v>
      </c>
      <c r="S7" s="4">
        <f>IF(OR(Q7="",R7="",Q7="-",R7="-"),"-",Q7-R7)</f>
        <v>2.0000000000000018E-3</v>
      </c>
      <c r="T7" s="39">
        <v>4.3999999999999997E-2</v>
      </c>
      <c r="U7" s="39">
        <v>4.2999999999999997E-2</v>
      </c>
      <c r="V7" s="4">
        <f>IF(OR(T7="",U7="",T7="-",U7="-"),"-",T7-U7)</f>
        <v>1.0000000000000009E-3</v>
      </c>
      <c r="W7" s="39">
        <v>4.2999999999999997E-2</v>
      </c>
      <c r="X7" s="39">
        <v>3.2000000000000001E-2</v>
      </c>
      <c r="Y7" s="4">
        <f>IF(OR(W7="",X7="",W7="-",X7="-"),"-",W7-X7)</f>
        <v>1.0999999999999996E-2</v>
      </c>
      <c r="Z7" s="39">
        <v>3.2000000000000001E-2</v>
      </c>
      <c r="AA7" s="39">
        <v>3.5999999999999997E-2</v>
      </c>
      <c r="AB7" s="4">
        <f>IF(OR(Z7="",AA7="",Z7="-",AA7="-"),"-",Z7-AA7)</f>
        <v>-3.9999999999999966E-3</v>
      </c>
      <c r="AC7" s="39">
        <v>3.5999999999999997E-2</v>
      </c>
      <c r="AD7" s="39">
        <v>3.5000000000000003E-2</v>
      </c>
      <c r="AE7" s="4">
        <f>IF(OR(AC7="",AD7="",AC7="-",AD7="-"),"-",AC7-AD7)</f>
        <v>9.9999999999999395E-4</v>
      </c>
      <c r="AF7" s="39">
        <v>3.5000000000000003E-2</v>
      </c>
      <c r="AG7" s="39">
        <v>3.5999999999999997E-2</v>
      </c>
      <c r="AH7" s="4">
        <f>IF(OR(AF7="",AG7="",AF7="-",AG7="-"),"-",AF7-AG7)</f>
        <v>-9.9999999999999395E-4</v>
      </c>
      <c r="AI7" s="39">
        <v>3.5999999999999997E-2</v>
      </c>
      <c r="AJ7" s="39">
        <v>2.7E-2</v>
      </c>
      <c r="AK7" s="4">
        <f>IF(OR(AI7="",AJ7="",AI7="-",AJ7="-"),"-",AI7-AJ7)</f>
        <v>8.9999999999999976E-3</v>
      </c>
      <c r="AL7" s="39">
        <v>2.7E-2</v>
      </c>
      <c r="AM7" s="39">
        <v>3.5000000000000003E-2</v>
      </c>
      <c r="AN7" s="4">
        <f>IF(OR(AL7="",AM7="",AL7="-",AM7="-"),"-",AL7-AM7)</f>
        <v>-8.0000000000000036E-3</v>
      </c>
      <c r="AO7" s="39">
        <v>3.5000000000000003E-2</v>
      </c>
      <c r="AP7" s="39">
        <v>3.5999999999999997E-2</v>
      </c>
      <c r="AQ7" s="4">
        <f>IF(OR(AO7="",AP7="",AO7="-",AP7="-"),"-",AO7-AP7)</f>
        <v>-9.9999999999999395E-4</v>
      </c>
      <c r="AR7" s="40">
        <v>2.9000000000000001E-2</v>
      </c>
      <c r="AS7" s="39">
        <v>0.03</v>
      </c>
      <c r="AT7" s="4">
        <f>IF(OR(AR7="",AS7="",AR7="-",AS7="-"),"-",AR7-AS7)</f>
        <v>-9.9999999999999742E-4</v>
      </c>
      <c r="AU7" s="41"/>
      <c r="AV7" s="42"/>
      <c r="AW7" s="4" t="str">
        <f>IF(OR(AU7="",AV7="",AU7="-",AV7="-"),"-",AU7-AV7)</f>
        <v>-</v>
      </c>
    </row>
    <row r="8" spans="1:49" x14ac:dyDescent="0.25">
      <c r="A8" s="38" t="s">
        <v>165</v>
      </c>
      <c r="B8" s="42"/>
      <c r="C8" s="42"/>
      <c r="D8" s="4" t="str">
        <f>IF(OR(B8="",C8="",B8="-",C8="-"),"-",B8-C8)</f>
        <v>-</v>
      </c>
      <c r="E8" s="42">
        <v>3.5000000000000003E-2</v>
      </c>
      <c r="F8" s="42">
        <v>3.5000000000000003E-2</v>
      </c>
      <c r="G8" s="4">
        <f>IF(OR(E8="",F8="",E8="-",F8="-"),"-",E8-F8)</f>
        <v>0</v>
      </c>
      <c r="H8" s="42"/>
      <c r="I8" s="42"/>
      <c r="J8" s="4" t="str">
        <f>IF(OR(H8="",I8="",H8="-",I8="-"),"-",H8-I8)</f>
        <v>-</v>
      </c>
      <c r="K8" s="42"/>
      <c r="L8" s="42"/>
      <c r="M8" s="4" t="str">
        <f>IF(OR(K8="",L8="",K8="-",L8="-"),"-",K8-L8)</f>
        <v>-</v>
      </c>
      <c r="N8" s="42"/>
      <c r="O8" s="42"/>
      <c r="P8" s="4" t="str">
        <f>IF(OR(N8="",O8="",N8="-",O8="-"),"-",N8-O8)</f>
        <v>-</v>
      </c>
      <c r="Q8" s="39">
        <v>3.5000000000000003E-2</v>
      </c>
      <c r="R8" s="39">
        <v>3.2000000000000001E-2</v>
      </c>
      <c r="S8" s="4">
        <f>IF(OR(Q8="",R8="",Q8="-",R8="-"),"-",Q8-R8)</f>
        <v>3.0000000000000027E-3</v>
      </c>
      <c r="T8" s="42"/>
      <c r="U8" s="42"/>
      <c r="V8" s="4" t="str">
        <f>IF(OR(T8="",U8="",T8="-",U8="-"),"-",T8-U8)</f>
        <v>-</v>
      </c>
      <c r="W8" s="39">
        <v>3.2000000000000001E-2</v>
      </c>
      <c r="X8" s="39">
        <v>3.4000000000000002E-2</v>
      </c>
      <c r="Y8" s="4">
        <f>IF(OR(W8="",X8="",W8="-",X8="-"),"-",W8-X8)</f>
        <v>-2.0000000000000018E-3</v>
      </c>
      <c r="Z8" s="42"/>
      <c r="AA8" s="42"/>
      <c r="AB8" s="4" t="str">
        <f>IF(OR(Z8="",AA8="",Z8="-",AA8="-"),"-",Z8-AA8)</f>
        <v>-</v>
      </c>
      <c r="AC8" s="39">
        <v>3.4000000000000002E-2</v>
      </c>
      <c r="AD8" s="40">
        <v>0.03</v>
      </c>
      <c r="AE8" s="4">
        <f>IF(OR(AC8="",AD8="",AC8="-",AD8="-"),"-",AC8-AD8)</f>
        <v>4.0000000000000036E-3</v>
      </c>
      <c r="AF8" s="42"/>
      <c r="AG8" s="42"/>
      <c r="AH8" s="4" t="str">
        <f>IF(OR(AF8="",AG8="",AF8="-",AG8="-"),"-",AF8-AG8)</f>
        <v>-</v>
      </c>
      <c r="AI8" s="40">
        <v>0.03</v>
      </c>
      <c r="AJ8" s="39">
        <v>2.7E-2</v>
      </c>
      <c r="AK8" s="4">
        <f>IF(OR(AI8="",AJ8="",AI8="-",AJ8="-"),"-",AI8-AJ8)</f>
        <v>2.9999999999999992E-3</v>
      </c>
      <c r="AL8" s="42"/>
      <c r="AM8" s="42"/>
      <c r="AN8" s="4" t="str">
        <f>IF(OR(AL8="",AM8="",AL8="-",AM8="-"),"-",AL8-AM8)</f>
        <v>-</v>
      </c>
      <c r="AO8" s="39">
        <v>2.7E-2</v>
      </c>
      <c r="AP8" s="39">
        <v>2.8000000000000001E-2</v>
      </c>
      <c r="AQ8" s="4">
        <f>IF(OR(AO8="",AP8="",AO8="-",AP8="-"),"-",AO8-AP8)</f>
        <v>-1.0000000000000009E-3</v>
      </c>
      <c r="AR8" s="42"/>
      <c r="AS8" s="42"/>
      <c r="AT8" s="4" t="str">
        <f>IF(OR(AR8="",AS8="",AR8="-",AS8="-"),"-",AR8-AS8)</f>
        <v>-</v>
      </c>
      <c r="AU8" s="41"/>
      <c r="AV8" s="42"/>
      <c r="AW8" s="4" t="str">
        <f>IF(OR(AU8="",AV8="",AU8="-",AV8="-"),"-",AU8-AV8)</f>
        <v>-</v>
      </c>
    </row>
    <row r="9" spans="1:49" x14ac:dyDescent="0.25">
      <c r="A9" s="38" t="s">
        <v>166</v>
      </c>
      <c r="B9" s="42"/>
      <c r="C9" s="42"/>
      <c r="D9" s="4" t="str">
        <f>IF(OR(B9="",C9="",B9="-",C9="-"),"-",B9-C9)</f>
        <v>-</v>
      </c>
      <c r="E9" s="42">
        <v>1.2E-2</v>
      </c>
      <c r="F9" s="42">
        <v>1.4999999999999999E-2</v>
      </c>
      <c r="G9" s="4">
        <f>IF(OR(E9="",F9="",E9="-",F9="-"),"-",E9-F9)</f>
        <v>-2.9999999999999992E-3</v>
      </c>
      <c r="H9" s="39">
        <v>1.4999999999999999E-2</v>
      </c>
      <c r="I9" s="39">
        <v>7.0000000000000001E-3</v>
      </c>
      <c r="J9" s="4">
        <f>IF(OR(H9="",I9="",H9="-",I9="-"),"-",H9-I9)</f>
        <v>8.0000000000000002E-3</v>
      </c>
      <c r="K9" s="42"/>
      <c r="L9" s="42"/>
      <c r="M9" s="4" t="str">
        <f>IF(OR(K9="",L9="",K9="-",L9="-"),"-",K9-L9)</f>
        <v>-</v>
      </c>
      <c r="N9" s="39">
        <v>4.0000000000000001E-3</v>
      </c>
      <c r="O9" s="39">
        <v>8.0000000000000002E-3</v>
      </c>
      <c r="P9" s="4">
        <f>IF(OR(N9="",O9="",N9="-",O9="-"),"-",N9-O9)</f>
        <v>-4.0000000000000001E-3</v>
      </c>
      <c r="Q9" s="39">
        <v>8.9999999999999993E-3</v>
      </c>
      <c r="R9" s="39">
        <v>7.0000000000000001E-3</v>
      </c>
      <c r="S9" s="4">
        <f>IF(OR(Q9="",R9="",Q9="-",R9="-"),"-",Q9-R9)</f>
        <v>1.9999999999999992E-3</v>
      </c>
      <c r="T9" s="39">
        <v>7.0000000000000001E-3</v>
      </c>
      <c r="U9" s="39">
        <v>-1E-3</v>
      </c>
      <c r="V9" s="4">
        <f>IF(OR(T9="",U9="",T9="-",U9="-"),"-",T9-U9)</f>
        <v>8.0000000000000002E-3</v>
      </c>
      <c r="W9" s="39">
        <v>-1E-3</v>
      </c>
      <c r="X9" s="39">
        <v>-1E-3</v>
      </c>
      <c r="Y9" s="4">
        <f>IF(OR(W9="",X9="",W9="-",X9="-"),"-",W9-X9)</f>
        <v>0</v>
      </c>
      <c r="Z9" s="39">
        <v>-1E-3</v>
      </c>
      <c r="AA9" s="39">
        <v>-4.0000000000000001E-3</v>
      </c>
      <c r="AB9" s="4">
        <f>IF(OR(Z9="",AA9="",Z9="-",AA9="-"),"-",Z9-AA9)</f>
        <v>3.0000000000000001E-3</v>
      </c>
      <c r="AC9" s="39">
        <v>-7.0000000000000001E-3</v>
      </c>
      <c r="AD9" s="42">
        <v>-0.7</v>
      </c>
      <c r="AE9" s="4">
        <f>IF(OR(AC9="",AD9="",AC9="-",AD9="-"),"-",AC9-AD9)</f>
        <v>0.69299999999999995</v>
      </c>
      <c r="AF9" s="40">
        <v>-7.0000000000000001E-3</v>
      </c>
      <c r="AG9" s="39">
        <v>-6.0000000000000001E-3</v>
      </c>
      <c r="AH9" s="4">
        <f>IF(OR(AF9="",AG9="",AF9="-",AG9="-"),"-",AF9-AG9)</f>
        <v>-1E-3</v>
      </c>
      <c r="AI9" s="39">
        <v>-6.0000000000000001E-3</v>
      </c>
      <c r="AJ9" s="39">
        <v>-8.0000000000000002E-3</v>
      </c>
      <c r="AK9" s="4">
        <f>IF(OR(AI9="",AJ9="",AI9="-",AJ9="-"),"-",AI9-AJ9)</f>
        <v>2E-3</v>
      </c>
      <c r="AL9" s="39">
        <v>-8.0000000000000002E-3</v>
      </c>
      <c r="AM9" s="39">
        <v>-6.0000000000000001E-3</v>
      </c>
      <c r="AN9" s="4">
        <f>IF(OR(AL9="",AM9="",AL9="-",AM9="-"),"-",AL9-AM9)</f>
        <v>-2E-3</v>
      </c>
      <c r="AO9" s="42"/>
      <c r="AP9" s="42"/>
      <c r="AQ9" s="4" t="str">
        <f>IF(OR(AO9="",AP9="",AO9="-",AP9="-"),"-",AO9-AP9)</f>
        <v>-</v>
      </c>
      <c r="AR9" s="39">
        <v>2E-3</v>
      </c>
      <c r="AS9" s="39">
        <v>2E-3</v>
      </c>
      <c r="AT9" s="4">
        <f>IF(OR(AR9="",AS9="",AR9="-",AS9="-"),"-",AR9-AS9)</f>
        <v>0</v>
      </c>
      <c r="AU9" s="41"/>
      <c r="AV9" s="42"/>
      <c r="AW9" s="4" t="str">
        <f>IF(OR(AU9="",AV9="",AU9="-",AV9="-"),"-",AU9-AV9)</f>
        <v>-</v>
      </c>
    </row>
    <row r="10" spans="1:49" x14ac:dyDescent="0.25">
      <c r="A10" s="38" t="s">
        <v>167</v>
      </c>
      <c r="B10" s="42"/>
      <c r="C10" s="42"/>
      <c r="D10" s="4" t="str">
        <f>IF(OR(B10="",C10="",B10="-",C10="-"),"-",B10-C10)</f>
        <v>-</v>
      </c>
      <c r="E10" s="42">
        <v>4.0000000000000001E-3</v>
      </c>
      <c r="F10" s="42">
        <v>3.0000000000000001E-3</v>
      </c>
      <c r="G10" s="4">
        <f>IF(OR(E10="",F10="",E10="-",F10="-"),"-",E10-F10)</f>
        <v>1E-3</v>
      </c>
      <c r="H10" s="39">
        <v>3.0000000000000001E-3</v>
      </c>
      <c r="I10" s="39">
        <v>-2E-3</v>
      </c>
      <c r="J10" s="4">
        <f>IF(OR(H10="",I10="",H10="-",I10="-"),"-",H10-I10)</f>
        <v>5.0000000000000001E-3</v>
      </c>
      <c r="K10" s="42"/>
      <c r="L10" s="42"/>
      <c r="M10" s="4" t="str">
        <f>IF(OR(K10="",L10="",K10="-",L10="-"),"-",K10-L10)</f>
        <v>-</v>
      </c>
      <c r="N10" s="39">
        <v>4.0000000000000001E-3</v>
      </c>
      <c r="O10" s="39">
        <v>1E-3</v>
      </c>
      <c r="P10" s="4">
        <f>IF(OR(N10="",O10="",N10="-",O10="-"),"-",N10-O10)</f>
        <v>3.0000000000000001E-3</v>
      </c>
      <c r="Q10" s="39">
        <v>1E-3</v>
      </c>
      <c r="R10" s="39">
        <v>3.0000000000000001E-3</v>
      </c>
      <c r="S10" s="4">
        <f>IF(OR(Q10="",R10="",Q10="-",R10="-"),"-",Q10-R10)</f>
        <v>-2E-3</v>
      </c>
      <c r="T10" s="39">
        <v>3.0000000000000001E-3</v>
      </c>
      <c r="U10" s="39">
        <v>-1E-3</v>
      </c>
      <c r="V10" s="4">
        <f>IF(OR(T10="",U10="",T10="-",U10="-"),"-",T10-U10)</f>
        <v>4.0000000000000001E-3</v>
      </c>
      <c r="W10" s="42">
        <v>0</v>
      </c>
      <c r="X10" s="39">
        <v>3.0000000000000001E-3</v>
      </c>
      <c r="Y10" s="4">
        <f>IF(OR(W10="",X10="",W10="-",X10="-"),"-",W10-X10)</f>
        <v>-3.0000000000000001E-3</v>
      </c>
      <c r="Z10" s="39">
        <v>3.0000000000000001E-3</v>
      </c>
      <c r="AA10" s="39">
        <v>1.4E-2</v>
      </c>
      <c r="AB10" s="4">
        <f>IF(OR(Z10="",AA10="",Z10="-",AA10="-"),"-",Z10-AA10)</f>
        <v>-1.0999999999999999E-2</v>
      </c>
      <c r="AC10" s="39">
        <v>1.2999999999999999E-2</v>
      </c>
      <c r="AD10" s="39">
        <v>1E-3</v>
      </c>
      <c r="AE10" s="4">
        <f>IF(OR(AC10="",AD10="",AC10="-",AD10="-"),"-",AC10-AD10)</f>
        <v>1.2E-2</v>
      </c>
      <c r="AF10" s="39">
        <v>1E-3</v>
      </c>
      <c r="AG10" s="39">
        <v>-2E-3</v>
      </c>
      <c r="AH10" s="4">
        <f>IF(OR(AF10="",AG10="",AF10="-",AG10="-"),"-",AF10-AG10)</f>
        <v>3.0000000000000001E-3</v>
      </c>
      <c r="AI10" s="39">
        <v>-1E-3</v>
      </c>
      <c r="AJ10" s="39">
        <v>5.0000000000000001E-3</v>
      </c>
      <c r="AK10" s="4">
        <f>IF(OR(AI10="",AJ10="",AI10="-",AJ10="-"),"-",AI10-AJ10)</f>
        <v>-6.0000000000000001E-3</v>
      </c>
      <c r="AL10" s="39">
        <v>6.0000000000000001E-3</v>
      </c>
      <c r="AM10" s="39">
        <v>-1E-3</v>
      </c>
      <c r="AN10" s="4">
        <f>IF(OR(AL10="",AM10="",AL10="-",AM10="-"),"-",AL10-AM10)</f>
        <v>7.0000000000000001E-3</v>
      </c>
      <c r="AO10" s="39">
        <v>3.0000000000000001E-3</v>
      </c>
      <c r="AP10" s="39">
        <v>5.0000000000000001E-3</v>
      </c>
      <c r="AQ10" s="4">
        <f>IF(OR(AO10="",AP10="",AO10="-",AP10="-"),"-",AO10-AP10)</f>
        <v>-2E-3</v>
      </c>
      <c r="AR10" s="39">
        <v>5.0000000000000001E-3</v>
      </c>
      <c r="AS10" s="39">
        <v>-1E-3</v>
      </c>
      <c r="AT10" s="4">
        <f>IF(OR(AR10="",AS10="",AR10="-",AS10="-"),"-",AR10-AS10)</f>
        <v>6.0000000000000001E-3</v>
      </c>
      <c r="AU10" s="41"/>
      <c r="AV10" s="42"/>
      <c r="AW10" s="4" t="str">
        <f>IF(OR(AU10="",AV10="",AU10="-",AV10="-"),"-",AU10-AV10)</f>
        <v>-</v>
      </c>
    </row>
    <row r="11" spans="1:49" x14ac:dyDescent="0.25">
      <c r="A11" s="43" t="s">
        <v>294</v>
      </c>
      <c r="B11" s="44"/>
      <c r="C11" s="44"/>
      <c r="D11" s="45"/>
      <c r="E11" s="44"/>
      <c r="F11" s="44"/>
      <c r="G11" s="45"/>
      <c r="H11" s="44" t="s">
        <v>295</v>
      </c>
      <c r="I11" s="44" t="s">
        <v>296</v>
      </c>
      <c r="J11" s="45"/>
      <c r="K11" s="44"/>
      <c r="L11" s="44"/>
      <c r="M11" s="45"/>
      <c r="N11" s="44"/>
      <c r="O11" s="44"/>
      <c r="P11" s="45"/>
      <c r="Q11" s="44"/>
      <c r="R11" s="44"/>
      <c r="S11" s="45"/>
      <c r="T11" s="44"/>
      <c r="U11" s="44"/>
      <c r="V11" s="45"/>
      <c r="W11" s="44"/>
      <c r="X11" s="44"/>
      <c r="Y11" s="45"/>
      <c r="Z11" s="44"/>
      <c r="AA11" s="44"/>
      <c r="AB11" s="45"/>
      <c r="AC11" s="44"/>
      <c r="AD11" s="44"/>
      <c r="AE11" s="45"/>
      <c r="AF11" s="44"/>
      <c r="AG11" s="44"/>
      <c r="AH11" s="45"/>
      <c r="AI11" s="44"/>
      <c r="AJ11" s="44"/>
      <c r="AK11" s="45"/>
      <c r="AL11" s="44"/>
      <c r="AM11" s="44"/>
      <c r="AN11" s="45"/>
      <c r="AO11" s="44"/>
      <c r="AP11" s="44"/>
      <c r="AQ11" s="45"/>
      <c r="AR11" s="44"/>
      <c r="AS11" s="44"/>
      <c r="AT11" s="45"/>
      <c r="AU11" s="46"/>
      <c r="AV11" s="44"/>
      <c r="AW11" s="45"/>
    </row>
    <row r="12" spans="1:49" x14ac:dyDescent="0.25">
      <c r="A12" s="2" t="s">
        <v>18</v>
      </c>
      <c r="B12" s="316" t="str">
        <f>IF(AND(D13="-",D14="-",D15="-",D16="-"),"",IF(SUM(IF(D13="-",0,IF(D13&lt;0,-2,IF(D13&gt;0,2,0))),IF(D14="-",0,IF(D14&lt;0,-2,IF(D14&gt;0,2,0))),IF(D15="-",0,IF(D15&lt;0,-2,IF(D15&gt;0,2,0))),IF(D16="-",0,IF(D16&lt;0,1,IF(D16&gt;0,1,0))))
/7&gt;0.1,"BULLISH",IF(SUM(IF(D13="-",0,IF(D13&lt;0,-2,IF(D13&gt;0,2,0))),IF(D14="-",0,IF(D14&lt;0,-2,IF(D14&gt;0,2,0))),IF(D15="-",0,IF(D15&lt;0,-2,IF(D15&gt;0,2,0))),IF(D16="-",0,IF(D16&lt;0,1,IF(D16&gt;0,1,0))))
/7&lt;-0.1,"BEARISH",IF(SUM(IF(D13="-",0,IF(D13&lt;0,-2,IF(D13&gt;0,2,0))),IF(D14="-",0,IF(D14&lt;0,-2,IF(D14&gt;0,2,0))),IF(D15="-",0,IF(D15&lt;0,-2,IF(D15&gt;0,2,0))),IF(D16="-",0,IF(D16&lt;0,1,IF(D16&gt;0,1,0))))
/7&gt;-0.1,"NEUTRO","NEUTRO")))
)</f>
        <v/>
      </c>
      <c r="C12" s="317"/>
      <c r="D12" s="318"/>
      <c r="E12" s="316" t="str">
        <f>IF(AND(G13="-",G14="-",G15="-",G16="-"),"",IF(SUM(IF(G13="-",0,IF(G13&lt;0,-2,IF(G13&gt;0,2,0))),IF(G14="-",0,IF(G14&lt;0,-2,IF(G14&gt;0,2,0))),IF(G15="-",0,IF(G15&lt;0,-2,IF(G15&gt;0,2,0))),IF(G16="-",0,IF(G16&lt;0,1,IF(G16&gt;0,1,0))))
/7&gt;0.1,"BULLISH",IF(SUM(IF(G13="-",0,IF(G13&lt;0,-2,IF(G13&gt;0,2,0))),IF(G14="-",0,IF(G14&lt;0,-2,IF(G14&gt;0,2,0))),IF(G15="-",0,IF(G15&lt;0,-2,IF(G15&gt;0,2,0))),IF(G16="-",0,IF(G16&lt;0,1,IF(G16&gt;0,1,0))))
/7&lt;-0.1,"BEARISH",IF(SUM(IF(G13="-",0,IF(G13&lt;0,-2,IF(G13&gt;0,2,0))),IF(G14="-",0,IF(G14&lt;0,-2,IF(G14&gt;0,2,0))),IF(G15="-",0,IF(G15&lt;0,-2,IF(G15&gt;0,2,0))),IF(G16="-",0,IF(G16&lt;0,1,IF(G16&gt;0,1,0))))
/7&gt;-0.1,"NEUTRO","NEUTRO")))
)</f>
        <v>BEARISH</v>
      </c>
      <c r="F12" s="317"/>
      <c r="G12" s="318"/>
      <c r="H12" s="316" t="str">
        <f>IF(AND(J13="-",J14="-",J15="-",J16="-"),"",IF(SUM(IF(J13="-",0,IF(J13&lt;0,-2,IF(J13&gt;0,2,0))),IF(J14="-",0,IF(J14&lt;0,-2,IF(J14&gt;0,2,0))),IF(J15="-",0,IF(J15&lt;0,-2,IF(J15&gt;0,2,0))),IF(J16="-",0,IF(J16&lt;0,1,IF(J16&gt;0,1,0))))
/7&gt;0.1,"BULLISH",IF(SUM(IF(J13="-",0,IF(J13&lt;0,-2,IF(J13&gt;0,2,0))),IF(J14="-",0,IF(J14&lt;0,-2,IF(J14&gt;0,2,0))),IF(J15="-",0,IF(J15&lt;0,-2,IF(J15&gt;0,2,0))),IF(J16="-",0,IF(J16&lt;0,1,IF(J16&gt;0,1,0))))
/7&lt;-0.1,"BEARISH",IF(SUM(IF(J13="-",0,IF(J13&lt;0,-2,IF(J13&gt;0,2,0))),IF(J14="-",0,IF(J14&lt;0,-2,IF(J14&gt;0,2,0))),IF(J15="-",0,IF(J15&lt;0,-2,IF(J15&gt;0,2,0))),IF(J16="-",0,IF(J16&lt;0,1,IF(J16&gt;0,1,0))))
/7&gt;-0.1,"NEUTRO","NEUTRO")))
)</f>
        <v>BULLISH</v>
      </c>
      <c r="I12" s="317"/>
      <c r="J12" s="318"/>
      <c r="K12" s="316" t="str">
        <f>IF(AND(M13="-",M14="-",M15="-",M16="-"),"",IF(SUM(IF(M13="-",0,IF(M13&lt;0,-2,IF(M13&gt;0,2,0))),IF(M14="-",0,IF(M14&lt;0,-2,IF(M14&gt;0,2,0))),IF(M15="-",0,IF(M15&lt;0,-2,IF(M15&gt;0,2,0))),IF(M16="-",0,IF(M16&lt;0,1,IF(M16&gt;0,1,0))))
/7&gt;0.1,"BULLISH",IF(SUM(IF(M13="-",0,IF(M13&lt;0,-2,IF(M13&gt;0,2,0))),IF(M14="-",0,IF(M14&lt;0,-2,IF(M14&gt;0,2,0))),IF(M15="-",0,IF(M15&lt;0,-2,IF(M15&gt;0,2,0))),IF(M16="-",0,IF(M16&lt;0,1,IF(M16&gt;0,1,0))))
/7&lt;-0.1,"BEARISH",IF(SUM(IF(M13="-",0,IF(M13&lt;0,-2,IF(M13&gt;0,2,0))),IF(M14="-",0,IF(M14&lt;0,-2,IF(M14&gt;0,2,0))),IF(M15="-",0,IF(M15&lt;0,-2,IF(M15&gt;0,2,0))),IF(M16="-",0,IF(M16&lt;0,1,IF(M16&gt;0,1,0))))
/7&gt;-0.1,"NEUTRO","NEUTRO")))
)</f>
        <v/>
      </c>
      <c r="L12" s="317"/>
      <c r="M12" s="318"/>
      <c r="N12" s="316" t="str">
        <f>IF(AND(P13="-",P14="-",P15="-",P16="-"),"",IF(SUM(IF(P13="-",0,IF(P13&lt;0,-2,IF(P13&gt;0,2,0))),IF(P14="-",0,IF(P14&lt;0,-2,IF(P14&gt;0,2,0))),IF(P15="-",0,IF(P15&lt;0,-2,IF(P15&gt;0,2,0))),IF(P16="-",0,IF(P16&lt;0,1,IF(P16&gt;0,1,0))))
/7&gt;0.1,"BULLISH",IF(SUM(IF(P13="-",0,IF(P13&lt;0,-2,IF(P13&gt;0,2,0))),IF(P14="-",0,IF(P14&lt;0,-2,IF(P14&gt;0,2,0))),IF(P15="-",0,IF(P15&lt;0,-2,IF(P15&gt;0,2,0))),IF(P16="-",0,IF(P16&lt;0,1,IF(P16&gt;0,1,0))))
/7&lt;-0.1,"BEARISH",IF(SUM(IF(P13="-",0,IF(P13&lt;0,-2,IF(P13&gt;0,2,0))),IF(P14="-",0,IF(P14&lt;0,-2,IF(P14&gt;0,2,0))),IF(P15="-",0,IF(P15&lt;0,-2,IF(P15&gt;0,2,0))),IF(P16="-",0,IF(P16&lt;0,1,IF(P16&gt;0,1,0))))
/7&gt;-0.1,"NEUTRO","NEUTRO")))
)</f>
        <v>BULLISH</v>
      </c>
      <c r="O12" s="317"/>
      <c r="P12" s="318"/>
      <c r="Q12" s="316" t="str">
        <f>IF(AND(S13="-",S14="-",S15="-",S16="-"),"",IF(SUM(IF(S13="-",0,IF(S13&lt;0,-2,IF(S13&gt;0,2,0))),IF(S14="-",0,IF(S14&lt;0,-2,IF(S14&gt;0,2,0))),IF(S15="-",0,IF(S15&lt;0,-2,IF(S15&gt;0,2,0))),IF(S16="-",0,IF(S16&lt;0,1,IF(S16&gt;0,1,0))))
/7&gt;0.1,"BULLISH",IF(SUM(IF(S13="-",0,IF(S13&lt;0,-2,IF(S13&gt;0,2,0))),IF(S14="-",0,IF(S14&lt;0,-2,IF(S14&gt;0,2,0))),IF(S15="-",0,IF(S15&lt;0,-2,IF(S15&gt;0,2,0))),IF(S16="-",0,IF(S16&lt;0,1,IF(S16&gt;0,1,0))))
/7&lt;-0.1,"BEARISH",IF(SUM(IF(S13="-",0,IF(S13&lt;0,-2,IF(S13&gt;0,2,0))),IF(S14="-",0,IF(S14&lt;0,-2,IF(S14&gt;0,2,0))),IF(S15="-",0,IF(S15&lt;0,-2,IF(S15&gt;0,2,0))),IF(S16="-",0,IF(S16&lt;0,1,IF(S16&gt;0,1,0))))
/7&gt;-0.1,"NEUTRO","NEUTRO")))
)</f>
        <v>BEARISH</v>
      </c>
      <c r="R12" s="317"/>
      <c r="S12" s="318"/>
      <c r="T12" s="316" t="str">
        <f>IF(AND(V13="-",V14="-",V15="-",V16="-"),"",IF(SUM(IF(V13="-",0,IF(V13&lt;0,-2,IF(V13&gt;0,2,0))),IF(V14="-",0,IF(V14&lt;0,-2,IF(V14&gt;0,2,0))),IF(V15="-",0,IF(V15&lt;0,-2,IF(V15&gt;0,2,0))),IF(V16="-",0,IF(V16&lt;0,1,IF(V16&gt;0,1,0))))
/7&gt;0.1,"BULLISH",IF(SUM(IF(V13="-",0,IF(V13&lt;0,-2,IF(V13&gt;0,2,0))),IF(V14="-",0,IF(V14&lt;0,-2,IF(V14&gt;0,2,0))),IF(V15="-",0,IF(V15&lt;0,-2,IF(V15&gt;0,2,0))),IF(V16="-",0,IF(V16&lt;0,1,IF(V16&gt;0,1,0))))
/7&lt;-0.1,"BEARISH",IF(SUM(IF(V13="-",0,IF(V13&lt;0,-2,IF(V13&gt;0,2,0))),IF(V14="-",0,IF(V14&lt;0,-2,IF(V14&gt;0,2,0))),IF(V15="-",0,IF(V15&lt;0,-2,IF(V15&gt;0,2,0))),IF(V16="-",0,IF(V16&lt;0,1,IF(V16&gt;0,1,0))))
/7&gt;-0.1,"NEUTRO","NEUTRO")))
)</f>
        <v>BULLISH</v>
      </c>
      <c r="U12" s="317"/>
      <c r="V12" s="318"/>
      <c r="W12" s="316" t="str">
        <f>IF(AND(Y13="-",Y14="-",Y15="-",Y16="-"),"",IF(SUM(IF(Y13="-",0,IF(Y13&lt;0,-2,IF(Y13&gt;0,2,0))),IF(Y14="-",0,IF(Y14&lt;0,-2,IF(Y14&gt;0,2,0))),IF(Y15="-",0,IF(Y15&lt;0,-2,IF(Y15&gt;0,2,0))),IF(Y16="-",0,IF(Y16&lt;0,1,IF(Y16&gt;0,1,0))))
/7&gt;0.1,"BULLISH",IF(SUM(IF(Y13="-",0,IF(Y13&lt;0,-2,IF(Y13&gt;0,2,0))),IF(Y14="-",0,IF(Y14&lt;0,-2,IF(Y14&gt;0,2,0))),IF(Y15="-",0,IF(Y15&lt;0,-2,IF(Y15&gt;0,2,0))),IF(Y16="-",0,IF(Y16&lt;0,1,IF(Y16&gt;0,1,0))))
/7&lt;-0.1,"BEARISH",IF(SUM(IF(Y13="-",0,IF(Y13&lt;0,-2,IF(Y13&gt;0,2,0))),IF(Y14="-",0,IF(Y14&lt;0,-2,IF(Y14&gt;0,2,0))),IF(Y15="-",0,IF(Y15&lt;0,-2,IF(Y15&gt;0,2,0))),IF(Y16="-",0,IF(Y16&lt;0,1,IF(Y16&gt;0,1,0))))
/7&gt;-0.1,"NEUTRO","NEUTRO")))
)</f>
        <v>BEARISH</v>
      </c>
      <c r="X12" s="317"/>
      <c r="Y12" s="318"/>
      <c r="Z12" s="316" t="str">
        <f>IF(AND(AB13="-",AB14="-",AB15="-",AB16="-"),"",IF(SUM(IF(AB13="-",0,IF(AB13&lt;0,-2,IF(AB13&gt;0,2,0))),IF(AB14="-",0,IF(AB14&lt;0,-2,IF(AB14&gt;0,2,0))),IF(AB15="-",0,IF(AB15&lt;0,-2,IF(AB15&gt;0,2,0))),IF(AB16="-",0,IF(AB16&lt;0,1,IF(AB16&gt;0,1,0))))
/7&gt;0.1,"BULLISH",IF(SUM(IF(AB13="-",0,IF(AB13&lt;0,-2,IF(AB13&gt;0,2,0))),IF(AB14="-",0,IF(AB14&lt;0,-2,IF(AB14&gt;0,2,0))),IF(AB15="-",0,IF(AB15&lt;0,-2,IF(AB15&gt;0,2,0))),IF(AB16="-",0,IF(AB16&lt;0,1,IF(AB16&gt;0,1,0))))
/7&lt;-0.1,"BEARISH",IF(SUM(IF(AB13="-",0,IF(AB13&lt;0,-2,IF(AB13&gt;0,2,0))),IF(AB14="-",0,IF(AB14&lt;0,-2,IF(AB14&gt;0,2,0))),IF(AB15="-",0,IF(AB15&lt;0,-2,IF(AB15&gt;0,2,0))),IF(AB16="-",0,IF(AB16&lt;0,1,IF(AB16&gt;0,1,0))))
/7&gt;-0.1,"NEUTRO","NEUTRO")))
)</f>
        <v>BULLISH</v>
      </c>
      <c r="AA12" s="317"/>
      <c r="AB12" s="318"/>
      <c r="AC12" s="316" t="str">
        <f>IF(AND(AE13="-",AE14="-",AE15="-",AE16="-"),"",IF(SUM(IF(AE13="-",0,IF(AE13&lt;0,-2,IF(AE13&gt;0,2,0))),IF(AE14="-",0,IF(AE14&lt;0,-2,IF(AE14&gt;0,2,0))),IF(AE15="-",0,IF(AE15&lt;0,-2,IF(AE15&gt;0,2,0))),IF(AE16="-",0,IF(AE16&lt;0,1,IF(AE16&gt;0,1,0))))
/7&gt;0.1,"BULLISH",IF(SUM(IF(AE13="-",0,IF(AE13&lt;0,-2,IF(AE13&gt;0,2,0))),IF(AE14="-",0,IF(AE14&lt;0,-2,IF(AE14&gt;0,2,0))),IF(AE15="-",0,IF(AE15&lt;0,-2,IF(AE15&gt;0,2,0))),IF(AE16="-",0,IF(AE16&lt;0,1,IF(AE16&gt;0,1,0))))
/7&lt;-0.1,"BEARISH",IF(SUM(IF(AE13="-",0,IF(AE13&lt;0,-2,IF(AE13&gt;0,2,0))),IF(AE14="-",0,IF(AE14&lt;0,-2,IF(AE14&gt;0,2,0))),IF(AE15="-",0,IF(AE15&lt;0,-2,IF(AE15&gt;0,2,0))),IF(AE16="-",0,IF(AE16&lt;0,1,IF(AE16&gt;0,1,0))))
/7&gt;-0.1,"NEUTRO","NEUTRO")))
)</f>
        <v>BULLISH</v>
      </c>
      <c r="AD12" s="317"/>
      <c r="AE12" s="318"/>
      <c r="AF12" s="316" t="str">
        <f>IF(AND(AH13="-",AH14="-",AH15="-",AH16="-"),"",IF(SUM(IF(AH13="-",0,IF(AH13&lt;0,-2,IF(AH13&gt;0,2,0))),IF(AH14="-",0,IF(AH14&lt;0,-2,IF(AH14&gt;0,2,0))),IF(AH15="-",0,IF(AH15&lt;0,-2,IF(AH15&gt;0,2,0))),IF(AH16="-",0,IF(AH16&lt;0,1,IF(AH16&gt;0,1,0))))
/7&gt;0.1,"BULLISH",IF(SUM(IF(AH13="-",0,IF(AH13&lt;0,-2,IF(AH13&gt;0,2,0))),IF(AH14="-",0,IF(AH14&lt;0,-2,IF(AH14&gt;0,2,0))),IF(AH15="-",0,IF(AH15&lt;0,-2,IF(AH15&gt;0,2,0))),IF(AH16="-",0,IF(AH16&lt;0,1,IF(AH16&gt;0,1,0))))
/7&lt;-0.1,"BEARISH",IF(SUM(IF(AH13="-",0,IF(AH13&lt;0,-2,IF(AH13&gt;0,2,0))),IF(AH14="-",0,IF(AH14&lt;0,-2,IF(AH14&gt;0,2,0))),IF(AH15="-",0,IF(AH15&lt;0,-2,IF(AH15&gt;0,2,0))),IF(AH16="-",0,IF(AH16&lt;0,1,IF(AH16&gt;0,1,0))))
/7&gt;-0.1,"NEUTRO","NEUTRO")))
)</f>
        <v>NEUTRO</v>
      </c>
      <c r="AG12" s="317"/>
      <c r="AH12" s="318"/>
      <c r="AI12" s="316" t="str">
        <f>IF(AND(AK13="-",AK14="-",AK15="-",AK16="-"),"",IF(SUM(IF(AK13="-",0,IF(AK13&lt;0,-2,IF(AK13&gt;0,2,0))),IF(AK14="-",0,IF(AK14&lt;0,-2,IF(AK14&gt;0,2,0))),IF(AK15="-",0,IF(AK15&lt;0,-2,IF(AK15&gt;0,2,0))),IF(AK16="-",0,IF(AK16&lt;0,1,IF(AK16&gt;0,1,0))))
/7&gt;0.1,"BULLISH",IF(SUM(IF(AK13="-",0,IF(AK13&lt;0,-2,IF(AK13&gt;0,2,0))),IF(AK14="-",0,IF(AK14&lt;0,-2,IF(AK14&gt;0,2,0))),IF(AK15="-",0,IF(AK15&lt;0,-2,IF(AK15&gt;0,2,0))),IF(AK16="-",0,IF(AK16&lt;0,1,IF(AK16&gt;0,1,0))))
/7&lt;-0.1,"BEARISH",IF(SUM(IF(AK13="-",0,IF(AK13&lt;0,-2,IF(AK13&gt;0,2,0))),IF(AK14="-",0,IF(AK14&lt;0,-2,IF(AK14&gt;0,2,0))),IF(AK15="-",0,IF(AK15&lt;0,-2,IF(AK15&gt;0,2,0))),IF(AK16="-",0,IF(AK16&lt;0,1,IF(AK16&gt;0,1,0))))
/7&gt;-0.1,"NEUTRO","NEUTRO")))
)</f>
        <v>BEARISH</v>
      </c>
      <c r="AJ12" s="317"/>
      <c r="AK12" s="318"/>
      <c r="AL12" s="316" t="str">
        <f>IF(AND(AN13="-",AN14="-",AN15="-",AN16="-"),"",IF(SUM(IF(AN13="-",0,IF(AN13&lt;0,-2,IF(AN13&gt;0,2,0))),IF(AN14="-",0,IF(AN14&lt;0,-2,IF(AN14&gt;0,2,0))),IF(AN15="-",0,IF(AN15&lt;0,-2,IF(AN15&gt;0,2,0))),IF(AN16="-",0,IF(AN16&lt;0,1,IF(AN16&gt;0,1,0))))
/7&gt;0.1,"BULLISH",IF(SUM(IF(AN13="-",0,IF(AN13&lt;0,-2,IF(AN13&gt;0,2,0))),IF(AN14="-",0,IF(AN14&lt;0,-2,IF(AN14&gt;0,2,0))),IF(AN15="-",0,IF(AN15&lt;0,-2,IF(AN15&gt;0,2,0))),IF(AN16="-",0,IF(AN16&lt;0,1,IF(AN16&gt;0,1,0))))
/7&lt;-0.1,"BEARISH",IF(SUM(IF(AN13="-",0,IF(AN13&lt;0,-2,IF(AN13&gt;0,2,0))),IF(AN14="-",0,IF(AN14&lt;0,-2,IF(AN14&gt;0,2,0))),IF(AN15="-",0,IF(AN15&lt;0,-2,IF(AN15&gt;0,2,0))),IF(AN16="-",0,IF(AN16&lt;0,1,IF(AN16&gt;0,1,0))))
/7&gt;-0.1,"NEUTRO","NEUTRO")))
)</f>
        <v>NEUTRO</v>
      </c>
      <c r="AM12" s="317"/>
      <c r="AN12" s="318"/>
      <c r="AO12" s="316" t="str">
        <f>IF(AND(AQ13="-",AQ14="-",AQ15="-",AQ16="-"),"",IF(SUM(IF(AQ13="-",0,IF(AQ13&lt;0,-2,IF(AQ13&gt;0,2,0))),IF(AQ14="-",0,IF(AQ14&lt;0,-2,IF(AQ14&gt;0,2,0))),IF(AQ15="-",0,IF(AQ15&lt;0,-2,IF(AQ15&gt;0,2,0))),IF(AQ16="-",0,IF(AQ16&lt;0,1,IF(AQ16&gt;0,1,0))))
/7&gt;0.1,"BULLISH",IF(SUM(IF(AQ13="-",0,IF(AQ13&lt;0,-2,IF(AQ13&gt;0,2,0))),IF(AQ14="-",0,IF(AQ14&lt;0,-2,IF(AQ14&gt;0,2,0))),IF(AQ15="-",0,IF(AQ15&lt;0,-2,IF(AQ15&gt;0,2,0))),IF(AQ16="-",0,IF(AQ16&lt;0,1,IF(AQ16&gt;0,1,0))))
/7&lt;-0.1,"BEARISH",IF(SUM(IF(AQ13="-",0,IF(AQ13&lt;0,-2,IF(AQ13&gt;0,2,0))),IF(AQ14="-",0,IF(AQ14&lt;0,-2,IF(AQ14&gt;0,2,0))),IF(AQ15="-",0,IF(AQ15&lt;0,-2,IF(AQ15&gt;0,2,0))),IF(AQ16="-",0,IF(AQ16&lt;0,1,IF(AQ16&gt;0,1,0))))
/7&gt;-0.1,"NEUTRO","NEUTRO")))
)</f>
        <v>BEARISH</v>
      </c>
      <c r="AP12" s="317"/>
      <c r="AQ12" s="318"/>
      <c r="AR12" s="316" t="str">
        <f>IF(AND(AT13="-",AT14="-",AT15="-",AT16="-"),"",IF(SUM(IF(AT13="-",0,IF(AT13&lt;0,-2,IF(AT13&gt;0,2,0))),IF(AT14="-",0,IF(AT14&lt;0,-2,IF(AT14&gt;0,2,0))),IF(AT15="-",0,IF(AT15&lt;0,-2,IF(AT15&gt;0,2,0))),IF(AT16="-",0,IF(AT16&lt;0,1,IF(AT16&gt;0,1,0))))
/7&gt;0.1,"BULLISH",IF(SUM(IF(AT13="-",0,IF(AT13&lt;0,-2,IF(AT13&gt;0,2,0))),IF(AT14="-",0,IF(AT14&lt;0,-2,IF(AT14&gt;0,2,0))),IF(AT15="-",0,IF(AT15&lt;0,-2,IF(AT15&gt;0,2,0))),IF(AT16="-",0,IF(AT16&lt;0,1,IF(AT16&gt;0,1,0))))
/7&lt;-0.1,"BEARISH",IF(SUM(IF(AT13="-",0,IF(AT13&lt;0,-2,IF(AT13&gt;0,2,0))),IF(AT14="-",0,IF(AT14&lt;0,-2,IF(AT14&gt;0,2,0))),IF(AT15="-",0,IF(AT15&lt;0,-2,IF(AT15&gt;0,2,0))),IF(AT16="-",0,IF(AT16&lt;0,1,IF(AT16&gt;0,1,0))))
/7&gt;-0.1,"NEUTRO","NEUTRO")))
)</f>
        <v>BULLISH</v>
      </c>
      <c r="AS12" s="317"/>
      <c r="AT12" s="318"/>
      <c r="AU12" s="316" t="str">
        <f>IF(AND(AW13="-",AW14="-",AW15="-",AW16="-"),"",IF(SUM(IF(AW13="-",0,IF(AW13&lt;0,-2,IF(AW13&gt;0,2,0))),IF(AW14="-",0,IF(AW14&lt;0,-2,IF(AW14&gt;0,2,0))),IF(AW15="-",0,IF(AW15&lt;0,-2,IF(AW15&gt;0,2,0))),IF(AW16="-",0,IF(AW16&lt;0,1,IF(AW16&gt;0,1,0))))
/7&gt;0.1,"BULLISH",IF(SUM(IF(AW13="-",0,IF(AW13&lt;0,-2,IF(AW13&gt;0,2,0))),IF(AW14="-",0,IF(AW14&lt;0,-2,IF(AW14&gt;0,2,0))),IF(AW15="-",0,IF(AW15&lt;0,-2,IF(AW15&gt;0,2,0))),IF(AW16="-",0,IF(AW16&lt;0,1,IF(AW16&gt;0,1,0))))
/7&lt;-0.1,"BEARISH",IF(SUM(IF(AW13="-",0,IF(AW13&lt;0,-2,IF(AW13&gt;0,2,0))),IF(AW14="-",0,IF(AW14&lt;0,-2,IF(AW14&gt;0,2,0))),IF(AW15="-",0,IF(AW15&lt;0,-2,IF(AW15&gt;0,2,0))),IF(AW16="-",0,IF(AW16&lt;0,1,IF(AW16&gt;0,1,0))))
/7&gt;-0.1,"NEUTRO","NEUTRO")))
)</f>
        <v>BULLISH</v>
      </c>
      <c r="AV12" s="317"/>
      <c r="AW12" s="318"/>
    </row>
    <row r="13" spans="1:49" x14ac:dyDescent="0.25">
      <c r="A13" s="32" t="s">
        <v>168</v>
      </c>
      <c r="B13" s="37"/>
      <c r="C13" s="37"/>
      <c r="D13" s="34" t="str">
        <f>IF(OR(B13="",C13="",B13="-",C13="-"),"-",B13-C13)</f>
        <v>-</v>
      </c>
      <c r="E13" s="37">
        <v>2E-3</v>
      </c>
      <c r="F13" s="37">
        <v>3.0000000000000001E-3</v>
      </c>
      <c r="G13" s="34">
        <f>IF(OR(E13="",F13="",E13="-",F13="-"),"-",E13-F13)</f>
        <v>-1E-3</v>
      </c>
      <c r="H13" s="33">
        <v>3.0000000000000001E-3</v>
      </c>
      <c r="I13" s="33">
        <v>-1E-3</v>
      </c>
      <c r="J13" s="34">
        <f>IF(OR(H13="",I13="",H13="-",I13="-"),"-",H13-I13)</f>
        <v>4.0000000000000001E-3</v>
      </c>
      <c r="K13" s="37"/>
      <c r="L13" s="37"/>
      <c r="M13" s="34" t="str">
        <f>IF(OR(K13="",L13="",K13="-",L13="-"),"-",K13-L13)</f>
        <v>-</v>
      </c>
      <c r="N13" s="33">
        <v>1E-3</v>
      </c>
      <c r="O13" s="33">
        <v>-1E-3</v>
      </c>
      <c r="P13" s="34">
        <f>IF(OR(N13="",O13="",N13="-",O13="-"),"-",N13-O13)</f>
        <v>2E-3</v>
      </c>
      <c r="Q13" s="33">
        <v>0</v>
      </c>
      <c r="R13" s="33">
        <v>3.0000000000000001E-3</v>
      </c>
      <c r="S13" s="34">
        <f>IF(OR(Q13="",R13="",Q13="-",R13="-"),"-",Q13-R13)</f>
        <v>-3.0000000000000001E-3</v>
      </c>
      <c r="T13" s="33">
        <v>-1E-3</v>
      </c>
      <c r="U13" s="33">
        <v>-3.0000000000000001E-3</v>
      </c>
      <c r="V13" s="34">
        <f>IF(OR(T13="",U13="",T13="-",U13="-"),"-",T13-U13)</f>
        <v>2E-3</v>
      </c>
      <c r="W13" s="33">
        <v>-3.0000000000000001E-3</v>
      </c>
      <c r="X13" s="33">
        <v>5.0000000000000001E-3</v>
      </c>
      <c r="Y13" s="34">
        <f>IF(OR(W13="",X13="",W13="-",X13="-"),"-",W13-X13)</f>
        <v>-8.0000000000000002E-3</v>
      </c>
      <c r="Z13" s="33">
        <v>5.0000000000000001E-3</v>
      </c>
      <c r="AA13" s="37">
        <v>0</v>
      </c>
      <c r="AB13" s="34">
        <f>IF(OR(Z13="",AA13="",Z13="-",AA13="-"),"-",Z13-AA13)</f>
        <v>5.0000000000000001E-3</v>
      </c>
      <c r="AC13" s="33">
        <v>4.0000000000000001E-3</v>
      </c>
      <c r="AD13" s="33">
        <v>1E-3</v>
      </c>
      <c r="AE13" s="34">
        <f>IF(OR(AC13="",AD13="",AC13="-",AD13="-"),"-",AC13-AD13)</f>
        <v>3.0000000000000001E-3</v>
      </c>
      <c r="AF13" s="33">
        <v>1E-3</v>
      </c>
      <c r="AG13" s="33">
        <v>-1E-3</v>
      </c>
      <c r="AH13" s="34">
        <f>IF(OR(AF13="",AG13="",AF13="-",AG13="-"),"-",AF13-AG13)</f>
        <v>2E-3</v>
      </c>
      <c r="AI13" s="33">
        <v>-1E-3</v>
      </c>
      <c r="AJ13" s="33">
        <v>2E-3</v>
      </c>
      <c r="AK13" s="34">
        <f>IF(OR(AI13="",AJ13="",AI13="-",AJ13="-"),"-",AI13-AJ13)</f>
        <v>-3.0000000000000001E-3</v>
      </c>
      <c r="AL13" s="33">
        <v>2E-3</v>
      </c>
      <c r="AM13" s="37">
        <v>0</v>
      </c>
      <c r="AN13" s="34">
        <f>IF(OR(AL13="",AM13="",AL13="-",AM13="-"),"-",AL13-AM13)</f>
        <v>2E-3</v>
      </c>
      <c r="AO13" s="37">
        <v>0</v>
      </c>
      <c r="AP13" s="33">
        <v>0</v>
      </c>
      <c r="AQ13" s="34">
        <f>IF(OR(AO13="",AP13="",AO13="-",AP13="-"),"-",AO13-AP13)</f>
        <v>0</v>
      </c>
      <c r="AR13" s="33">
        <v>4.0000000000000001E-3</v>
      </c>
      <c r="AS13" s="37">
        <v>0</v>
      </c>
      <c r="AT13" s="34">
        <f>IF(OR(AR13="",AS13="",AR13="-",AS13="-"),"-",AR13-AS13)</f>
        <v>4.0000000000000001E-3</v>
      </c>
      <c r="AU13" s="47">
        <v>4.0000000000000001E-3</v>
      </c>
      <c r="AV13" s="33">
        <v>2E-3</v>
      </c>
      <c r="AW13" s="34">
        <f>IF(OR(AU13="",AV13="",AU13="-",AV13="-"),"-",AU13-AV13)</f>
        <v>2E-3</v>
      </c>
    </row>
    <row r="14" spans="1:49" x14ac:dyDescent="0.25">
      <c r="A14" s="32" t="s">
        <v>169</v>
      </c>
      <c r="B14" s="37"/>
      <c r="C14" s="37"/>
      <c r="D14" s="34" t="str">
        <f>IF(OR(B14="",C14="",B14="-",C14="-"),"-",B14-C14)</f>
        <v>-</v>
      </c>
      <c r="E14" s="37">
        <v>1E-3</v>
      </c>
      <c r="F14" s="37">
        <v>1E-3</v>
      </c>
      <c r="G14" s="34">
        <f>IF(OR(E14="",F14="",E14="-",F14="-"),"-",E14-F14)</f>
        <v>0</v>
      </c>
      <c r="H14" s="37"/>
      <c r="I14" s="37"/>
      <c r="J14" s="34" t="str">
        <f>IF(OR(H14="",I14="",H14="-",I14="-"),"-",H14-I14)</f>
        <v>-</v>
      </c>
      <c r="K14" s="37"/>
      <c r="L14" s="37"/>
      <c r="M14" s="34" t="str">
        <f>IF(OR(K14="",L14="",K14="-",L14="-"),"-",K14-L14)</f>
        <v>-</v>
      </c>
      <c r="N14" s="37"/>
      <c r="O14" s="37"/>
      <c r="P14" s="34" t="str">
        <f>IF(OR(N14="",O14="",N14="-",O14="-"),"-",N14-O14)</f>
        <v>-</v>
      </c>
      <c r="Q14" s="33">
        <v>3.0000000000000001E-3</v>
      </c>
      <c r="R14" s="33">
        <v>7.0000000000000001E-3</v>
      </c>
      <c r="S14" s="34">
        <f>IF(OR(Q14="",R14="",Q14="-",R14="-"),"-",Q14-R14)</f>
        <v>-4.0000000000000001E-3</v>
      </c>
      <c r="T14" s="33">
        <v>7.0000000000000001E-3</v>
      </c>
      <c r="U14" s="33">
        <v>2E-3</v>
      </c>
      <c r="V14" s="34">
        <f>IF(OR(T14="",U14="",T14="-",U14="-"),"-",T14-U14)</f>
        <v>5.0000000000000001E-3</v>
      </c>
      <c r="W14" s="33">
        <v>7.0000000000000001E-3</v>
      </c>
      <c r="X14" s="33">
        <v>1E-3</v>
      </c>
      <c r="Y14" s="34">
        <f>IF(OR(W14="",X14="",W14="-",X14="-"),"-",W14-X14)</f>
        <v>6.0000000000000001E-3</v>
      </c>
      <c r="Z14" s="37"/>
      <c r="AA14" s="37"/>
      <c r="AB14" s="34" t="str">
        <f>IF(OR(Z14="",AA14="",Z14="-",AA14="-"),"-",Z14-AA14)</f>
        <v>-</v>
      </c>
      <c r="AC14" s="33">
        <v>1E-3</v>
      </c>
      <c r="AD14" s="35">
        <v>0</v>
      </c>
      <c r="AE14" s="34">
        <f>IF(OR(AC14="",AD14="",AC14="-",AD14="-"),"-",AC14-AD14)</f>
        <v>1E-3</v>
      </c>
      <c r="AF14" s="37"/>
      <c r="AG14" s="37"/>
      <c r="AH14" s="34" t="str">
        <f>IF(OR(AF14="",AG14="",AF14="-",AG14="-"),"-",AF14-AG14)</f>
        <v>-</v>
      </c>
      <c r="AI14" s="33">
        <v>1E-3</v>
      </c>
      <c r="AJ14" s="33">
        <v>5.0000000000000001E-3</v>
      </c>
      <c r="AK14" s="34">
        <f>IF(OR(AI14="",AJ14="",AI14="-",AJ14="-"),"-",AI14-AJ14)</f>
        <v>-4.0000000000000001E-3</v>
      </c>
      <c r="AL14" s="37"/>
      <c r="AM14" s="37"/>
      <c r="AN14" s="34" t="str">
        <f>IF(OR(AL14="",AM14="",AL14="-",AM14="-"),"-",AL14-AM14)</f>
        <v>-</v>
      </c>
      <c r="AO14" s="33">
        <v>6.0000000000000001E-3</v>
      </c>
      <c r="AP14" s="33">
        <v>7.0000000000000001E-3</v>
      </c>
      <c r="AQ14" s="34">
        <f>IF(OR(AO14="",AP14="",AO14="-",AP14="-"),"-",AO14-AP14)</f>
        <v>-1E-3</v>
      </c>
      <c r="AR14" s="37"/>
      <c r="AS14" s="37"/>
      <c r="AT14" s="34" t="str">
        <f>IF(OR(AR14="",AS14="",AR14="-",AS14="-"),"-",AR14-AS14)</f>
        <v>-</v>
      </c>
      <c r="AU14" s="47">
        <v>6.0000000000000001E-3</v>
      </c>
      <c r="AV14" s="33">
        <v>-3.0000000000000001E-3</v>
      </c>
      <c r="AW14" s="34">
        <f>IF(OR(AU14="",AV14="",AU14="-",AV14="-"),"-",AU14-AV14)</f>
        <v>9.0000000000000011E-3</v>
      </c>
    </row>
    <row r="15" spans="1:49" x14ac:dyDescent="0.25">
      <c r="A15" s="32" t="s">
        <v>170</v>
      </c>
      <c r="B15" s="37"/>
      <c r="C15" s="37"/>
      <c r="D15" s="34" t="str">
        <f>IF(OR(B15="",C15="",B15="-",C15="-"),"-",B15-C15)</f>
        <v>-</v>
      </c>
      <c r="E15" s="37">
        <v>1E-3</v>
      </c>
      <c r="F15" s="37">
        <v>1E-3</v>
      </c>
      <c r="G15" s="34">
        <f>IF(OR(E15="",F15="",E15="-",F15="-"),"-",E15-F15)</f>
        <v>0</v>
      </c>
      <c r="H15" s="33">
        <v>1E-3</v>
      </c>
      <c r="I15" s="33">
        <v>1E-3</v>
      </c>
      <c r="J15" s="34">
        <f>IF(OR(H15="",I15="",H15="-",I15="-"),"-",H15-I15)</f>
        <v>0</v>
      </c>
      <c r="K15" s="37"/>
      <c r="L15" s="37"/>
      <c r="M15" s="34" t="str">
        <f>IF(OR(K15="",L15="",K15="-",L15="-"),"-",K15-L15)</f>
        <v>-</v>
      </c>
      <c r="N15" s="33">
        <v>3.0000000000000001E-3</v>
      </c>
      <c r="O15" s="33">
        <v>3.0000000000000001E-3</v>
      </c>
      <c r="P15" s="34">
        <f>IF(OR(N15="",O15="",N15="-",O15="-"),"-",N15-O15)</f>
        <v>0</v>
      </c>
      <c r="Q15" s="33"/>
      <c r="R15" s="37"/>
      <c r="S15" s="34" t="str">
        <f>IF(OR(Q15="",R15="",Q15="-",R15="-"),"-",Q15-R15)</f>
        <v>-</v>
      </c>
      <c r="T15" s="33">
        <v>7.0000000000000001E-3</v>
      </c>
      <c r="U15" s="33">
        <v>7.0000000000000001E-3</v>
      </c>
      <c r="V15" s="34">
        <f>IF(OR(T15="",U15="",T15="-",U15="-"),"-",T15-U15)</f>
        <v>0</v>
      </c>
      <c r="W15" s="33">
        <v>2E-3</v>
      </c>
      <c r="X15" s="33">
        <v>5.0000000000000001E-3</v>
      </c>
      <c r="Y15" s="34">
        <f>IF(OR(W15="",X15="",W15="-",X15="-"),"-",W15-X15)</f>
        <v>-3.0000000000000001E-3</v>
      </c>
      <c r="Z15" s="33">
        <v>1E-3</v>
      </c>
      <c r="AA15" s="33">
        <v>1E-3</v>
      </c>
      <c r="AB15" s="34">
        <f>IF(OR(Z15="",AA15="",Z15="-",AA15="-"),"-",Z15-AA15)</f>
        <v>0</v>
      </c>
      <c r="AC15" s="37"/>
      <c r="AD15" s="37"/>
      <c r="AE15" s="34" t="str">
        <f>IF(OR(AC15="",AD15="",AC15="-",AD15="-"),"-",AC15-AD15)</f>
        <v>-</v>
      </c>
      <c r="AF15" s="37">
        <v>0</v>
      </c>
      <c r="AG15" s="33">
        <v>1E-3</v>
      </c>
      <c r="AH15" s="34">
        <f>IF(OR(AF15="",AG15="",AF15="-",AG15="-"),"-",AF15-AG15)</f>
        <v>-1E-3</v>
      </c>
      <c r="AI15" s="37"/>
      <c r="AJ15" s="37"/>
      <c r="AK15" s="34" t="str">
        <f>IF(OR(AI15="",AJ15="",AI15="-",AJ15="-"),"-",AI15-AJ15)</f>
        <v>-</v>
      </c>
      <c r="AL15" s="33">
        <v>5.0000000000000001E-3</v>
      </c>
      <c r="AM15" s="33">
        <v>6.0000000000000001E-3</v>
      </c>
      <c r="AN15" s="34">
        <f>IF(OR(AL15="",AM15="",AL15="-",AM15="-"),"-",AL15-AM15)</f>
        <v>-1E-3</v>
      </c>
      <c r="AO15" s="37"/>
      <c r="AP15" s="37"/>
      <c r="AQ15" s="34" t="str">
        <f>IF(OR(AO15="",AP15="",AO15="-",AP15="-"),"-",AO15-AP15)</f>
        <v>-</v>
      </c>
      <c r="AR15" s="33">
        <v>7.0000000000000001E-3</v>
      </c>
      <c r="AS15" s="33">
        <v>6.0000000000000001E-3</v>
      </c>
      <c r="AT15" s="34">
        <f>IF(OR(AR15="",AS15="",AR15="-",AS15="-"),"-",AR15-AS15)</f>
        <v>1E-3</v>
      </c>
      <c r="AU15" s="36"/>
      <c r="AV15" s="37"/>
      <c r="AW15" s="34" t="str">
        <f>IF(OR(AU15="",AV15="",AU15="-",AV15="-"),"-",AU15-AV15)</f>
        <v>-</v>
      </c>
    </row>
    <row r="16" spans="1:49" x14ac:dyDescent="0.25">
      <c r="A16" s="38" t="s">
        <v>171</v>
      </c>
      <c r="B16" s="42"/>
      <c r="C16" s="42"/>
      <c r="D16" s="4" t="str">
        <f>IF(OR(B16="",C16="",B16="-",C16="-"),"-",B16-C16)</f>
        <v>-</v>
      </c>
      <c r="E16" s="42"/>
      <c r="F16" s="42"/>
      <c r="G16" s="4" t="str">
        <f>IF(OR(E16="",F16="",E16="-",F16="-"),"-",E16-F16)</f>
        <v>-</v>
      </c>
      <c r="H16" s="42"/>
      <c r="I16" s="42"/>
      <c r="J16" s="4" t="str">
        <f>IF(OR(H16="",I16="",H16="-",I16="-"),"-",H16-I16)</f>
        <v>-</v>
      </c>
      <c r="K16" s="42"/>
      <c r="L16" s="42"/>
      <c r="M16" s="4" t="str">
        <f>IF(OR(K16="",L16="",K16="-",L16="-"),"-",K16-L16)</f>
        <v>-</v>
      </c>
      <c r="N16" s="42"/>
      <c r="O16" s="42"/>
      <c r="P16" s="4" t="str">
        <f>IF(OR(N16="",O16="",N16="-",O16="-"),"-",N16-O16)</f>
        <v>-</v>
      </c>
      <c r="Q16" s="39">
        <v>3.0000000000000001E-3</v>
      </c>
      <c r="R16" s="39">
        <v>2E-3</v>
      </c>
      <c r="S16" s="4">
        <f>IF(OR(Q16="",R16="",Q16="-",R16="-"),"-",Q16-R16)</f>
        <v>1E-3</v>
      </c>
      <c r="T16" s="42"/>
      <c r="U16" s="42"/>
      <c r="V16" s="4" t="str">
        <f>IF(OR(T16="",U16="",T16="-",U16="-"),"-",T16-U16)</f>
        <v>-</v>
      </c>
      <c r="W16" s="42"/>
      <c r="X16" s="42"/>
      <c r="Y16" s="4" t="str">
        <f>IF(OR(W16="",X16="",W16="-",X16="-"),"-",W16-X16)</f>
        <v>-</v>
      </c>
      <c r="Z16" s="42"/>
      <c r="AA16" s="42"/>
      <c r="AB16" s="4" t="str">
        <f>IF(OR(Z16="",AA16="",Z16="-",AA16="-"),"-",Z16-AA16)</f>
        <v>-</v>
      </c>
      <c r="AC16" s="39">
        <v>3.0000000000000001E-3</v>
      </c>
      <c r="AD16" s="39">
        <v>1E-3</v>
      </c>
      <c r="AE16" s="4">
        <f>IF(OR(AC16="",AD16="",AC16="-",AD16="-"),"-",AC16-AD16)</f>
        <v>2E-3</v>
      </c>
      <c r="AF16" s="40">
        <v>0</v>
      </c>
      <c r="AG16" s="40">
        <v>0</v>
      </c>
      <c r="AH16" s="4">
        <f>IF(OR(AF16="",AG16="",AF16="-",AG16="-"),"-",AF16-AG16)</f>
        <v>0</v>
      </c>
      <c r="AI16" s="39">
        <v>0</v>
      </c>
      <c r="AJ16" s="39">
        <v>1E-3</v>
      </c>
      <c r="AK16" s="4">
        <f>IF(OR(AI16="",AJ16="",AI16="-",AJ16="-"),"-",AI16-AJ16)</f>
        <v>-1E-3</v>
      </c>
      <c r="AL16" s="39">
        <v>2E-3</v>
      </c>
      <c r="AM16" s="39">
        <v>2E-3</v>
      </c>
      <c r="AN16" s="4">
        <f>IF(OR(AL16="",AM16="",AL16="-",AM16="-"),"-",AL16-AM16)</f>
        <v>0</v>
      </c>
      <c r="AO16" s="39">
        <v>3.0000000000000001E-3</v>
      </c>
      <c r="AP16" s="39">
        <v>5.0000000000000001E-3</v>
      </c>
      <c r="AQ16" s="4">
        <f>IF(OR(AO16="",AP16="",AO16="-",AP16="-"),"-",AO16-AP16)</f>
        <v>-2E-3</v>
      </c>
      <c r="AR16" s="39">
        <v>6.0000000000000001E-3</v>
      </c>
      <c r="AS16" s="39">
        <v>8.0000000000000002E-3</v>
      </c>
      <c r="AT16" s="4">
        <f>IF(OR(AR16="",AS16="",AR16="-",AS16="-"),"-",AR16-AS16)</f>
        <v>-2E-3</v>
      </c>
      <c r="AU16" s="48">
        <v>7.0000000000000001E-3</v>
      </c>
      <c r="AV16" s="39">
        <v>4.0000000000000001E-3</v>
      </c>
      <c r="AW16" s="4">
        <f>IF(OR(AU16="",AV16="",AU16="-",AV16="-"),"-",AU16-AV16)</f>
        <v>3.0000000000000001E-3</v>
      </c>
    </row>
    <row r="17" spans="1:49" x14ac:dyDescent="0.25">
      <c r="A17" s="38"/>
      <c r="B17" s="42"/>
      <c r="C17" s="42"/>
      <c r="D17" s="20"/>
      <c r="E17" s="42"/>
      <c r="F17" s="42"/>
      <c r="G17" s="20"/>
      <c r="H17" s="42"/>
      <c r="I17" s="42"/>
      <c r="J17" s="20"/>
      <c r="K17" s="42"/>
      <c r="L17" s="42"/>
      <c r="M17" s="20"/>
      <c r="N17" s="42"/>
      <c r="O17" s="42"/>
      <c r="P17" s="20"/>
      <c r="Q17" s="42"/>
      <c r="R17" s="42"/>
      <c r="S17" s="20"/>
      <c r="T17" s="42"/>
      <c r="U17" s="42"/>
      <c r="V17" s="20"/>
      <c r="W17" s="42"/>
      <c r="X17" s="42"/>
      <c r="Y17" s="20"/>
      <c r="Z17" s="42"/>
      <c r="AA17" s="42"/>
      <c r="AB17" s="20"/>
      <c r="AC17" s="42"/>
      <c r="AD17" s="42"/>
      <c r="AE17" s="20"/>
      <c r="AF17" s="42"/>
      <c r="AG17" s="42"/>
      <c r="AH17" s="20"/>
      <c r="AI17" s="42"/>
      <c r="AJ17" s="42"/>
      <c r="AK17" s="20"/>
      <c r="AL17" s="42"/>
      <c r="AM17" s="42"/>
      <c r="AN17" s="20"/>
      <c r="AO17" s="42"/>
      <c r="AP17" s="42"/>
      <c r="AQ17" s="20"/>
      <c r="AR17" s="42"/>
      <c r="AS17" s="42"/>
      <c r="AT17" s="20"/>
      <c r="AU17" s="41"/>
      <c r="AV17" s="42"/>
      <c r="AW17" s="20"/>
    </row>
    <row r="18" spans="1:49" x14ac:dyDescent="0.25">
      <c r="A18" s="2" t="s">
        <v>29</v>
      </c>
      <c r="B18" s="316" t="str">
        <f>IF(AND(D19="-", D20="-", D21="-"), "",
    IF(SUM(IF(D19="-", 0, IF(D19&lt;0, -2, IF(D19&gt;0, 2, 0))),
             IF(D20="-", 0, IF(D20&lt;0, -2, IF(D20&gt;0, 2, 0))),
             IF(D21="-", 0, IF(D21&lt;0, -2, IF(D21&gt;0, 2, 0)))) / 6 &gt; 0.1, "BULLISH",
    IF(SUM(IF(D19="-", 0, IF(D19&lt;0, -2, IF(D19&gt;0, 2, 0))),
             IF(D20="-", 0, IF(D20&lt;0, -2, IF(D20&gt;0, 2, 0))),
             IF(D21="-", 0, IF(D21&lt;0, -2, IF(D21&gt;0, 2, 0)))) / 6 &lt; -0.1, "BEARISH",
    IF(SUM(IF(D19="-", 0, IF(D19&lt;0, -2, IF(D19&gt;0, 2, 0))),
             IF(D20="-", 0, IF(D20&lt;0, -2, IF(D20&gt;0, 2, 0))),
             IF(D21="-", 0, IF(D21&lt;0, -2, IF(D21&gt;0, 2, 0)))) / 6 &gt; -0.1, "NEUTRO",
    IF(SUM(IF(D19="-", 0, IF(D19&lt;0, -2, IF(D19&gt;0, 2, 0))),
             IF(D20="-", 0, IF(D20&lt;0, -2, IF(D20&gt;0, 2, 0))),
             IF(D21="-", 0, IF(D21&lt;0, -2, IF(D21&gt;0, 2, 0)))) / 6 &lt; 0.1, "NEUTRO",
    "")))))</f>
        <v/>
      </c>
      <c r="C18" s="317"/>
      <c r="D18" s="318"/>
      <c r="E18" s="316" t="str">
        <f>IF(AND(G19="-", G20="-", G21="-"), "",
    IF(SUM(IF(G19="-", 0, IF(G19&lt;0, -2, IF(G19&gt;0, 2, 0))),
             IF(G20="-", 0, IF(G20&lt;0, -2, IF(G20&gt;0, 2, 0))),
             IF(G21="-", 0, IF(G21&lt;0, -2, IF(G21&gt;0, 2, 0)))) / 6 &gt; 0.1, "BULLISH",
    IF(SUM(IF(G19="-", 0, IF(G19&lt;0, -2, IF(G19&gt;0, 2, 0))),
             IF(G20="-", 0, IF(G20&lt;0, -2, IF(G20&gt;0, 2, 0))),
             IF(G21="-", 0, IF(G21&lt;0, -2, IF(G21&gt;0, 2, 0)))) / 6 &lt; -0.1, "BEARISH",
    IF(SUM(IF(G19="-", 0, IF(G19&lt;0, -2, IF(G19&gt;0, 2, 0))),
             IF(G20="-", 0, IF(G20&lt;0, -2, IF(G20&gt;0, 2, 0))),
             IF(G21="-", 0, IF(G21&lt;0, -2, IF(G21&gt;0, 2, 0)))) / 6 &gt; -0.1, "NEUTRO",
    IF(SUM(IF(G19="-", 0, IF(G19&lt;0, -2, IF(G19&gt;0, 2, 0))),
             IF(G20="-", 0, IF(G20&lt;0, -2, IF(G20&gt;0, 2, 0))),
             IF(G21="-", 0, IF(G21&lt;0, -2, IF(G21&gt;0, 2, 0)))) / 6 &lt; 0.1, "NEUTRO",
    "")))))</f>
        <v/>
      </c>
      <c r="F18" s="317"/>
      <c r="G18" s="318"/>
      <c r="H18" s="316" t="str">
        <f>IF(AND(J19="-", J20="-", J21="-"), "",
    IF(SUM(IF(J19="-", 0, IF(J19&lt;0, -2, IF(J19&gt;0, 2, 0))),
             IF(J20="-", 0, IF(J20&lt;0, -2, IF(J20&gt;0, 2, 0))),
             IF(J21="-", 0, IF(J21&lt;0, -2, IF(J21&gt;0, 2, 0)))) / 6 &gt; 0.1, "BULLISH",
    IF(SUM(IF(J19="-", 0, IF(J19&lt;0, -2, IF(J19&gt;0, 2, 0))),
             IF(J20="-", 0, IF(J20&lt;0, -2, IF(J20&gt;0, 2, 0))),
             IF(J21="-", 0, IF(J21&lt;0, -2, IF(J21&gt;0, 2, 0)))) / 6 &lt; -0.1, "BEARISH",
    IF(SUM(IF(J19="-", 0, IF(J19&lt;0, -2, IF(J19&gt;0, 2, 0))),
             IF(J20="-", 0, IF(J20&lt;0, -2, IF(J20&gt;0, 2, 0))),
             IF(J21="-", 0, IF(J21&lt;0, -2, IF(J21&gt;0, 2, 0)))) / 6 &gt; -0.1, "NEUTRO",
    IF(SUM(IF(J19="-", 0, IF(J19&lt;0, -2, IF(J19&gt;0, 2, 0))),
             IF(J20="-", 0, IF(J20&lt;0, -2, IF(J20&gt;0, 2, 0))),
             IF(J21="-", 0, IF(J21&lt;0, -2, IF(J21&gt;0, 2, 0)))) / 6 &lt; 0.1, "NEUTRO",
    "")))))</f>
        <v>NEUTRO</v>
      </c>
      <c r="I18" s="317"/>
      <c r="J18" s="318"/>
      <c r="K18" s="316" t="str">
        <f>IF(AND(M19="-", M20="-", M21="-"), "",
    IF(SUM(IF(M19="-", 0, IF(M19&lt;0, -2, IF(M19&gt;0, 2, 0))),
             IF(M20="-", 0, IF(M20&lt;0, -2, IF(M20&gt;0, 2, 0))),
             IF(M21="-", 0, IF(M21&lt;0, -2, IF(M21&gt;0, 2, 0)))) / 6 &gt; 0.1, "BULLISH",
    IF(SUM(IF(M19="-", 0, IF(M19&lt;0, -2, IF(M19&gt;0, 2, 0))),
             IF(M20="-", 0, IF(M20&lt;0, -2, IF(M20&gt;0, 2, 0))),
             IF(M21="-", 0, IF(M21&lt;0, -2, IF(M21&gt;0, 2, 0)))) / 6 &lt; -0.1, "BEARISH",
    IF(SUM(IF(M19="-", 0, IF(M19&lt;0, -2, IF(M19&gt;0, 2, 0))),
             IF(M20="-", 0, IF(M20&lt;0, -2, IF(M20&gt;0, 2, 0))),
             IF(M21="-", 0, IF(M21&lt;0, -2, IF(M21&gt;0, 2, 0)))) / 6 &gt; -0.1, "NEUTRO",
    IF(SUM(IF(M19="-", 0, IF(M19&lt;0, -2, IF(M19&gt;0, 2, 0))),
             IF(M20="-", 0, IF(M20&lt;0, -2, IF(M20&gt;0, 2, 0))),
             IF(M21="-", 0, IF(M21&lt;0, -2, IF(M21&gt;0, 2, 0)))) / 6 &lt; 0.1, "NEUTRO",
    "")))))</f>
        <v/>
      </c>
      <c r="L18" s="317"/>
      <c r="M18" s="318"/>
      <c r="N18" s="316" t="str">
        <f>IF(AND(P19="-", P20="-", P21="-"), "",
    IF(SUM(IF(P19="-", 0, IF(P19&lt;0, -2, IF(P19&gt;0, 2, 0))),
             IF(P20="-", 0, IF(P20&lt;0, -2, IF(P20&gt;0, 2, 0))),
             IF(P21="-", 0, IF(P21&lt;0, -2, IF(P21&gt;0, 2, 0)))) / 6 &gt; 0.1, "BULLISH",
    IF(SUM(IF(P19="-", 0, IF(P19&lt;0, -2, IF(P19&gt;0, 2, 0))),
             IF(P20="-", 0, IF(P20&lt;0, -2, IF(P20&gt;0, 2, 0))),
             IF(P21="-", 0, IF(P21&lt;0, -2, IF(P21&gt;0, 2, 0)))) / 6 &lt; -0.1, "BEARISH",
    IF(SUM(IF(P19="-", 0, IF(P19&lt;0, -2, IF(P19&gt;0, 2, 0))),
             IF(P20="-", 0, IF(P20&lt;0, -2, IF(P20&gt;0, 2, 0))),
             IF(P21="-", 0, IF(P21&lt;0, -2, IF(P21&gt;0, 2, 0)))) / 6 &gt; -0.1, "NEUTRO",
    IF(SUM(IF(P19="-", 0, IF(P19&lt;0, -2, IF(P19&gt;0, 2, 0))),
             IF(P20="-", 0, IF(P20&lt;0, -2, IF(P20&gt;0, 2, 0))),
             IF(P21="-", 0, IF(P21&lt;0, -2, IF(P21&gt;0, 2, 0)))) / 6 &lt; 0.1, "NEUTRO",
    "")))))</f>
        <v>BULLISH</v>
      </c>
      <c r="O18" s="317"/>
      <c r="P18" s="318"/>
      <c r="Q18" s="316" t="str">
        <f>IF(AND(S19="-", S20="-", S21="-"), "",
    IF(SUM(IF(S19="-", 0, IF(S19&lt;0, -2, IF(S19&gt;0, 2, 0))),
             IF(S20="-", 0, IF(S20&lt;0, -2, IF(S20&gt;0, 2, 0))),
             IF(S21="-", 0, IF(S21&lt;0, -2, IF(S21&gt;0, 2, 0)))) / 6 &gt; 0.1, "BULLISH",
    IF(SUM(IF(S19="-", 0, IF(S19&lt;0, -2, IF(S19&gt;0, 2, 0))),
             IF(S20="-", 0, IF(S20&lt;0, -2, IF(S20&gt;0, 2, 0))),
             IF(S21="-", 0, IF(S21&lt;0, -2, IF(S21&gt;0, 2, 0)))) / 6 &lt; -0.1, "BEARISH",
    IF(SUM(IF(S19="-", 0, IF(S19&lt;0, -2, IF(S19&gt;0, 2, 0))),
             IF(S20="-", 0, IF(S20&lt;0, -2, IF(S20&gt;0, 2, 0))),
             IF(S21="-", 0, IF(S21&lt;0, -2, IF(S21&gt;0, 2, 0)))) / 6 &gt; -0.1, "NEUTRO",
    IF(SUM(IF(S19="-", 0, IF(S19&lt;0, -2, IF(S19&gt;0, 2, 0))),
             IF(S20="-", 0, IF(S20&lt;0, -2, IF(S20&gt;0, 2, 0))),
             IF(S21="-", 0, IF(S21&lt;0, -2, IF(S21&gt;0, 2, 0)))) / 6 &lt; 0.1, "NEUTRO",
    "")))))</f>
        <v>NEUTRO</v>
      </c>
      <c r="R18" s="317"/>
      <c r="S18" s="318"/>
      <c r="T18" s="316" t="str">
        <f>IF(AND(V19="-", V20="-", V21="-"), "",
    IF(SUM(IF(V19="-", 0, IF(V19&lt;0, -2, IF(V19&gt;0, 2, 0))),
             IF(V20="-", 0, IF(V20&lt;0, -2, IF(V20&gt;0, 2, 0))),
             IF(V21="-", 0, IF(V21&lt;0, -2, IF(V21&gt;0, 2, 0)))) / 6 &gt; 0.1, "BULLISH",
    IF(SUM(IF(V19="-", 0, IF(V19&lt;0, -2, IF(V19&gt;0, 2, 0))),
             IF(V20="-", 0, IF(V20&lt;0, -2, IF(V20&gt;0, 2, 0))),
             IF(V21="-", 0, IF(V21&lt;0, -2, IF(V21&gt;0, 2, 0)))) / 6 &lt; -0.1, "BEARISH",
    IF(SUM(IF(V19="-", 0, IF(V19&lt;0, -2, IF(V19&gt;0, 2, 0))),
             IF(V20="-", 0, IF(V20&lt;0, -2, IF(V20&gt;0, 2, 0))),
             IF(V21="-", 0, IF(V21&lt;0, -2, IF(V21&gt;0, 2, 0)))) / 6 &gt; -0.1, "NEUTRO",
    IF(SUM(IF(V19="-", 0, IF(V19&lt;0, -2, IF(V19&gt;0, 2, 0))),
             IF(V20="-", 0, IF(V20&lt;0, -2, IF(V20&gt;0, 2, 0))),
             IF(V21="-", 0, IF(V21&lt;0, -2, IF(V21&gt;0, 2, 0)))) / 6 &lt; 0.1, "NEUTRO",
    "")))))</f>
        <v>BULLISH</v>
      </c>
      <c r="U18" s="317"/>
      <c r="V18" s="318"/>
      <c r="W18" s="316" t="str">
        <f>IF(AND(Y19="-", Y20="-", Y21="-"), "",
    IF(SUM(IF(Y19="-", 0, IF(Y19&lt;0, -2, IF(Y19&gt;0, 2, 0))),
             IF(Y20="-", 0, IF(Y20&lt;0, -2, IF(Y20&gt;0, 2, 0))),
             IF(Y21="-", 0, IF(Y21&lt;0, -2, IF(Y21&gt;0, 2, 0)))) / 6 &gt; 0.1, "BULLISH",
    IF(SUM(IF(Y19="-", 0, IF(Y19&lt;0, -2, IF(Y19&gt;0, 2, 0))),
             IF(Y20="-", 0, IF(Y20&lt;0, -2, IF(Y20&gt;0, 2, 0))),
             IF(Y21="-", 0, IF(Y21&lt;0, -2, IF(Y21&gt;0, 2, 0)))) / 6 &lt; -0.1, "BEARISH",
    IF(SUM(IF(Y19="-", 0, IF(Y19&lt;0, -2, IF(Y19&gt;0, 2, 0))),
             IF(Y20="-", 0, IF(Y20&lt;0, -2, IF(Y20&gt;0, 2, 0))),
             IF(Y21="-", 0, IF(Y21&lt;0, -2, IF(Y21&gt;0, 2, 0)))) / 6 &gt; -0.1, "NEUTRO",
    IF(SUM(IF(Y19="-", 0, IF(Y19&lt;0, -2, IF(Y19&gt;0, 2, 0))),
             IF(Y20="-", 0, IF(Y20&lt;0, -2, IF(Y20&gt;0, 2, 0))),
             IF(Y21="-", 0, IF(Y21&lt;0, -2, IF(Y21&gt;0, 2, 0)))) / 6 &lt; 0.1, "NEUTRO",
    "")))))</f>
        <v>BULLISH</v>
      </c>
      <c r="X18" s="317"/>
      <c r="Y18" s="318"/>
      <c r="Z18" s="316" t="str">
        <f>IF(AND(AB19="-", AB20="-", AB21="-"), "",
    IF(SUM(IF(AB19="-", 0, IF(AB19&lt;0, -2, IF(AB19&gt;0, 2, 0))),
             IF(AB20="-", 0, IF(AB20&lt;0, -2, IF(AB20&gt;0, 2, 0))),
             IF(AB21="-", 0, IF(AB21&lt;0, -2, IF(AB21&gt;0, 2, 0)))) / 6 &gt; 0.1, "BULLISH",
    IF(SUM(IF(AB19="-", 0, IF(AB19&lt;0, -2, IF(AB19&gt;0, 2, 0))),
             IF(AB20="-", 0, IF(AB20&lt;0, -2, IF(AB20&gt;0, 2, 0))),
             IF(AB21="-", 0, IF(AB21&lt;0, -2, IF(AB21&gt;0, 2, 0)))) / 6 &lt; -0.1, "BEARISH",
    IF(SUM(IF(AB19="-", 0, IF(AB19&lt;0, -2, IF(AB19&gt;0, 2, 0))),
             IF(AB20="-", 0, IF(AB20&lt;0, -2, IF(AB20&gt;0, 2, 0))),
             IF(AB21="-", 0, IF(AB21&lt;0, -2, IF(AB21&gt;0, 2, 0)))) / 6 &gt; -0.1, "NEUTRO",
    IF(SUM(IF(AB19="-", 0, IF(AB19&lt;0, -2, IF(AB19&gt;0, 2, 0))),
             IF(AB20="-", 0, IF(AB20&lt;0, -2, IF(AB20&gt;0, 2, 0))),
             IF(AB21="-", 0, IF(AB21&lt;0, -2, IF(AB21&gt;0, 2, 0)))) / 6 &lt; 0.1, "NEUTRO",
    "")))))</f>
        <v>BULLISH</v>
      </c>
      <c r="AA18" s="317"/>
      <c r="AB18" s="318"/>
      <c r="AC18" s="316" t="str">
        <f>IF(AND(AE19="-", AE20="-", AE21="-"), "",
    IF(SUM(IF(AE19="-", 0, IF(AE19&lt;0, -2, IF(AE19&gt;0, 2, 0))),
             IF(AE20="-", 0, IF(AE20&lt;0, -2, IF(AE20&gt;0, 2, 0))),
             IF(AE21="-", 0, IF(AE21&lt;0, -2, IF(AE21&gt;0, 2, 0)))) / 6 &gt; 0.1, "BULLISH",
    IF(SUM(IF(AE19="-", 0, IF(AE19&lt;0, -2, IF(AE19&gt;0, 2, 0))),
             IF(AE20="-", 0, IF(AE20&lt;0, -2, IF(AE20&gt;0, 2, 0))),
             IF(AE21="-", 0, IF(AE21&lt;0, -2, IF(AE21&gt;0, 2, 0)))) / 6 &lt; -0.1, "BEARISH",
    IF(SUM(IF(AE19="-", 0, IF(AE19&lt;0, -2, IF(AE19&gt;0, 2, 0))),
             IF(AE20="-", 0, IF(AE20&lt;0, -2, IF(AE20&gt;0, 2, 0))),
             IF(AE21="-", 0, IF(AE21&lt;0, -2, IF(AE21&gt;0, 2, 0)))) / 6 &gt; -0.1, "NEUTRO",
    IF(SUM(IF(AE19="-", 0, IF(AE19&lt;0, -2, IF(AE19&gt;0, 2, 0))),
             IF(AE20="-", 0, IF(AE20&lt;0, -2, IF(AE20&gt;0, 2, 0))),
             IF(AE21="-", 0, IF(AE21&lt;0, -2, IF(AE21&gt;0, 2, 0)))) / 6 &lt; 0.1, "NEUTRO",
    "")))))</f>
        <v>BULLISH</v>
      </c>
      <c r="AD18" s="317"/>
      <c r="AE18" s="318"/>
      <c r="AF18" s="316" t="str">
        <f>IF(AND(AH19="-", AH20="-", AH21="-"), "",
    IF(SUM(IF(AH19="-", 0, IF(AH19&lt;0, -2, IF(AH19&gt;0, 2, 0))),
             IF(AH20="-", 0, IF(AH20&lt;0, -2, IF(AH20&gt;0, 2, 0))),
             IF(AH21="-", 0, IF(AH21&lt;0, -2, IF(AH21&gt;0, 2, 0)))) / 6 &gt; 0.1, "BULLISH",
    IF(SUM(IF(AH19="-", 0, IF(AH19&lt;0, -2, IF(AH19&gt;0, 2, 0))),
             IF(AH20="-", 0, IF(AH20&lt;0, -2, IF(AH20&gt;0, 2, 0))),
             IF(AH21="-", 0, IF(AH21&lt;0, -2, IF(AH21&gt;0, 2, 0)))) / 6 &lt; -0.1, "BEARISH",
    IF(SUM(IF(AH19="-", 0, IF(AH19&lt;0, -2, IF(AH19&gt;0, 2, 0))),
             IF(AH20="-", 0, IF(AH20&lt;0, -2, IF(AH20&gt;0, 2, 0))),
             IF(AH21="-", 0, IF(AH21&lt;0, -2, IF(AH21&gt;0, 2, 0)))) / 6 &gt; -0.1, "NEUTRO",
    IF(SUM(IF(AH19="-", 0, IF(AH19&lt;0, -2, IF(AH19&gt;0, 2, 0))),
             IF(AH20="-", 0, IF(AH20&lt;0, -2, IF(AH20&gt;0, 2, 0))),
             IF(AH21="-", 0, IF(AH21&lt;0, -2, IF(AH21&gt;0, 2, 0)))) / 6 &lt; 0.1, "NEUTRO",
    "")))))</f>
        <v>BULLISH</v>
      </c>
      <c r="AG18" s="317"/>
      <c r="AH18" s="318"/>
      <c r="AI18" s="316" t="str">
        <f>IF(AND(AK19="-", AK20="-", AK21="-"), "",
    IF(SUM(IF(AK19="-", 0, IF(AK19&lt;0, -2, IF(AK19&gt;0, 2, 0))),
             IF(AK20="-", 0, IF(AK20&lt;0, -2, IF(AK20&gt;0, 2, 0))),
             IF(AK21="-", 0, IF(AK21&lt;0, -2, IF(AK21&gt;0, 2, 0)))) / 6 &gt; 0.1, "BULLISH",
    IF(SUM(IF(AK19="-", 0, IF(AK19&lt;0, -2, IF(AK19&gt;0, 2, 0))),
             IF(AK20="-", 0, IF(AK20&lt;0, -2, IF(AK20&gt;0, 2, 0))),
             IF(AK21="-", 0, IF(AK21&lt;0, -2, IF(AK21&gt;0, 2, 0)))) / 6 &lt; -0.1, "BEARISH",
    IF(SUM(IF(AK19="-", 0, IF(AK19&lt;0, -2, IF(AK19&gt;0, 2, 0))),
             IF(AK20="-", 0, IF(AK20&lt;0, -2, IF(AK20&gt;0, 2, 0))),
             IF(AK21="-", 0, IF(AK21&lt;0, -2, IF(AK21&gt;0, 2, 0)))) / 6 &gt; -0.1, "NEUTRO",
    IF(SUM(IF(AK19="-", 0, IF(AK19&lt;0, -2, IF(AK19&gt;0, 2, 0))),
             IF(AK20="-", 0, IF(AK20&lt;0, -2, IF(AK20&gt;0, 2, 0))),
             IF(AK21="-", 0, IF(AK21&lt;0, -2, IF(AK21&gt;0, 2, 0)))) / 6 &lt; 0.1, "NEUTRO",
    "")))))</f>
        <v>BULLISH</v>
      </c>
      <c r="AJ18" s="317"/>
      <c r="AK18" s="318"/>
      <c r="AL18" s="316" t="str">
        <f>IF(AND(AN19="-", AN20="-", AN21="-"), "",
    IF(SUM(IF(AN19="-", 0, IF(AN19&lt;0, -2, IF(AN19&gt;0, 2, 0))),
             IF(AN20="-", 0, IF(AN20&lt;0, -2, IF(AN20&gt;0, 2, 0))),
             IF(AN21="-", 0, IF(AN21&lt;0, -2, IF(AN21&gt;0, 2, 0)))) / 6 &gt; 0.1, "BULLISH",
    IF(SUM(IF(AN19="-", 0, IF(AN19&lt;0, -2, IF(AN19&gt;0, 2, 0))),
             IF(AN20="-", 0, IF(AN20&lt;0, -2, IF(AN20&gt;0, 2, 0))),
             IF(AN21="-", 0, IF(AN21&lt;0, -2, IF(AN21&gt;0, 2, 0)))) / 6 &lt; -0.1, "BEARISH",
    IF(SUM(IF(AN19="-", 0, IF(AN19&lt;0, -2, IF(AN19&gt;0, 2, 0))),
             IF(AN20="-", 0, IF(AN20&lt;0, -2, IF(AN20&gt;0, 2, 0))),
             IF(AN21="-", 0, IF(AN21&lt;0, -2, IF(AN21&gt;0, 2, 0)))) / 6 &gt; -0.1, "NEUTRO",
    IF(SUM(IF(AN19="-", 0, IF(AN19&lt;0, -2, IF(AN19&gt;0, 2, 0))),
             IF(AN20="-", 0, IF(AN20&lt;0, -2, IF(AN20&gt;0, 2, 0))),
             IF(AN21="-", 0, IF(AN21&lt;0, -2, IF(AN21&gt;0, 2, 0)))) / 6 &lt; 0.1, "NEUTRO",
    "")))))</f>
        <v>BEARISH</v>
      </c>
      <c r="AM18" s="317"/>
      <c r="AN18" s="318"/>
      <c r="AO18" s="316" t="str">
        <f>IF(AND(AQ19="-", AQ20="-", AQ21="-"), "",
    IF(SUM(IF(AQ19="-", 0, IF(AQ19&lt;0, -2, IF(AQ19&gt;0, 2, 0))),
             IF(AQ20="-", 0, IF(AQ20&lt;0, -2, IF(AQ20&gt;0, 2, 0))),
             IF(AQ21="-", 0, IF(AQ21&lt;0, -2, IF(AQ21&gt;0, 2, 0)))) / 6 &gt; 0.1, "BULLISH",
    IF(SUM(IF(AQ19="-", 0, IF(AQ19&lt;0, -2, IF(AQ19&gt;0, 2, 0))),
             IF(AQ20="-", 0, IF(AQ20&lt;0, -2, IF(AQ20&gt;0, 2, 0))),
             IF(AQ21="-", 0, IF(AQ21&lt;0, -2, IF(AQ21&gt;0, 2, 0)))) / 6 &lt; -0.1, "BEARISH",
    IF(SUM(IF(AQ19="-", 0, IF(AQ19&lt;0, -2, IF(AQ19&gt;0, 2, 0))),
             IF(AQ20="-", 0, IF(AQ20&lt;0, -2, IF(AQ20&gt;0, 2, 0))),
             IF(AQ21="-", 0, IF(AQ21&lt;0, -2, IF(AQ21&gt;0, 2, 0)))) / 6 &gt; -0.1, "NEUTRO",
    IF(SUM(IF(AQ19="-", 0, IF(AQ19&lt;0, -2, IF(AQ19&gt;0, 2, 0))),
             IF(AQ20="-", 0, IF(AQ20&lt;0, -2, IF(AQ20&gt;0, 2, 0))),
             IF(AQ21="-", 0, IF(AQ21&lt;0, -2, IF(AQ21&gt;0, 2, 0)))) / 6 &lt; 0.1, "NEUTRO",
    "")))))</f>
        <v>BEARISH</v>
      </c>
      <c r="AP18" s="317"/>
      <c r="AQ18" s="318"/>
      <c r="AR18" s="316" t="str">
        <f>IF(AND(AT19="-", AT20="-", AT21="-"), "",
    IF(SUM(IF(AT19="-", 0, IF(AT19&lt;0, -2, IF(AT19&gt;0, 2, 0))),
             IF(AT20="-", 0, IF(AT20&lt;0, -2, IF(AT20&gt;0, 2, 0))),
             IF(AT21="-", 0, IF(AT21&lt;0, -2, IF(AT21&gt;0, 2, 0)))) / 6 &gt; 0.1, "BULLISH",
    IF(SUM(IF(AT19="-", 0, IF(AT19&lt;0, -2, IF(AT19&gt;0, 2, 0))),
             IF(AT20="-", 0, IF(AT20&lt;0, -2, IF(AT20&gt;0, 2, 0))),
             IF(AT21="-", 0, IF(AT21&lt;0, -2, IF(AT21&gt;0, 2, 0)))) / 6 &lt; -0.1, "BEARISH",
    IF(SUM(IF(AT19="-", 0, IF(AT19&lt;0, -2, IF(AT19&gt;0, 2, 0))),
             IF(AT20="-", 0, IF(AT20&lt;0, -2, IF(AT20&gt;0, 2, 0))),
             IF(AT21="-", 0, IF(AT21&lt;0, -2, IF(AT21&gt;0, 2, 0)))) / 6 &gt; -0.1, "NEUTRO",
    IF(SUM(IF(AT19="-", 0, IF(AT19&lt;0, -2, IF(AT19&gt;0, 2, 0))),
             IF(AT20="-", 0, IF(AT20&lt;0, -2, IF(AT20&gt;0, 2, 0))),
             IF(AT21="-", 0, IF(AT21&lt;0, -2, IF(AT21&gt;0, 2, 0)))) / 6 &lt; 0.1, "NEUTRO",
    "")))))</f>
        <v>BEARISH</v>
      </c>
      <c r="AS18" s="317"/>
      <c r="AT18" s="318"/>
      <c r="AU18" s="316" t="str">
        <f>IF(AND(AW19="-", AW20="-", AW21="-"), "",
    IF(SUM(IF(AW19="-", 0, IF(AW19&lt;0, -2, IF(AW19&gt;0, 2, 0))),
             IF(AW20="-", 0, IF(AW20&lt;0, -2, IF(AW20&gt;0, 2, 0))),
             IF(AW21="-", 0, IF(AW21&lt;0, -2, IF(AW21&gt;0, 2, 0)))) / 6 &gt; 0.1, "BULLISH",
    IF(SUM(IF(AW19="-", 0, IF(AW19&lt;0, -2, IF(AW19&gt;0, 2, 0))),
             IF(AW20="-", 0, IF(AW20&lt;0, -2, IF(AW20&gt;0, 2, 0))),
             IF(AW21="-", 0, IF(AW21&lt;0, -2, IF(AW21&gt;0, 2, 0)))) / 6 &lt; -0.1, "BEARISH",
    IF(SUM(IF(AW19="-", 0, IF(AW19&lt;0, -2, IF(AW19&gt;0, 2, 0))),
             IF(AW20="-", 0, IF(AW20&lt;0, -2, IF(AW20&gt;0, 2, 0))),
             IF(AW21="-", 0, IF(AW21&lt;0, -2, IF(AW21&gt;0, 2, 0)))) / 6 &gt; -0.1, "NEUTRO",
    IF(SUM(IF(AW19="-", 0, IF(AW19&lt;0, -2, IF(AW19&gt;0, 2, 0))),
             IF(AW20="-", 0, IF(AW20&lt;0, -2, IF(AW20&gt;0, 2, 0))),
             IF(AW21="-", 0, IF(AW21&lt;0, -2, IF(AW21&gt;0, 2, 0)))) / 6 &lt; 0.1, "NEUTRO",
    "")))))</f>
        <v>BULLISH</v>
      </c>
      <c r="AV18" s="317"/>
      <c r="AW18" s="318"/>
    </row>
    <row r="19" spans="1:49" x14ac:dyDescent="0.25">
      <c r="A19" s="32" t="s">
        <v>172</v>
      </c>
      <c r="B19" s="37"/>
      <c r="C19" s="37"/>
      <c r="D19" s="34" t="str">
        <f>IF(OR(B19="",C19="",B19="-",C19="-"),"-",B19-C19)</f>
        <v>-</v>
      </c>
      <c r="E19" s="37"/>
      <c r="F19" s="37"/>
      <c r="G19" s="34" t="str">
        <f>IF(OR(E19="",F19="",E19="-",F19="-"),"-",E19-F19)</f>
        <v>-</v>
      </c>
      <c r="H19" s="33">
        <v>4.7E-2</v>
      </c>
      <c r="I19" s="33">
        <v>4.8000000000000001E-2</v>
      </c>
      <c r="J19" s="34">
        <f>IF(OR(H19="",I19="",H19="-",I19="-"),"-",H19-I19)</f>
        <v>-1.0000000000000009E-3</v>
      </c>
      <c r="K19" s="37"/>
      <c r="L19" s="37"/>
      <c r="M19" s="34" t="str">
        <f>IF(OR(K19="",L19="",K19="-",L19="-"),"-",K19-L19)</f>
        <v>-</v>
      </c>
      <c r="N19" s="35">
        <v>0.05</v>
      </c>
      <c r="O19" s="33">
        <v>4.8000000000000001E-2</v>
      </c>
      <c r="P19" s="34">
        <f>IF(OR(N19="",O19="",N19="-",O19="-"),"-",N19-O19)</f>
        <v>2.0000000000000018E-3</v>
      </c>
      <c r="Q19" s="33">
        <v>4.7E-2</v>
      </c>
      <c r="R19" s="35">
        <v>0.05</v>
      </c>
      <c r="S19" s="34">
        <f>IF(OR(Q19="",R19="",Q19="-",R19="-"),"-",Q19-R19)</f>
        <v>-3.0000000000000027E-3</v>
      </c>
      <c r="T19" s="35">
        <v>0.05</v>
      </c>
      <c r="U19" s="33">
        <v>5.3999999999999999E-2</v>
      </c>
      <c r="V19" s="34">
        <f>IF(OR(T19="",U19="",T19="-",U19="-"),"-",T19-U19)</f>
        <v>-3.9999999999999966E-3</v>
      </c>
      <c r="W19" s="33">
        <v>5.2999999999999999E-2</v>
      </c>
      <c r="X19" s="33">
        <v>5.7000000000000002E-2</v>
      </c>
      <c r="Y19" s="34">
        <f>IF(OR(W19="",X19="",W19="-",X19="-"),"-",W19-X19)</f>
        <v>-4.0000000000000036E-3</v>
      </c>
      <c r="Z19" s="33">
        <v>5.6000000000000001E-2</v>
      </c>
      <c r="AA19" s="33">
        <v>5.6000000000000001E-2</v>
      </c>
      <c r="AB19" s="34">
        <f>IF(OR(Z19="",AA19="",Z19="-",AA19="-"),"-",Z19-AA19)</f>
        <v>0</v>
      </c>
      <c r="AC19" s="35">
        <v>5.8000000000000003E-2</v>
      </c>
      <c r="AD19" s="33">
        <v>5.5E-2</v>
      </c>
      <c r="AE19" s="34">
        <f>IF(OR(AC19="",AD19="",AC19="-",AD19="-"),"-",AC19-AD19)</f>
        <v>3.0000000000000027E-3</v>
      </c>
      <c r="AF19" s="33">
        <v>5.6000000000000001E-2</v>
      </c>
      <c r="AG19" s="33">
        <v>5.1999999999999998E-2</v>
      </c>
      <c r="AH19" s="34">
        <f>IF(OR(AF19="",AG19="",AF19="-",AG19="-"),"-",AF19-AG19)</f>
        <v>4.0000000000000036E-3</v>
      </c>
      <c r="AI19" s="33">
        <v>5.1999999999999998E-2</v>
      </c>
      <c r="AJ19" s="33">
        <v>3.9E-2</v>
      </c>
      <c r="AK19" s="34">
        <f>IF(OR(AI19="",AJ19="",AI19="-",AJ19="-"),"-",AI19-AJ19)</f>
        <v>1.2999999999999998E-2</v>
      </c>
      <c r="AL19" s="33">
        <v>3.7999999999999999E-2</v>
      </c>
      <c r="AM19" s="33">
        <v>4.1000000000000002E-2</v>
      </c>
      <c r="AN19" s="34">
        <f>IF(OR(AL19="",AM19="",AL19="-",AM19="-"),"-",AL19-AM19)</f>
        <v>-3.0000000000000027E-3</v>
      </c>
      <c r="AO19" s="33">
        <v>0.04</v>
      </c>
      <c r="AP19" s="33">
        <v>4.5999999999999999E-2</v>
      </c>
      <c r="AQ19" s="34">
        <f>IF(OR(AO19="",AP19="",AO19="-",AP19="-"),"-",AO19-AP19)</f>
        <v>-5.9999999999999984E-3</v>
      </c>
      <c r="AR19" s="33">
        <v>5.7000000000000002E-2</v>
      </c>
      <c r="AS19" s="33">
        <v>5.8999999999999997E-2</v>
      </c>
      <c r="AT19" s="34">
        <f>IF(OR(AR19="",AS19="",AR19="-",AS19="-"),"-",AR19-AS19)</f>
        <v>-1.9999999999999948E-3</v>
      </c>
      <c r="AU19" s="36"/>
      <c r="AV19" s="33">
        <v>5.6000000000000001E-2</v>
      </c>
      <c r="AW19" s="34" t="str">
        <f>IF(OR(AU19="",AV19="",AU19="-",AV19="-"),"-",AU19-AV19)</f>
        <v>-</v>
      </c>
    </row>
    <row r="20" spans="1:49" x14ac:dyDescent="0.25">
      <c r="A20" s="32" t="s">
        <v>105</v>
      </c>
      <c r="B20" s="37"/>
      <c r="C20" s="37"/>
      <c r="D20" s="49" t="str">
        <f>IF(OR(B20="",C20="",B20="-",C20="-"),"-",B20-C20)</f>
        <v>-</v>
      </c>
      <c r="E20" s="37"/>
      <c r="F20" s="37"/>
      <c r="G20" s="49" t="str">
        <f>IF(OR(E20="",F20="",E20="-",F20="-"),"-",E20-F20)</f>
        <v>-</v>
      </c>
      <c r="H20" s="33">
        <v>5.0999999999999997E-2</v>
      </c>
      <c r="I20" s="33">
        <v>5.0999999999999997E-2</v>
      </c>
      <c r="J20" s="49">
        <f>IF(OR(H20="",I20="",H20="-",I20="-"),"-",H20-I20)</f>
        <v>0</v>
      </c>
      <c r="K20" s="37"/>
      <c r="L20" s="37"/>
      <c r="M20" s="49" t="str">
        <f>IF(OR(K20="",L20="",K20="-",L20="-"),"-",K20-L20)</f>
        <v>-</v>
      </c>
      <c r="N20" s="33">
        <v>4.8000000000000001E-2</v>
      </c>
      <c r="O20" s="33">
        <v>4.7E-2</v>
      </c>
      <c r="P20" s="49">
        <f>IF(OR(N20="",O20="",N20="-",O20="-"),"-",N20-O20)</f>
        <v>1.0000000000000009E-3</v>
      </c>
      <c r="Q20" s="33">
        <v>4.7E-2</v>
      </c>
      <c r="R20" s="33">
        <v>4.7E-2</v>
      </c>
      <c r="S20" s="49">
        <f>IF(OR(Q20="",R20="",Q20="-",R20="-"),"-",Q20-R20)</f>
        <v>0</v>
      </c>
      <c r="T20" s="33">
        <v>4.7E-2</v>
      </c>
      <c r="U20" s="33">
        <v>4.5999999999999999E-2</v>
      </c>
      <c r="V20" s="49">
        <f>IF(OR(T20="",U20="",T20="-",U20="-"),"-",T20-U20)</f>
        <v>1.0000000000000009E-3</v>
      </c>
      <c r="W20" s="33">
        <v>4.5999999999999999E-2</v>
      </c>
      <c r="X20" s="33">
        <v>4.3999999999999997E-2</v>
      </c>
      <c r="Y20" s="49">
        <f>IF(OR(W20="",X20="",W20="-",X20="-"),"-",W20-X20)</f>
        <v>2.0000000000000018E-3</v>
      </c>
      <c r="Z20" s="33">
        <v>4.3999999999999997E-2</v>
      </c>
      <c r="AA20" s="33">
        <v>4.3999999999999997E-2</v>
      </c>
      <c r="AB20" s="49">
        <f>IF(OR(Z20="",AA20="",Z20="-",AA20="-"),"-",Z20-AA20)</f>
        <v>0</v>
      </c>
      <c r="AC20" s="33">
        <v>4.3999999999999997E-2</v>
      </c>
      <c r="AD20" s="33">
        <v>4.3999999999999997E-2</v>
      </c>
      <c r="AE20" s="49">
        <f>IF(OR(AC20="",AD20="",AC20="-",AD20="-"),"-",AC20-AD20)</f>
        <v>0</v>
      </c>
      <c r="AF20" s="33">
        <v>4.3999999999999997E-2</v>
      </c>
      <c r="AG20" s="33">
        <v>4.2999999999999997E-2</v>
      </c>
      <c r="AH20" s="49">
        <f>IF(OR(AF20="",AG20="",AF20="-",AG20="-"),"-",AF20-AG20)</f>
        <v>1.0000000000000009E-3</v>
      </c>
      <c r="AI20" s="33">
        <v>4.2999999999999997E-2</v>
      </c>
      <c r="AJ20" s="35">
        <v>0.04</v>
      </c>
      <c r="AK20" s="49">
        <f>IF(OR(AI20="",AJ20="",AI20="-",AJ20="-"),"-",AI20-AJ20)</f>
        <v>2.9999999999999957E-3</v>
      </c>
      <c r="AL20" s="35">
        <v>0.04</v>
      </c>
      <c r="AM20" s="33">
        <v>4.1000000000000002E-2</v>
      </c>
      <c r="AN20" s="49">
        <f>IF(OR(AL20="",AM20="",AL20="-",AM20="-"),"-",AL20-AM20)</f>
        <v>-1.0000000000000009E-3</v>
      </c>
      <c r="AO20" s="33">
        <v>4.1000000000000002E-2</v>
      </c>
      <c r="AP20" s="33">
        <v>4.2000000000000003E-2</v>
      </c>
      <c r="AQ20" s="49">
        <f>IF(OR(AO20="",AP20="",AO20="-",AP20="-"),"-",AO20-AP20)</f>
        <v>-1.0000000000000009E-3</v>
      </c>
      <c r="AR20" s="33">
        <v>4.3999999999999997E-2</v>
      </c>
      <c r="AS20" s="33">
        <v>4.3999999999999997E-2</v>
      </c>
      <c r="AT20" s="49">
        <f>IF(OR(AR20="",AS20="",AR20="-",AS20="-"),"-",AR20-AS20)</f>
        <v>0</v>
      </c>
      <c r="AU20" s="47">
        <v>4.2999999999999997E-2</v>
      </c>
      <c r="AV20" s="33">
        <v>4.2000000000000003E-2</v>
      </c>
      <c r="AW20" s="49">
        <f>IF(OR(AU20="",AV20="",AU20="-",AV20="-"),"-",AU20-AV20)</f>
        <v>9.9999999999999395E-4</v>
      </c>
    </row>
    <row r="21" spans="1:49" x14ac:dyDescent="0.25">
      <c r="A21" s="32" t="s">
        <v>173</v>
      </c>
      <c r="B21" s="37"/>
      <c r="C21" s="37"/>
      <c r="D21" s="50" t="str">
        <f>IF(OR(B21="",C21="",B21="-",C21="-"),"-",B21-C21)</f>
        <v>-</v>
      </c>
      <c r="E21" s="37"/>
      <c r="F21" s="37"/>
      <c r="G21" s="50" t="str">
        <f>IF(OR(E21="",F21="",E21="-",F21="-"),"-",E21-F21)</f>
        <v>-</v>
      </c>
      <c r="H21" s="37">
        <v>17.899999999999999</v>
      </c>
      <c r="I21" s="37">
        <v>-3.3</v>
      </c>
      <c r="J21" s="50">
        <f>IF(OR(H21="",I21="",H21="-",I21="-"),"-",H21-I21)</f>
        <v>21.2</v>
      </c>
      <c r="K21" s="37"/>
      <c r="L21" s="37"/>
      <c r="M21" s="50" t="str">
        <f>IF(OR(K21="",L21="",K21="-",L21="-"),"-",K21-L21)</f>
        <v>-</v>
      </c>
      <c r="N21" s="37">
        <v>25.7</v>
      </c>
      <c r="O21" s="37">
        <v>-2</v>
      </c>
      <c r="P21" s="50">
        <f>IF(OR(N21="",O21="",N21="-",O21="-"),"-",N21-O21)</f>
        <v>27.7</v>
      </c>
      <c r="Q21" s="37">
        <v>17.399999999999999</v>
      </c>
      <c r="R21" s="37">
        <v>-15.5</v>
      </c>
      <c r="S21" s="50">
        <f>IF(OR(Q21="",R21="",Q21="-",R21="-"),"-",Q21-R21)</f>
        <v>32.9</v>
      </c>
      <c r="T21" s="37">
        <v>25.9</v>
      </c>
      <c r="U21" s="37">
        <v>15.3</v>
      </c>
      <c r="V21" s="50">
        <f>IF(OR(T21="",U21="",T21="-",U21="-"),"-",T21-U21)</f>
        <v>10.599999999999998</v>
      </c>
      <c r="W21" s="37">
        <v>33.1</v>
      </c>
      <c r="X21" s="37">
        <v>-16.899999999999999</v>
      </c>
      <c r="Y21" s="50">
        <f>IF(OR(W21="",X21="",W21="-",X21="-"),"-",W21-X21)</f>
        <v>50</v>
      </c>
      <c r="Z21" s="37">
        <v>18.7</v>
      </c>
      <c r="AA21" s="37">
        <v>16.5</v>
      </c>
      <c r="AB21" s="50">
        <f>IF(OR(Z21="",AA21="",Z21="-",AA21="-"),"-",Z21-AA21)</f>
        <v>2.1999999999999993</v>
      </c>
      <c r="AC21" s="37">
        <v>44.2</v>
      </c>
      <c r="AD21" s="37">
        <v>-15.1</v>
      </c>
      <c r="AE21" s="50">
        <f>IF(OR(AC21="",AD21="",AC21="-",AD21="-"),"-",AC21-AD21)</f>
        <v>59.300000000000004</v>
      </c>
      <c r="AF21" s="37">
        <v>0.7</v>
      </c>
      <c r="AG21" s="37">
        <v>-25.1</v>
      </c>
      <c r="AH21" s="50">
        <f>IF(OR(AF21="",AG21="",AF21="-",AG21="-"),"-",AF21-AG21)</f>
        <v>25.8</v>
      </c>
      <c r="AI21" s="37">
        <v>0.3</v>
      </c>
      <c r="AJ21" s="37">
        <v>10.1</v>
      </c>
      <c r="AK21" s="50">
        <f>IF(OR(AI21="",AJ21="",AI21="-",AJ21="-"),"-",AI21-AJ21)</f>
        <v>-9.7999999999999989</v>
      </c>
      <c r="AL21" s="37">
        <v>27.9</v>
      </c>
      <c r="AM21" s="37">
        <v>0.3</v>
      </c>
      <c r="AN21" s="50">
        <f>IF(OR(AL21="",AM21="",AL21="-",AM21="-"),"-",AL21-AM21)</f>
        <v>27.599999999999998</v>
      </c>
      <c r="AO21" s="37">
        <v>23.7</v>
      </c>
      <c r="AP21" s="37">
        <v>102.3</v>
      </c>
      <c r="AQ21" s="50">
        <f>IF(OR(AO21="",AP21="",AO21="-",AP21="-"),"-",AO21-AP21)</f>
        <v>-78.599999999999994</v>
      </c>
      <c r="AR21" s="37">
        <v>32.299999999999997</v>
      </c>
      <c r="AS21" s="37">
        <v>51.9</v>
      </c>
      <c r="AT21" s="50">
        <f>IF(OR(AR21="",AS21="",AR21="-",AS21="-"),"-",AR21-AS21)</f>
        <v>-19.600000000000001</v>
      </c>
      <c r="AU21" s="36"/>
      <c r="AV21" s="33">
        <v>5.6000000000000001E-2</v>
      </c>
      <c r="AW21" s="50" t="str">
        <f>IF(OR(AU21="",AV21="",AU21="-",AV21="-"),"-",AU21-AV21)</f>
        <v>-</v>
      </c>
    </row>
    <row r="22" spans="1:49" x14ac:dyDescent="0.25">
      <c r="A22" s="51"/>
      <c r="B22" s="42"/>
      <c r="C22" s="42"/>
      <c r="D22" s="52"/>
      <c r="E22" s="42"/>
      <c r="F22" s="42"/>
      <c r="G22" s="52"/>
      <c r="H22" s="42"/>
      <c r="I22" s="42"/>
      <c r="J22" s="52"/>
      <c r="K22" s="42"/>
      <c r="L22" s="42"/>
      <c r="M22" s="52"/>
      <c r="N22" s="42"/>
      <c r="O22" s="42"/>
      <c r="P22" s="52"/>
      <c r="Q22" s="42"/>
      <c r="R22" s="42"/>
      <c r="S22" s="52"/>
      <c r="T22" s="42"/>
      <c r="U22" s="42"/>
      <c r="V22" s="52"/>
      <c r="W22" s="42"/>
      <c r="X22" s="42"/>
      <c r="Y22" s="52"/>
      <c r="Z22" s="42"/>
      <c r="AA22" s="42"/>
      <c r="AB22" s="52"/>
      <c r="AC22" s="42"/>
      <c r="AD22" s="42"/>
      <c r="AE22" s="52"/>
      <c r="AF22" s="42"/>
      <c r="AG22" s="42"/>
      <c r="AH22" s="52"/>
      <c r="AI22" s="42"/>
      <c r="AJ22" s="42"/>
      <c r="AK22" s="52"/>
      <c r="AL22" s="42"/>
      <c r="AM22" s="42"/>
      <c r="AN22" s="52"/>
      <c r="AO22" s="42"/>
      <c r="AP22" s="42"/>
      <c r="AQ22" s="52"/>
      <c r="AR22" s="42"/>
      <c r="AS22" s="42"/>
      <c r="AT22" s="52"/>
      <c r="AU22" s="41"/>
      <c r="AV22" s="42"/>
      <c r="AW22" s="52"/>
    </row>
    <row r="23" spans="1:49" x14ac:dyDescent="0.25">
      <c r="A23" s="2" t="s">
        <v>42</v>
      </c>
      <c r="B23" s="316" t="str">
        <f>IF(AND(D24="-",D25="-",D26="-",D27="-",D28="-",D29="-",D30="-"),"",
    IF(SUM(IF(D24="-", 0, IF(D24&lt;0, -2, IF(D24&gt;0, 2, 0))),
             IF(D25="-", 0, IF(D25&lt;0, -2, IF(D25&gt;0, 2, 0))),
             IF(D26="-", 0, IF(D26&lt;0, -1, IF(D26&gt;0, 1, 0))),
             IF(D27="-", 0, IF(D27&lt;0, -1, IF(D27&gt;0, 1, 0))),
             IF(D28="-", 0, IF(D28&lt;0, -1, IF(D28&gt;0, 1, 0))),
             IF(D29="-", 0, IF(D29&lt;0, -1, IF(D29&gt;0, 1, 0))),
             IF(D30="-", 0, IF(D30&lt;0, -1, IF(D30&gt;0, 1, 0)))) / 12 &gt; 0.1, "BULLISH",
    IF(SUM(IF(D24="-", 0, IF(D24&lt;0, -2, IF(D24&gt;0, 2, 0))),
             IF(D25="-", 0, IF(D25&lt;0, -2, IF(D25&gt;0, 2, 0))),
             IF(D26="-", 0, IF(D26&lt;0, -1, IF(D26&gt;0, 1, 0))),
             IF(D27="-", 0, IF(D27&lt;0, -1, IF(D27&gt;0, 1, 0))),
             IF(D28="-", 0, IF(D28&lt;0, -1, IF(D28&gt;0, 1, 0))),
             IF(D29="-", 0, IF(D29&lt;0, -1, IF(D29&gt;0, 1, 0))),
             IF(D30="-", 0, IF(D30&lt;0, -1, IF(D30&gt;0, 1, 0)))) / 12 &lt; -0.1, "BEARISH",
    IF(SUM(IF(D24="-", 0, IF(D24&lt;0, -2, IF(D24&gt;0, 2, 0))),
             IF(D25="-", 0, IF(D25&lt;0, -2, IF(D25&gt;0, 2, 0))),
             IF(D26="-", 0, IF(D26&lt;0, -1, IF(D26&gt;0, 1, 0))),
             IF(D27="-", 0, IF(D27&lt;0, -1, IF(D27&gt;0, 1, 0))),
             IF(D28="-", 0, IF(D28&lt;0, -1, IF(D28&gt;0, 1, 0))),
             IF(D29="-", 0, IF(D29&lt;0, -1, IF(D29&gt;0, 1, 0))),
             IF(D30="-", 0, IF(D30&lt;0, -1, IF(D30&gt;0, 1, 0)))) / 12 &gt; -0.1, "NEUTRO",
    IF(SUM(IF(D24="-", 0, IF(D24&lt;0, -2, IF(D24&gt;0, 2, 0))),
             IF(D25="-", 0, IF(D25&lt;0, -2, IF(D25&gt;0, 2, 0))),
             IF(D26="-", 0, IF(D26&lt;0, -1, IF(D26&gt;0, 1, 0))),
             IF(D27="-", 0, IF(D27&lt;0, -1, IF(D27&gt;0, 1, 0))),
             IF(D28="-", 0, IF(D28&lt;0, -1, IF(D28&gt;0, 1, 0))),
             IF(D29="-", 0, IF(D29&lt;0, -1, IF(D29&gt;0, 1, 0))),
             IF(D30="-", 0, IF(D30&lt;0, -1, IF(D30&gt;0, 1, 0)))) / 12 &lt; 0.1, "NEUTRO",
    "")))))</f>
        <v/>
      </c>
      <c r="C23" s="317"/>
      <c r="D23" s="319"/>
      <c r="E23" s="316" t="str">
        <f>IF(AND(G24="-",G25="-",G26="-",G27="-",G28="-",G29="-",G30="-"),"",
    IF(SUM(IF(G24="-", 0, IF(G24&lt;0, -2, IF(G24&gt;0, 2, 0))),
             IF(G25="-", 0, IF(G25&lt;0, -2, IF(G25&gt;0, 2, 0))),
             IF(G26="-", 0, IF(G26&lt;0, -1, IF(G26&gt;0, 1, 0))),
             IF(G27="-", 0, IF(G27&lt;0, -1, IF(G27&gt;0, 1, 0))),
             IF(G28="-", 0, IF(G28&lt;0, -1, IF(G28&gt;0, 1, 0))),
             IF(G29="-", 0, IF(G29&lt;0, -1, IF(G29&gt;0, 1, 0))),
             IF(G30="-", 0, IF(G30&lt;0, -1, IF(G30&gt;0, 1, 0)))) / 12 &gt; 0.1, "BULLISH",
    IF(SUM(IF(G24="-", 0, IF(G24&lt;0, -2, IF(G24&gt;0, 2, 0))),
             IF(G25="-", 0, IF(G25&lt;0, -2, IF(G25&gt;0, 2, 0))),
             IF(G26="-", 0, IF(G26&lt;0, -1, IF(G26&gt;0, 1, 0))),
             IF(G27="-", 0, IF(G27&lt;0, -1, IF(G27&gt;0, 1, 0))),
             IF(G28="-", 0, IF(G28&lt;0, -1, IF(G28&gt;0, 1, 0))),
             IF(G29="-", 0, IF(G29&lt;0, -1, IF(G29&gt;0, 1, 0))),
             IF(G30="-", 0, IF(G30&lt;0, -1, IF(G30&gt;0, 1, 0)))) / 12 &lt; -0.1, "BEARISH",
    IF(SUM(IF(G24="-", 0, IF(G24&lt;0, -2, IF(G24&gt;0, 2, 0))),
             IF(G25="-", 0, IF(G25&lt;0, -2, IF(G25&gt;0, 2, 0))),
             IF(G26="-", 0, IF(G26&lt;0, -1, IF(G26&gt;0, 1, 0))),
             IF(G27="-", 0, IF(G27&lt;0, -1, IF(G27&gt;0, 1, 0))),
             IF(G28="-", 0, IF(G28&lt;0, -1, IF(G28&gt;0, 1, 0))),
             IF(G29="-", 0, IF(G29&lt;0, -1, IF(G29&gt;0, 1, 0))),
             IF(G30="-", 0, IF(G30&lt;0, -1, IF(G30&gt;0, 1, 0)))) / 12 &gt; -0.1, "NEUTRO",
    IF(SUM(IF(G24="-", 0, IF(G24&lt;0, -2, IF(G24&gt;0, 2, 0))),
             IF(G25="-", 0, IF(G25&lt;0, -2, IF(G25&gt;0, 2, 0))),
             IF(G26="-", 0, IF(G26&lt;0, -1, IF(G26&gt;0, 1, 0))),
             IF(G27="-", 0, IF(G27&lt;0, -1, IF(G27&gt;0, 1, 0))),
             IF(G28="-", 0, IF(G28&lt;0, -1, IF(G28&gt;0, 1, 0))),
             IF(G29="-", 0, IF(G29&lt;0, -1, IF(G29&gt;0, 1, 0))),
             IF(G30="-", 0, IF(G30&lt;0, -1, IF(G30&gt;0, 1, 0)))) / 12 &lt; 0.1, "NEUTRO",
    "")))))</f>
        <v/>
      </c>
      <c r="F23" s="317"/>
      <c r="G23" s="319"/>
      <c r="H23" s="316" t="str">
        <f>IF(AND(J24="-",J25="-",J26="-",J27="-",J28="-",J29="-",J30="-"),"",
    IF(SUM(IF(J24="-", 0, IF(J24&lt;0, -2, IF(J24&gt;0, 2, 0))),
             IF(J25="-", 0, IF(J25&lt;0, -2, IF(J25&gt;0, 2, 0))),
             IF(J26="-", 0, IF(J26&lt;0, -1, IF(J26&gt;0, 1, 0))),
             IF(J27="-", 0, IF(J27&lt;0, -1, IF(J27&gt;0, 1, 0))),
             IF(J28="-", 0, IF(J28&lt;0, -1, IF(J28&gt;0, 1, 0))),
             IF(J29="-", 0, IF(J29&lt;0, -1, IF(J29&gt;0, 1, 0))),
             IF(J30="-", 0, IF(J30&lt;0, -1, IF(J30&gt;0, 1, 0)))) / 12 &gt; 0.1, "BULLISH",
    IF(SUM(IF(J24="-", 0, IF(J24&lt;0, -2, IF(J24&gt;0, 2, 0))),
             IF(J25="-", 0, IF(J25&lt;0, -2, IF(J25&gt;0, 2, 0))),
             IF(J26="-", 0, IF(J26&lt;0, -1, IF(J26&gt;0, 1, 0))),
             IF(J27="-", 0, IF(J27&lt;0, -1, IF(J27&gt;0, 1, 0))),
             IF(J28="-", 0, IF(J28&lt;0, -1, IF(J28&gt;0, 1, 0))),
             IF(J29="-", 0, IF(J29&lt;0, -1, IF(J29&gt;0, 1, 0))),
             IF(J30="-", 0, IF(J30&lt;0, -1, IF(J30&gt;0, 1, 0)))) / 12 &lt; -0.1, "BEARISH",
    IF(SUM(IF(J24="-", 0, IF(J24&lt;0, -2, IF(J24&gt;0, 2, 0))),
             IF(J25="-", 0, IF(J25&lt;0, -2, IF(J25&gt;0, 2, 0))),
             IF(J26="-", 0, IF(J26&lt;0, -1, IF(J26&gt;0, 1, 0))),
             IF(J27="-", 0, IF(J27&lt;0, -1, IF(J27&gt;0, 1, 0))),
             IF(J28="-", 0, IF(J28&lt;0, -1, IF(J28&gt;0, 1, 0))),
             IF(J29="-", 0, IF(J29&lt;0, -1, IF(J29&gt;0, 1, 0))),
             IF(J30="-", 0, IF(J30&lt;0, -1, IF(J30&gt;0, 1, 0)))) / 12 &gt; -0.1, "NEUTRO",
    IF(SUM(IF(J24="-", 0, IF(J24&lt;0, -2, IF(J24&gt;0, 2, 0))),
             IF(J25="-", 0, IF(J25&lt;0, -2, IF(J25&gt;0, 2, 0))),
             IF(J26="-", 0, IF(J26&lt;0, -1, IF(J26&gt;0, 1, 0))),
             IF(J27="-", 0, IF(J27&lt;0, -1, IF(J27&gt;0, 1, 0))),
             IF(J28="-", 0, IF(J28&lt;0, -1, IF(J28&gt;0, 1, 0))),
             IF(J29="-", 0, IF(J29&lt;0, -1, IF(J29&gt;0, 1, 0))),
             IF(J30="-", 0, IF(J30&lt;0, -1, IF(J30&gt;0, 1, 0)))) / 12 &lt; 0.1, "NEUTRO",
    "")))))</f>
        <v>BULLISH</v>
      </c>
      <c r="I23" s="317"/>
      <c r="J23" s="319"/>
      <c r="K23" s="316" t="str">
        <f>IF(AND(M24="-",M25="-",M26="-",M27="-",M28="-",M29="-",M30="-"),"",
    IF(SUM(IF(M24="-", 0, IF(M24&lt;0, -2, IF(M24&gt;0, 2, 0))),
             IF(M25="-", 0, IF(M25&lt;0, -2, IF(M25&gt;0, 2, 0))),
             IF(M26="-", 0, IF(M26&lt;0, -1, IF(M26&gt;0, 1, 0))),
             IF(M27="-", 0, IF(M27&lt;0, -1, IF(M27&gt;0, 1, 0))),
             IF(M28="-", 0, IF(M28&lt;0, -1, IF(M28&gt;0, 1, 0))),
             IF(M29="-", 0, IF(M29&lt;0, -1, IF(M29&gt;0, 1, 0))),
             IF(M30="-", 0, IF(M30&lt;0, -1, IF(M30&gt;0, 1, 0)))) / 12 &gt; 0.1, "BULLISH",
    IF(SUM(IF(M24="-", 0, IF(M24&lt;0, -2, IF(M24&gt;0, 2, 0))),
             IF(M25="-", 0, IF(M25&lt;0, -2, IF(M25&gt;0, 2, 0))),
             IF(M26="-", 0, IF(M26&lt;0, -1, IF(M26&gt;0, 1, 0))),
             IF(M27="-", 0, IF(M27&lt;0, -1, IF(M27&gt;0, 1, 0))),
             IF(M28="-", 0, IF(M28&lt;0, -1, IF(M28&gt;0, 1, 0))),
             IF(M29="-", 0, IF(M29&lt;0, -1, IF(M29&gt;0, 1, 0))),
             IF(M30="-", 0, IF(M30&lt;0, -1, IF(M30&gt;0, 1, 0)))) / 12 &lt; -0.1, "BEARISH",
    IF(SUM(IF(M24="-", 0, IF(M24&lt;0, -2, IF(M24&gt;0, 2, 0))),
             IF(M25="-", 0, IF(M25&lt;0, -2, IF(M25&gt;0, 2, 0))),
             IF(M26="-", 0, IF(M26&lt;0, -1, IF(M26&gt;0, 1, 0))),
             IF(M27="-", 0, IF(M27&lt;0, -1, IF(M27&gt;0, 1, 0))),
             IF(M28="-", 0, IF(M28&lt;0, -1, IF(M28&gt;0, 1, 0))),
             IF(M29="-", 0, IF(M29&lt;0, -1, IF(M29&gt;0, 1, 0))),
             IF(M30="-", 0, IF(M30&lt;0, -1, IF(M30&gt;0, 1, 0)))) / 12 &gt; -0.1, "NEUTRO",
    IF(SUM(IF(M24="-", 0, IF(M24&lt;0, -2, IF(M24&gt;0, 2, 0))),
             IF(M25="-", 0, IF(M25&lt;0, -2, IF(M25&gt;0, 2, 0))),
             IF(M26="-", 0, IF(M26&lt;0, -1, IF(M26&gt;0, 1, 0))),
             IF(M27="-", 0, IF(M27&lt;0, -1, IF(M27&gt;0, 1, 0))),
             IF(M28="-", 0, IF(M28&lt;0, -1, IF(M28&gt;0, 1, 0))),
             IF(M29="-", 0, IF(M29&lt;0, -1, IF(M29&gt;0, 1, 0))),
             IF(M30="-", 0, IF(M30&lt;0, -1, IF(M30&gt;0, 1, 0)))) / 12 &lt; 0.1, "NEUTRO",
    "")))))</f>
        <v/>
      </c>
      <c r="L23" s="317"/>
      <c r="M23" s="319"/>
      <c r="N23" s="316" t="str">
        <f>IF(AND(P24="-",P25="-",P26="-",P27="-",P28="-",P29="-",P30="-"),"",
    IF(SUM(IF(P24="-", 0, IF(P24&lt;0, -2, IF(P24&gt;0, 2, 0))),
             IF(P25="-", 0, IF(P25&lt;0, -2, IF(P25&gt;0, 2, 0))),
             IF(P26="-", 0, IF(P26&lt;0, -1, IF(P26&gt;0, 1, 0))),
             IF(P27="-", 0, IF(P27&lt;0, -1, IF(P27&gt;0, 1, 0))),
             IF(P28="-", 0, IF(P28&lt;0, -1, IF(P28&gt;0, 1, 0))),
             IF(P29="-", 0, IF(P29&lt;0, -1, IF(P29&gt;0, 1, 0))),
             IF(P30="-", 0, IF(P30&lt;0, -1, IF(P30&gt;0, 1, 0)))) / 12 &gt; 0.1, "BULLISH",
    IF(SUM(IF(P24="-", 0, IF(P24&lt;0, -2, IF(P24&gt;0, 2, 0))),
             IF(P25="-", 0, IF(P25&lt;0, -2, IF(P25&gt;0, 2, 0))),
             IF(P26="-", 0, IF(P26&lt;0, -1, IF(P26&gt;0, 1, 0))),
             IF(P27="-", 0, IF(P27&lt;0, -1, IF(P27&gt;0, 1, 0))),
             IF(P28="-", 0, IF(P28&lt;0, -1, IF(P28&gt;0, 1, 0))),
             IF(P29="-", 0, IF(P29&lt;0, -1, IF(P29&gt;0, 1, 0))),
             IF(P30="-", 0, IF(P30&lt;0, -1, IF(P30&gt;0, 1, 0)))) / 12 &lt; -0.1, "BEARISH",
    IF(SUM(IF(P24="-", 0, IF(P24&lt;0, -2, IF(P24&gt;0, 2, 0))),
             IF(P25="-", 0, IF(P25&lt;0, -2, IF(P25&gt;0, 2, 0))),
             IF(P26="-", 0, IF(P26&lt;0, -1, IF(P26&gt;0, 1, 0))),
             IF(P27="-", 0, IF(P27&lt;0, -1, IF(P27&gt;0, 1, 0))),
             IF(P28="-", 0, IF(P28&lt;0, -1, IF(P28&gt;0, 1, 0))),
             IF(P29="-", 0, IF(P29&lt;0, -1, IF(P29&gt;0, 1, 0))),
             IF(P30="-", 0, IF(P30&lt;0, -1, IF(P30&gt;0, 1, 0)))) / 12 &gt; -0.1, "NEUTRO",
    IF(SUM(IF(P24="-", 0, IF(P24&lt;0, -2, IF(P24&gt;0, 2, 0))),
             IF(P25="-", 0, IF(P25&lt;0, -2, IF(P25&gt;0, 2, 0))),
             IF(P26="-", 0, IF(P26&lt;0, -1, IF(P26&gt;0, 1, 0))),
             IF(P27="-", 0, IF(P27&lt;0, -1, IF(P27&gt;0, 1, 0))),
             IF(P28="-", 0, IF(P28&lt;0, -1, IF(P28&gt;0, 1, 0))),
             IF(P29="-", 0, IF(P29&lt;0, -1, IF(P29&gt;0, 1, 0))),
             IF(P30="-", 0, IF(P30&lt;0, -1, IF(P30&gt;0, 1, 0)))) / 12 &lt; 0.1, "NEUTRO",
    "")))))</f>
        <v>NEUTRO</v>
      </c>
      <c r="O23" s="317"/>
      <c r="P23" s="319"/>
      <c r="Q23" s="316" t="str">
        <f>IF(AND(S24="-",S25="-",S26="-",S27="-",S28="-",S29="-",S30="-"),"",
    IF(SUM(IF(S24="-", 0, IF(S24&lt;0, -2, IF(S24&gt;0, 2, 0))),
             IF(S25="-", 0, IF(S25&lt;0, -2, IF(S25&gt;0, 2, 0))),
             IF(S26="-", 0, IF(S26&lt;0, -1, IF(S26&gt;0, 1, 0))),
             IF(S27="-", 0, IF(S27&lt;0, -1, IF(S27&gt;0, 1, 0))),
             IF(S28="-", 0, IF(S28&lt;0, -1, IF(S28&gt;0, 1, 0))),
             IF(S29="-", 0, IF(S29&lt;0, -1, IF(S29&gt;0, 1, 0))),
             IF(S30="-", 0, IF(S30&lt;0, -1, IF(S30&gt;0, 1, 0)))) / 12 &gt; 0.1, "BULLISH",
    IF(SUM(IF(S24="-", 0, IF(S24&lt;0, -2, IF(S24&gt;0, 2, 0))),
             IF(S25="-", 0, IF(S25&lt;0, -2, IF(S25&gt;0, 2, 0))),
             IF(S26="-", 0, IF(S26&lt;0, -1, IF(S26&gt;0, 1, 0))),
             IF(S27="-", 0, IF(S27&lt;0, -1, IF(S27&gt;0, 1, 0))),
             IF(S28="-", 0, IF(S28&lt;0, -1, IF(S28&gt;0, 1, 0))),
             IF(S29="-", 0, IF(S29&lt;0, -1, IF(S29&gt;0, 1, 0))),
             IF(S30="-", 0, IF(S30&lt;0, -1, IF(S30&gt;0, 1, 0)))) / 12 &lt; -0.1, "BEARISH",
    IF(SUM(IF(S24="-", 0, IF(S24&lt;0, -2, IF(S24&gt;0, 2, 0))),
             IF(S25="-", 0, IF(S25&lt;0, -2, IF(S25&gt;0, 2, 0))),
             IF(S26="-", 0, IF(S26&lt;0, -1, IF(S26&gt;0, 1, 0))),
             IF(S27="-", 0, IF(S27&lt;0, -1, IF(S27&gt;0, 1, 0))),
             IF(S28="-", 0, IF(S28&lt;0, -1, IF(S28&gt;0, 1, 0))),
             IF(S29="-", 0, IF(S29&lt;0, -1, IF(S29&gt;0, 1, 0))),
             IF(S30="-", 0, IF(S30&lt;0, -1, IF(S30&gt;0, 1, 0)))) / 12 &gt; -0.1, "NEUTRO",
    IF(SUM(IF(S24="-", 0, IF(S24&lt;0, -2, IF(S24&gt;0, 2, 0))),
             IF(S25="-", 0, IF(S25&lt;0, -2, IF(S25&gt;0, 2, 0))),
             IF(S26="-", 0, IF(S26&lt;0, -1, IF(S26&gt;0, 1, 0))),
             IF(S27="-", 0, IF(S27&lt;0, -1, IF(S27&gt;0, 1, 0))),
             IF(S28="-", 0, IF(S28&lt;0, -1, IF(S28&gt;0, 1, 0))),
             IF(S29="-", 0, IF(S29&lt;0, -1, IF(S29&gt;0, 1, 0))),
             IF(S30="-", 0, IF(S30&lt;0, -1, IF(S30&gt;0, 1, 0)))) / 12 &lt; 0.1, "NEUTRO",
    "")))))</f>
        <v>BULLISH</v>
      </c>
      <c r="R23" s="317"/>
      <c r="S23" s="319"/>
      <c r="T23" s="316" t="str">
        <f>IF(AND(V24="-",V25="-",V26="-",V27="-",V28="-",V29="-",V30="-"),"",
    IF(SUM(IF(V24="-", 0, IF(V24&lt;0, -2, IF(V24&gt;0, 2, 0))),
             IF(V25="-", 0, IF(V25&lt;0, -2, IF(V25&gt;0, 2, 0))),
             IF(V26="-", 0, IF(V26&lt;0, -1, IF(V26&gt;0, 1, 0))),
             IF(V27="-", 0, IF(V27&lt;0, -1, IF(V27&gt;0, 1, 0))),
             IF(V28="-", 0, IF(V28&lt;0, -1, IF(V28&gt;0, 1, 0))),
             IF(V29="-", 0, IF(V29&lt;0, -1, IF(V29&gt;0, 1, 0))),
             IF(V30="-", 0, IF(V30&lt;0, -1, IF(V30&gt;0, 1, 0)))) / 12 &gt; 0.1, "BULLISH",
    IF(SUM(IF(V24="-", 0, IF(V24&lt;0, -2, IF(V24&gt;0, 2, 0))),
             IF(V25="-", 0, IF(V25&lt;0, -2, IF(V25&gt;0, 2, 0))),
             IF(V26="-", 0, IF(V26&lt;0, -1, IF(V26&gt;0, 1, 0))),
             IF(V27="-", 0, IF(V27&lt;0, -1, IF(V27&gt;0, 1, 0))),
             IF(V28="-", 0, IF(V28&lt;0, -1, IF(V28&gt;0, 1, 0))),
             IF(V29="-", 0, IF(V29&lt;0, -1, IF(V29&gt;0, 1, 0))),
             IF(V30="-", 0, IF(V30&lt;0, -1, IF(V30&gt;0, 1, 0)))) / 12 &lt; -0.1, "BEARISH",
    IF(SUM(IF(V24="-", 0, IF(V24&lt;0, -2, IF(V24&gt;0, 2, 0))),
             IF(V25="-", 0, IF(V25&lt;0, -2, IF(V25&gt;0, 2, 0))),
             IF(V26="-", 0, IF(V26&lt;0, -1, IF(V26&gt;0, 1, 0))),
             IF(V27="-", 0, IF(V27&lt;0, -1, IF(V27&gt;0, 1, 0))),
             IF(V28="-", 0, IF(V28&lt;0, -1, IF(V28&gt;0, 1, 0))),
             IF(V29="-", 0, IF(V29&lt;0, -1, IF(V29&gt;0, 1, 0))),
             IF(V30="-", 0, IF(V30&lt;0, -1, IF(V30&gt;0, 1, 0)))) / 12 &gt; -0.1, "NEUTRO",
    IF(SUM(IF(V24="-", 0, IF(V24&lt;0, -2, IF(V24&gt;0, 2, 0))),
             IF(V25="-", 0, IF(V25&lt;0, -2, IF(V25&gt;0, 2, 0))),
             IF(V26="-", 0, IF(V26&lt;0, -1, IF(V26&gt;0, 1, 0))),
             IF(V27="-", 0, IF(V27&lt;0, -1, IF(V27&gt;0, 1, 0))),
             IF(V28="-", 0, IF(V28&lt;0, -1, IF(V28&gt;0, 1, 0))),
             IF(V29="-", 0, IF(V29&lt;0, -1, IF(V29&gt;0, 1, 0))),
             IF(V30="-", 0, IF(V30&lt;0, -1, IF(V30&gt;0, 1, 0)))) / 12 &lt; 0.1, "NEUTRO",
    "")))))</f>
        <v>BULLISH</v>
      </c>
      <c r="U23" s="317"/>
      <c r="V23" s="319"/>
      <c r="W23" s="316" t="str">
        <f>IF(AND(Y24="-",Y25="-",Y26="-",Y27="-",Y28="-",Y29="-",Y30="-"),"",
    IF(SUM(IF(Y24="-", 0, IF(Y24&lt;0, -2, IF(Y24&gt;0, 2, 0))),
             IF(Y25="-", 0, IF(Y25&lt;0, -2, IF(Y25&gt;0, 2, 0))),
             IF(Y26="-", 0, IF(Y26&lt;0, -1, IF(Y26&gt;0, 1, 0))),
             IF(Y27="-", 0, IF(Y27&lt;0, -1, IF(Y27&gt;0, 1, 0))),
             IF(Y28="-", 0, IF(Y28&lt;0, -1, IF(Y28&gt;0, 1, 0))),
             IF(Y29="-", 0, IF(Y29&lt;0, -1, IF(Y29&gt;0, 1, 0))),
             IF(Y30="-", 0, IF(Y30&lt;0, -1, IF(Y30&gt;0, 1, 0)))) / 12 &gt; 0.1, "BULLISH",
    IF(SUM(IF(Y24="-", 0, IF(Y24&lt;0, -2, IF(Y24&gt;0, 2, 0))),
             IF(Y25="-", 0, IF(Y25&lt;0, -2, IF(Y25&gt;0, 2, 0))),
             IF(Y26="-", 0, IF(Y26&lt;0, -1, IF(Y26&gt;0, 1, 0))),
             IF(Y27="-", 0, IF(Y27&lt;0, -1, IF(Y27&gt;0, 1, 0))),
             IF(Y28="-", 0, IF(Y28&lt;0, -1, IF(Y28&gt;0, 1, 0))),
             IF(Y29="-", 0, IF(Y29&lt;0, -1, IF(Y29&gt;0, 1, 0))),
             IF(Y30="-", 0, IF(Y30&lt;0, -1, IF(Y30&gt;0, 1, 0)))) / 12 &lt; -0.1, "BEARISH",
    IF(SUM(IF(Y24="-", 0, IF(Y24&lt;0, -2, IF(Y24&gt;0, 2, 0))),
             IF(Y25="-", 0, IF(Y25&lt;0, -2, IF(Y25&gt;0, 2, 0))),
             IF(Y26="-", 0, IF(Y26&lt;0, -1, IF(Y26&gt;0, 1, 0))),
             IF(Y27="-", 0, IF(Y27&lt;0, -1, IF(Y27&gt;0, 1, 0))),
             IF(Y28="-", 0, IF(Y28&lt;0, -1, IF(Y28&gt;0, 1, 0))),
             IF(Y29="-", 0, IF(Y29&lt;0, -1, IF(Y29&gt;0, 1, 0))),
             IF(Y30="-", 0, IF(Y30&lt;0, -1, IF(Y30&gt;0, 1, 0)))) / 12 &gt; -0.1, "NEUTRO",
    IF(SUM(IF(Y24="-", 0, IF(Y24&lt;0, -2, IF(Y24&gt;0, 2, 0))),
             IF(Y25="-", 0, IF(Y25&lt;0, -2, IF(Y25&gt;0, 2, 0))),
             IF(Y26="-", 0, IF(Y26&lt;0, -1, IF(Y26&gt;0, 1, 0))),
             IF(Y27="-", 0, IF(Y27&lt;0, -1, IF(Y27&gt;0, 1, 0))),
             IF(Y28="-", 0, IF(Y28&lt;0, -1, IF(Y28&gt;0, 1, 0))),
             IF(Y29="-", 0, IF(Y29&lt;0, -1, IF(Y29&gt;0, 1, 0))),
             IF(Y30="-", 0, IF(Y30&lt;0, -1, IF(Y30&gt;0, 1, 0)))) / 12 &lt; 0.1, "NEUTRO",
    "")))))</f>
        <v>NEUTRO</v>
      </c>
      <c r="X23" s="317"/>
      <c r="Y23" s="318"/>
      <c r="Z23" s="316" t="str">
        <f>IF(AND(AB24="-",AB25="-",AB26="-",AB27="-",AB28="-",AB29="-",AB30="-"),"",
    IF(SUM(IF(AB24="-", 0, IF(AB24&lt;0, -2, IF(AB24&gt;0, 2, 0))),
             IF(AB25="-", 0, IF(AB25&lt;0, -2, IF(AB25&gt;0, 2, 0))),
             IF(AB26="-", 0, IF(AB26&lt;0, -1, IF(AB26&gt;0, 1, 0))),
             IF(AB27="-", 0, IF(AB27&lt;0, -1, IF(AB27&gt;0, 1, 0))),
             IF(AB28="-", 0, IF(AB28&lt;0, -1, IF(AB28&gt;0, 1, 0))),
             IF(AB29="-", 0, IF(AB29&lt;0, -1, IF(AB29&gt;0, 1, 0))),
             IF(AB30="-", 0, IF(AB30&lt;0, -1, IF(AB30&gt;0, 1, 0)))) / 12 &gt; 0.1, "BULLISH",
    IF(SUM(IF(AB24="-", 0, IF(AB24&lt;0, -2, IF(AB24&gt;0, 2, 0))),
             IF(AB25="-", 0, IF(AB25&lt;0, -2, IF(AB25&gt;0, 2, 0))),
             IF(AB26="-", 0, IF(AB26&lt;0, -1, IF(AB26&gt;0, 1, 0))),
             IF(AB27="-", 0, IF(AB27&lt;0, -1, IF(AB27&gt;0, 1, 0))),
             IF(AB28="-", 0, IF(AB28&lt;0, -1, IF(AB28&gt;0, 1, 0))),
             IF(AB29="-", 0, IF(AB29&lt;0, -1, IF(AB29&gt;0, 1, 0))),
             IF(AB30="-", 0, IF(AB30&lt;0, -1, IF(AB30&gt;0, 1, 0)))) / 12 &lt; -0.1, "BEARISH",
    IF(SUM(IF(AB24="-", 0, IF(AB24&lt;0, -2, IF(AB24&gt;0, 2, 0))),
             IF(AB25="-", 0, IF(AB25&lt;0, -2, IF(AB25&gt;0, 2, 0))),
             IF(AB26="-", 0, IF(AB26&lt;0, -1, IF(AB26&gt;0, 1, 0))),
             IF(AB27="-", 0, IF(AB27&lt;0, -1, IF(AB27&gt;0, 1, 0))),
             IF(AB28="-", 0, IF(AB28&lt;0, -1, IF(AB28&gt;0, 1, 0))),
             IF(AB29="-", 0, IF(AB29&lt;0, -1, IF(AB29&gt;0, 1, 0))),
             IF(AB30="-", 0, IF(AB30&lt;0, -1, IF(AB30&gt;0, 1, 0)))) / 12 &gt; -0.1, "NEUTRO",
    IF(SUM(IF(AB24="-", 0, IF(AB24&lt;0, -2, IF(AB24&gt;0, 2, 0))),
             IF(AB25="-", 0, IF(AB25&lt;0, -2, IF(AB25&gt;0, 2, 0))),
             IF(AB26="-", 0, IF(AB26&lt;0, -1, IF(AB26&gt;0, 1, 0))),
             IF(AB27="-", 0, IF(AB27&lt;0, -1, IF(AB27&gt;0, 1, 0))),
             IF(AB28="-", 0, IF(AB28&lt;0, -1, IF(AB28&gt;0, 1, 0))),
             IF(AB29="-", 0, IF(AB29&lt;0, -1, IF(AB29&gt;0, 1, 0))),
             IF(AB30="-", 0, IF(AB30&lt;0, -1, IF(AB30&gt;0, 1, 0)))) / 12 &lt; 0.1, "NEUTRO",
    "")))))</f>
        <v>BEARISH</v>
      </c>
      <c r="AA23" s="317"/>
      <c r="AB23" s="319"/>
      <c r="AC23" s="316" t="str">
        <f>IF(AND(AE24="-",AE25="-",AE26="-",AE27="-",AE28="-",AE29="-",AE30="-"),"",
    IF(SUM(IF(AE24="-", 0, IF(AE24&lt;0, -2, IF(AE24&gt;0, 2, 0))),
             IF(AE25="-", 0, IF(AE25&lt;0, -2, IF(AE25&gt;0, 2, 0))),
             IF(AE26="-", 0, IF(AE26&lt;0, -1, IF(AE26&gt;0, 1, 0))),
             IF(AE27="-", 0, IF(AE27&lt;0, -1, IF(AE27&gt;0, 1, 0))),
             IF(AE28="-", 0, IF(AE28&lt;0, -1, IF(AE28&gt;0, 1, 0))),
             IF(AE29="-", 0, IF(AE29&lt;0, -1, IF(AE29&gt;0, 1, 0))),
             IF(AE30="-", 0, IF(AE30&lt;0, -1, IF(AE30&gt;0, 1, 0)))) / 12 &gt; 0.1, "BULLISH",
    IF(SUM(IF(AE24="-", 0, IF(AE24&lt;0, -2, IF(AE24&gt;0, 2, 0))),
             IF(AE25="-", 0, IF(AE25&lt;0, -2, IF(AE25&gt;0, 2, 0))),
             IF(AE26="-", 0, IF(AE26&lt;0, -1, IF(AE26&gt;0, 1, 0))),
             IF(AE27="-", 0, IF(AE27&lt;0, -1, IF(AE27&gt;0, 1, 0))),
             IF(AE28="-", 0, IF(AE28&lt;0, -1, IF(AE28&gt;0, 1, 0))),
             IF(AE29="-", 0, IF(AE29&lt;0, -1, IF(AE29&gt;0, 1, 0))),
             IF(AE30="-", 0, IF(AE30&lt;0, -1, IF(AE30&gt;0, 1, 0)))) / 12 &lt; -0.1, "BEARISH",
    IF(SUM(IF(AE24="-", 0, IF(AE24&lt;0, -2, IF(AE24&gt;0, 2, 0))),
             IF(AE25="-", 0, IF(AE25&lt;0, -2, IF(AE25&gt;0, 2, 0))),
             IF(AE26="-", 0, IF(AE26&lt;0, -1, IF(AE26&gt;0, 1, 0))),
             IF(AE27="-", 0, IF(AE27&lt;0, -1, IF(AE27&gt;0, 1, 0))),
             IF(AE28="-", 0, IF(AE28&lt;0, -1, IF(AE28&gt;0, 1, 0))),
             IF(AE29="-", 0, IF(AE29&lt;0, -1, IF(AE29&gt;0, 1, 0))),
             IF(AE30="-", 0, IF(AE30&lt;0, -1, IF(AE30&gt;0, 1, 0)))) / 12 &gt; -0.1, "NEUTRO",
    IF(SUM(IF(AE24="-", 0, IF(AE24&lt;0, -2, IF(AE24&gt;0, 2, 0))),
             IF(AE25="-", 0, IF(AE25&lt;0, -2, IF(AE25&gt;0, 2, 0))),
             IF(AE26="-", 0, IF(AE26&lt;0, -1, IF(AE26&gt;0, 1, 0))),
             IF(AE27="-", 0, IF(AE27&lt;0, -1, IF(AE27&gt;0, 1, 0))),
             IF(AE28="-", 0, IF(AE28&lt;0, -1, IF(AE28&gt;0, 1, 0))),
             IF(AE29="-", 0, IF(AE29&lt;0, -1, IF(AE29&gt;0, 1, 0))),
             IF(AE30="-", 0, IF(AE30&lt;0, -1, IF(AE30&gt;0, 1, 0)))) / 12 &lt; 0.1, "NEUTRO",
    "")))))</f>
        <v>BULLISH</v>
      </c>
      <c r="AD23" s="317"/>
      <c r="AE23" s="319"/>
      <c r="AF23" s="316" t="str">
        <f>IF(AND(AH24="-",AH25="-",AH26="-",AH27="-",AH28="-",AH29="-",AH30="-"),"",
    IF(SUM(IF(AH24="-", 0, IF(AH24&lt;0, -2, IF(AH24&gt;0, 2, 0))),
             IF(AH25="-", 0, IF(AH25&lt;0, -2, IF(AH25&gt;0, 2, 0))),
             IF(AH26="-", 0, IF(AH26&lt;0, -1, IF(AH26&gt;0, 1, 0))),
             IF(AH27="-", 0, IF(AH27&lt;0, -1, IF(AH27&gt;0, 1, 0))),
             IF(AH28="-", 0, IF(AH28&lt;0, -1, IF(AH28&gt;0, 1, 0))),
             IF(AH29="-", 0, IF(AH29&lt;0, -1, IF(AH29&gt;0, 1, 0))),
             IF(AH30="-", 0, IF(AH30&lt;0, -1, IF(AH30&gt;0, 1, 0)))) / 12 &gt; 0.1, "BULLISH",
    IF(SUM(IF(AH24="-", 0, IF(AH24&lt;0, -2, IF(AH24&gt;0, 2, 0))),
             IF(AH25="-", 0, IF(AH25&lt;0, -2, IF(AH25&gt;0, 2, 0))),
             IF(AH26="-", 0, IF(AH26&lt;0, -1, IF(AH26&gt;0, 1, 0))),
             IF(AH27="-", 0, IF(AH27&lt;0, -1, IF(AH27&gt;0, 1, 0))),
             IF(AH28="-", 0, IF(AH28&lt;0, -1, IF(AH28&gt;0, 1, 0))),
             IF(AH29="-", 0, IF(AH29&lt;0, -1, IF(AH29&gt;0, 1, 0))),
             IF(AH30="-", 0, IF(AH30&lt;0, -1, IF(AH30&gt;0, 1, 0)))) / 12 &lt; -0.1, "BEARISH",
    IF(SUM(IF(AH24="-", 0, IF(AH24&lt;0, -2, IF(AH24&gt;0, 2, 0))),
             IF(AH25="-", 0, IF(AH25&lt;0, -2, IF(AH25&gt;0, 2, 0))),
             IF(AH26="-", 0, IF(AH26&lt;0, -1, IF(AH26&gt;0, 1, 0))),
             IF(AH27="-", 0, IF(AH27&lt;0, -1, IF(AH27&gt;0, 1, 0))),
             IF(AH28="-", 0, IF(AH28&lt;0, -1, IF(AH28&gt;0, 1, 0))),
             IF(AH29="-", 0, IF(AH29&lt;0, -1, IF(AH29&gt;0, 1, 0))),
             IF(AH30="-", 0, IF(AH30&lt;0, -1, IF(AH30&gt;0, 1, 0)))) / 12 &gt; -0.1, "NEUTRO",
    IF(SUM(IF(AH24="-", 0, IF(AH24&lt;0, -2, IF(AH24&gt;0, 2, 0))),
             IF(AH25="-", 0, IF(AH25&lt;0, -2, IF(AH25&gt;0, 2, 0))),
             IF(AH26="-", 0, IF(AH26&lt;0, -1, IF(AH26&gt;0, 1, 0))),
             IF(AH27="-", 0, IF(AH27&lt;0, -1, IF(AH27&gt;0, 1, 0))),
             IF(AH28="-", 0, IF(AH28&lt;0, -1, IF(AH28&gt;0, 1, 0))),
             IF(AH29="-", 0, IF(AH29&lt;0, -1, IF(AH29&gt;0, 1, 0))),
             IF(AH30="-", 0, IF(AH30&lt;0, -1, IF(AH30&gt;0, 1, 0)))) / 12 &lt; 0.1, "NEUTRO",
    "")))))</f>
        <v>NEUTRO</v>
      </c>
      <c r="AG23" s="317"/>
      <c r="AH23" s="319"/>
      <c r="AI23" s="316" t="str">
        <f>IF(AND(AK24="-",AK25="-",AK26="-",AK27="-",AK28="-",AK29="-",AK30="-"),"",
    IF(SUM(IF(AK24="-", 0, IF(AK24&lt;0, -2, IF(AK24&gt;0, 2, 0))),
             IF(AK25="-", 0, IF(AK25&lt;0, -2, IF(AK25&gt;0, 2, 0))),
             IF(AK26="-", 0, IF(AK26&lt;0, -1, IF(AK26&gt;0, 1, 0))),
             IF(AK27="-", 0, IF(AK27&lt;0, -1, IF(AK27&gt;0, 1, 0))),
             IF(AK28="-", 0, IF(AK28&lt;0, -1, IF(AK28&gt;0, 1, 0))),
             IF(AK29="-", 0, IF(AK29&lt;0, -1, IF(AK29&gt;0, 1, 0))),
             IF(AK30="-", 0, IF(AK30&lt;0, -1, IF(AK30&gt;0, 1, 0)))) / 12 &gt; 0.1, "BULLISH",
    IF(SUM(IF(AK24="-", 0, IF(AK24&lt;0, -2, IF(AK24&gt;0, 2, 0))),
             IF(AK25="-", 0, IF(AK25&lt;0, -2, IF(AK25&gt;0, 2, 0))),
             IF(AK26="-", 0, IF(AK26&lt;0, -1, IF(AK26&gt;0, 1, 0))),
             IF(AK27="-", 0, IF(AK27&lt;0, -1, IF(AK27&gt;0, 1, 0))),
             IF(AK28="-", 0, IF(AK28&lt;0, -1, IF(AK28&gt;0, 1, 0))),
             IF(AK29="-", 0, IF(AK29&lt;0, -1, IF(AK29&gt;0, 1, 0))),
             IF(AK30="-", 0, IF(AK30&lt;0, -1, IF(AK30&gt;0, 1, 0)))) / 12 &lt; -0.1, "BEARISH",
    IF(SUM(IF(AK24="-", 0, IF(AK24&lt;0, -2, IF(AK24&gt;0, 2, 0))),
             IF(AK25="-", 0, IF(AK25&lt;0, -2, IF(AK25&gt;0, 2, 0))),
             IF(AK26="-", 0, IF(AK26&lt;0, -1, IF(AK26&gt;0, 1, 0))),
             IF(AK27="-", 0, IF(AK27&lt;0, -1, IF(AK27&gt;0, 1, 0))),
             IF(AK28="-", 0, IF(AK28&lt;0, -1, IF(AK28&gt;0, 1, 0))),
             IF(AK29="-", 0, IF(AK29&lt;0, -1, IF(AK29&gt;0, 1, 0))),
             IF(AK30="-", 0, IF(AK30&lt;0, -1, IF(AK30&gt;0, 1, 0)))) / 12 &gt; -0.1, "NEUTRO",
    IF(SUM(IF(AK24="-", 0, IF(AK24&lt;0, -2, IF(AK24&gt;0, 2, 0))),
             IF(AK25="-", 0, IF(AK25&lt;0, -2, IF(AK25&gt;0, 2, 0))),
             IF(AK26="-", 0, IF(AK26&lt;0, -1, IF(AK26&gt;0, 1, 0))),
             IF(AK27="-", 0, IF(AK27&lt;0, -1, IF(AK27&gt;0, 1, 0))),
             IF(AK28="-", 0, IF(AK28&lt;0, -1, IF(AK28&gt;0, 1, 0))),
             IF(AK29="-", 0, IF(AK29&lt;0, -1, IF(AK29&gt;0, 1, 0))),
             IF(AK30="-", 0, IF(AK30&lt;0, -1, IF(AK30&gt;0, 1, 0)))) / 12 &lt; 0.1, "NEUTRO",
    "")))))</f>
        <v>NEUTRO</v>
      </c>
      <c r="AJ23" s="317"/>
      <c r="AK23" s="319"/>
      <c r="AL23" s="316" t="str">
        <f>IF(AND(AN24="-",AN25="-",AN26="-",AN27="-",AN28="-",AN29="-",AN30="-"),"",
    IF(SUM(IF(AN24="-", 0, IF(AN24&lt;0, -2, IF(AN24&gt;0, 2, 0))),
             IF(AN25="-", 0, IF(AN25&lt;0, -2, IF(AN25&gt;0, 2, 0))),
             IF(AN26="-", 0, IF(AN26&lt;0, -1, IF(AN26&gt;0, 1, 0))),
             IF(AN27="-", 0, IF(AN27&lt;0, -1, IF(AN27&gt;0, 1, 0))),
             IF(AN28="-", 0, IF(AN28&lt;0, -1, IF(AN28&gt;0, 1, 0))),
             IF(AN29="-", 0, IF(AN29&lt;0, -1, IF(AN29&gt;0, 1, 0))),
             IF(AN30="-", 0, IF(AN30&lt;0, -1, IF(AN30&gt;0, 1, 0)))) / 12 &gt; 0.1, "BULLISH",
    IF(SUM(IF(AN24="-", 0, IF(AN24&lt;0, -2, IF(AN24&gt;0, 2, 0))),
             IF(AN25="-", 0, IF(AN25&lt;0, -2, IF(AN25&gt;0, 2, 0))),
             IF(AN26="-", 0, IF(AN26&lt;0, -1, IF(AN26&gt;0, 1, 0))),
             IF(AN27="-", 0, IF(AN27&lt;0, -1, IF(AN27&gt;0, 1, 0))),
             IF(AN28="-", 0, IF(AN28&lt;0, -1, IF(AN28&gt;0, 1, 0))),
             IF(AN29="-", 0, IF(AN29&lt;0, -1, IF(AN29&gt;0, 1, 0))),
             IF(AN30="-", 0, IF(AN30&lt;0, -1, IF(AN30&gt;0, 1, 0)))) / 12 &lt; -0.1, "BEARISH",
    IF(SUM(IF(AN24="-", 0, IF(AN24&lt;0, -2, IF(AN24&gt;0, 2, 0))),
             IF(AN25="-", 0, IF(AN25&lt;0, -2, IF(AN25&gt;0, 2, 0))),
             IF(AN26="-", 0, IF(AN26&lt;0, -1, IF(AN26&gt;0, 1, 0))),
             IF(AN27="-", 0, IF(AN27&lt;0, -1, IF(AN27&gt;0, 1, 0))),
             IF(AN28="-", 0, IF(AN28&lt;0, -1, IF(AN28&gt;0, 1, 0))),
             IF(AN29="-", 0, IF(AN29&lt;0, -1, IF(AN29&gt;0, 1, 0))),
             IF(AN30="-", 0, IF(AN30&lt;0, -1, IF(AN30&gt;0, 1, 0)))) / 12 &gt; -0.1, "NEUTRO",
    IF(SUM(IF(AN24="-", 0, IF(AN24&lt;0, -2, IF(AN24&gt;0, 2, 0))),
             IF(AN25="-", 0, IF(AN25&lt;0, -2, IF(AN25&gt;0, 2, 0))),
             IF(AN26="-", 0, IF(AN26&lt;0, -1, IF(AN26&gt;0, 1, 0))),
             IF(AN27="-", 0, IF(AN27&lt;0, -1, IF(AN27&gt;0, 1, 0))),
             IF(AN28="-", 0, IF(AN28&lt;0, -1, IF(AN28&gt;0, 1, 0))),
             IF(AN29="-", 0, IF(AN29&lt;0, -1, IF(AN29&gt;0, 1, 0))),
             IF(AN30="-", 0, IF(AN30&lt;0, -1, IF(AN30&gt;0, 1, 0)))) / 12 &lt; 0.1, "NEUTRO",
    "")))))</f>
        <v>BEARISH</v>
      </c>
      <c r="AM23" s="317"/>
      <c r="AN23" s="319"/>
      <c r="AO23" s="316" t="str">
        <f>IF(AND(AQ24="-",AQ25="-",AQ26="-",AQ27="-",AQ28="-",AQ29="-",AQ30="-"),"",
    IF(SUM(IF(AQ24="-", 0, IF(AQ24&lt;0, -2, IF(AQ24&gt;0, 2, 0))),
             IF(AQ25="-", 0, IF(AQ25&lt;0, -2, IF(AQ25&gt;0, 2, 0))),
             IF(AQ26="-", 0, IF(AQ26&lt;0, -1, IF(AQ26&gt;0, 1, 0))),
             IF(AQ27="-", 0, IF(AQ27&lt;0, -1, IF(AQ27&gt;0, 1, 0))),
             IF(AQ28="-", 0, IF(AQ28&lt;0, -1, IF(AQ28&gt;0, 1, 0))),
             IF(AQ29="-", 0, IF(AQ29&lt;0, -1, IF(AQ29&gt;0, 1, 0))),
             IF(AQ30="-", 0, IF(AQ30&lt;0, -1, IF(AQ30&gt;0, 1, 0)))) / 12 &gt; 0.1, "BULLISH",
    IF(SUM(IF(AQ24="-", 0, IF(AQ24&lt;0, -2, IF(AQ24&gt;0, 2, 0))),
             IF(AQ25="-", 0, IF(AQ25&lt;0, -2, IF(AQ25&gt;0, 2, 0))),
             IF(AQ26="-", 0, IF(AQ26&lt;0, -1, IF(AQ26&gt;0, 1, 0))),
             IF(AQ27="-", 0, IF(AQ27&lt;0, -1, IF(AQ27&gt;0, 1, 0))),
             IF(AQ28="-", 0, IF(AQ28&lt;0, -1, IF(AQ28&gt;0, 1, 0))),
             IF(AQ29="-", 0, IF(AQ29&lt;0, -1, IF(AQ29&gt;0, 1, 0))),
             IF(AQ30="-", 0, IF(AQ30&lt;0, -1, IF(AQ30&gt;0, 1, 0)))) / 12 &lt; -0.1, "BEARISH",
    IF(SUM(IF(AQ24="-", 0, IF(AQ24&lt;0, -2, IF(AQ24&gt;0, 2, 0))),
             IF(AQ25="-", 0, IF(AQ25&lt;0, -2, IF(AQ25&gt;0, 2, 0))),
             IF(AQ26="-", 0, IF(AQ26&lt;0, -1, IF(AQ26&gt;0, 1, 0))),
             IF(AQ27="-", 0, IF(AQ27&lt;0, -1, IF(AQ27&gt;0, 1, 0))),
             IF(AQ28="-", 0, IF(AQ28&lt;0, -1, IF(AQ28&gt;0, 1, 0))),
             IF(AQ29="-", 0, IF(AQ29&lt;0, -1, IF(AQ29&gt;0, 1, 0))),
             IF(AQ30="-", 0, IF(AQ30&lt;0, -1, IF(AQ30&gt;0, 1, 0)))) / 12 &gt; -0.1, "NEUTRO",
    IF(SUM(IF(AQ24="-", 0, IF(AQ24&lt;0, -2, IF(AQ24&gt;0, 2, 0))),
             IF(AQ25="-", 0, IF(AQ25&lt;0, -2, IF(AQ25&gt;0, 2, 0))),
             IF(AQ26="-", 0, IF(AQ26&lt;0, -1, IF(AQ26&gt;0, 1, 0))),
             IF(AQ27="-", 0, IF(AQ27&lt;0, -1, IF(AQ27&gt;0, 1, 0))),
             IF(AQ28="-", 0, IF(AQ28&lt;0, -1, IF(AQ28&gt;0, 1, 0))),
             IF(AQ29="-", 0, IF(AQ29&lt;0, -1, IF(AQ29&gt;0, 1, 0))),
             IF(AQ30="-", 0, IF(AQ30&lt;0, -1, IF(AQ30&gt;0, 1, 0)))) / 12 &lt; 0.1, "NEUTRO",
    "")))))</f>
        <v>BULLISH</v>
      </c>
      <c r="AP23" s="317"/>
      <c r="AQ23" s="319"/>
      <c r="AR23" s="316" t="str">
        <f>IF(AND(AT24="-",AT25="-",AT26="-",AT27="-",AT28="-",AT29="-",AT30="-"),"",
    IF(SUM(IF(AT24="-", 0, IF(AT24&lt;0, -2, IF(AT24&gt;0, 2, 0))),
             IF(AT25="-", 0, IF(AT25&lt;0, -2, IF(AT25&gt;0, 2, 0))),
             IF(AT26="-", 0, IF(AT26&lt;0, -1, IF(AT26&gt;0, 1, 0))),
             IF(AT27="-", 0, IF(AT27&lt;0, -1, IF(AT27&gt;0, 1, 0))),
             IF(AT28="-", 0, IF(AT28&lt;0, -1, IF(AT28&gt;0, 1, 0))),
             IF(AT29="-", 0, IF(AT29&lt;0, -1, IF(AT29&gt;0, 1, 0))),
             IF(AT30="-", 0, IF(AT30&lt;0, -1, IF(AT30&gt;0, 1, 0)))) / 12 &gt; 0.1, "BULLISH",
    IF(SUM(IF(AT24="-", 0, IF(AT24&lt;0, -2, IF(AT24&gt;0, 2, 0))),
             IF(AT25="-", 0, IF(AT25&lt;0, -2, IF(AT25&gt;0, 2, 0))),
             IF(AT26="-", 0, IF(AT26&lt;0, -1, IF(AT26&gt;0, 1, 0))),
             IF(AT27="-", 0, IF(AT27&lt;0, -1, IF(AT27&gt;0, 1, 0))),
             IF(AT28="-", 0, IF(AT28&lt;0, -1, IF(AT28&gt;0, 1, 0))),
             IF(AT29="-", 0, IF(AT29&lt;0, -1, IF(AT29&gt;0, 1, 0))),
             IF(AT30="-", 0, IF(AT30&lt;0, -1, IF(AT30&gt;0, 1, 0)))) / 12 &lt; -0.1, "BEARISH",
    IF(SUM(IF(AT24="-", 0, IF(AT24&lt;0, -2, IF(AT24&gt;0, 2, 0))),
             IF(AT25="-", 0, IF(AT25&lt;0, -2, IF(AT25&gt;0, 2, 0))),
             IF(AT26="-", 0, IF(AT26&lt;0, -1, IF(AT26&gt;0, 1, 0))),
             IF(AT27="-", 0, IF(AT27&lt;0, -1, IF(AT27&gt;0, 1, 0))),
             IF(AT28="-", 0, IF(AT28&lt;0, -1, IF(AT28&gt;0, 1, 0))),
             IF(AT29="-", 0, IF(AT29&lt;0, -1, IF(AT29&gt;0, 1, 0))),
             IF(AT30="-", 0, IF(AT30&lt;0, -1, IF(AT30&gt;0, 1, 0)))) / 12 &gt; -0.1, "NEUTRO",
    IF(SUM(IF(AT24="-", 0, IF(AT24&lt;0, -2, IF(AT24&gt;0, 2, 0))),
             IF(AT25="-", 0, IF(AT25&lt;0, -2, IF(AT25&gt;0, 2, 0))),
             IF(AT26="-", 0, IF(AT26&lt;0, -1, IF(AT26&gt;0, 1, 0))),
             IF(AT27="-", 0, IF(AT27&lt;0, -1, IF(AT27&gt;0, 1, 0))),
             IF(AT28="-", 0, IF(AT28&lt;0, -1, IF(AT28&gt;0, 1, 0))),
             IF(AT29="-", 0, IF(AT29&lt;0, -1, IF(AT29&gt;0, 1, 0))),
             IF(AT30="-", 0, IF(AT30&lt;0, -1, IF(AT30&gt;0, 1, 0)))) / 12 &lt; 0.1, "NEUTRO",
    "")))))</f>
        <v>BEARISH</v>
      </c>
      <c r="AS23" s="317"/>
      <c r="AT23" s="319"/>
      <c r="AU23" s="316" t="str">
        <f>IF(AND(AW24="-",AW25="-",AW26="-",AW27="-",AW28="-",AW29="-",AW30="-"),"",
    IF(SUM(IF(AW24="-", 0, IF(AW24&lt;0, -2, IF(AW24&gt;0, 2, 0))),
             IF(AW25="-", 0, IF(AW25&lt;0, -2, IF(AW25&gt;0, 2, 0))),
             IF(AW26="-", 0, IF(AW26&lt;0, -1, IF(AW26&gt;0, 1, 0))),
             IF(AW27="-", 0, IF(AW27&lt;0, -1, IF(AW27&gt;0, 1, 0))),
             IF(AW28="-", 0, IF(AW28&lt;0, -1, IF(AW28&gt;0, 1, 0))),
             IF(AW29="-", 0, IF(AW29&lt;0, -1, IF(AW29&gt;0, 1, 0))),
             IF(AW30="-", 0, IF(AW30&lt;0, -1, IF(AW30&gt;0, 1, 0)))) / 12 &gt; 0.1, "BULLISH",
    IF(SUM(IF(AW24="-", 0, IF(AW24&lt;0, -2, IF(AW24&gt;0, 2, 0))),
             IF(AW25="-", 0, IF(AW25&lt;0, -2, IF(AW25&gt;0, 2, 0))),
             IF(AW26="-", 0, IF(AW26&lt;0, -1, IF(AW26&gt;0, 1, 0))),
             IF(AW27="-", 0, IF(AW27&lt;0, -1, IF(AW27&gt;0, 1, 0))),
             IF(AW28="-", 0, IF(AW28&lt;0, -1, IF(AW28&gt;0, 1, 0))),
             IF(AW29="-", 0, IF(AW29&lt;0, -1, IF(AW29&gt;0, 1, 0))),
             IF(AW30="-", 0, IF(AW30&lt;0, -1, IF(AW30&gt;0, 1, 0)))) / 12 &lt; -0.1, "BEARISH",
    IF(SUM(IF(AW24="-", 0, IF(AW24&lt;0, -2, IF(AW24&gt;0, 2, 0))),
             IF(AW25="-", 0, IF(AW25&lt;0, -2, IF(AW25&gt;0, 2, 0))),
             IF(AW26="-", 0, IF(AW26&lt;0, -1, IF(AW26&gt;0, 1, 0))),
             IF(AW27="-", 0, IF(AW27&lt;0, -1, IF(AW27&gt;0, 1, 0))),
             IF(AW28="-", 0, IF(AW28&lt;0, -1, IF(AW28&gt;0, 1, 0))),
             IF(AW29="-", 0, IF(AW29&lt;0, -1, IF(AW29&gt;0, 1, 0))),
             IF(AW30="-", 0, IF(AW30&lt;0, -1, IF(AW30&gt;0, 1, 0)))) / 12 &gt; -0.1, "NEUTRO",
    IF(SUM(IF(AW24="-", 0, IF(AW24&lt;0, -2, IF(AW24&gt;0, 2, 0))),
             IF(AW25="-", 0, IF(AW25&lt;0, -2, IF(AW25&gt;0, 2, 0))),
             IF(AW26="-", 0, IF(AW26&lt;0, -1, IF(AW26&gt;0, 1, 0))),
             IF(AW27="-", 0, IF(AW27&lt;0, -1, IF(AW27&gt;0, 1, 0))),
             IF(AW28="-", 0, IF(AW28&lt;0, -1, IF(AW28&gt;0, 1, 0))),
             IF(AW29="-", 0, IF(AW29&lt;0, -1, IF(AW29&gt;0, 1, 0))),
             IF(AW30="-", 0, IF(AW30&lt;0, -1, IF(AW30&gt;0, 1, 0)))) / 12 &lt; 0.1, "NEUTRO",
    "")))))</f>
        <v>BEARISH</v>
      </c>
      <c r="AV23" s="317"/>
      <c r="AW23" s="319"/>
    </row>
    <row r="24" spans="1:49" x14ac:dyDescent="0.25">
      <c r="A24" s="32" t="s">
        <v>115</v>
      </c>
      <c r="B24" s="37"/>
      <c r="C24" s="37"/>
      <c r="D24" s="53" t="str">
        <f>IF(OR(B24="",C24="",B24="-",C24="-"),"-",B24-C24)</f>
        <v>-</v>
      </c>
      <c r="E24" s="37"/>
      <c r="F24" s="37"/>
      <c r="G24" s="53" t="str">
        <f>IF(OR(E24="",F24="",E24="-",F24="-"),"-",E24-F24)</f>
        <v>-</v>
      </c>
      <c r="H24" s="35">
        <v>4.0000000000000001E-3</v>
      </c>
      <c r="I24" s="33">
        <v>-1E-3</v>
      </c>
      <c r="J24" s="53">
        <f>IF(OR(H24="",I24="",H24="-",I24="-"),"-",H24-I24)</f>
        <v>5.0000000000000001E-3</v>
      </c>
      <c r="K24" s="37"/>
      <c r="L24" s="37"/>
      <c r="M24" s="53" t="str">
        <f>IF(OR(K24="",L24="",K24="-",L24="-"),"-",K24-L24)</f>
        <v>-</v>
      </c>
      <c r="N24" s="33">
        <v>5.0000000000000001E-3</v>
      </c>
      <c r="O24" s="33">
        <v>5.0000000000000001E-3</v>
      </c>
      <c r="P24" s="53">
        <f>IF(OR(N24="",O24="",N24="-",O24="-"),"-",N24-O24)</f>
        <v>0</v>
      </c>
      <c r="Q24" s="33">
        <v>6.0000000000000001E-3</v>
      </c>
      <c r="R24" s="33">
        <v>3.0000000000000001E-3</v>
      </c>
      <c r="S24" s="53">
        <f>IF(OR(Q24="",R24="",Q24="-",R24="-"),"-",Q24-R24)</f>
        <v>3.0000000000000001E-3</v>
      </c>
      <c r="T24" s="33">
        <v>8.9999999999999993E-3</v>
      </c>
      <c r="U24" s="33">
        <v>1.2999999999999999E-2</v>
      </c>
      <c r="V24" s="53">
        <f>IF(OR(T24="",U24="",T24="-",U24="-"),"-",T24-U24)</f>
        <v>-4.0000000000000001E-3</v>
      </c>
      <c r="W24" s="33">
        <v>1.2E-2</v>
      </c>
      <c r="X24" s="33">
        <v>1E-3</v>
      </c>
      <c r="Y24" s="53">
        <f>IF(OR(W24="",X24="",W24="-",X24="-"),"-",W24-X24)</f>
        <v>1.0999999999999999E-2</v>
      </c>
      <c r="Z24" s="35">
        <v>4.0000000000000001E-3</v>
      </c>
      <c r="AA24" s="33">
        <v>1.4E-2</v>
      </c>
      <c r="AB24" s="53">
        <f>IF(OR(Z24="",AA24="",Z24="-",AA24="-"),"-",Z24-AA24)</f>
        <v>-0.01</v>
      </c>
      <c r="AC24" s="33">
        <v>1.7000000000000001E-2</v>
      </c>
      <c r="AD24" s="33">
        <v>-6.0000000000000001E-3</v>
      </c>
      <c r="AE24" s="53">
        <f>IF(OR(AC24="",AD24="",AC24="-",AD24="-"),"-",AC24-AD24)</f>
        <v>2.3E-2</v>
      </c>
      <c r="AF24" s="33">
        <v>-3.0000000000000001E-3</v>
      </c>
      <c r="AG24" s="33">
        <v>-7.0000000000000001E-3</v>
      </c>
      <c r="AH24" s="53">
        <f>IF(OR(AF24="",AG24="",AF24="-",AG24="-"),"-",AF24-AG24)</f>
        <v>4.0000000000000001E-3</v>
      </c>
      <c r="AI24" s="37"/>
      <c r="AJ24" s="37"/>
      <c r="AK24" s="53" t="str">
        <f>IF(OR(AI24="",AJ24="",AI24="-",AJ24="-"),"-",AI24-AJ24)</f>
        <v>-</v>
      </c>
      <c r="AL24" s="35">
        <v>3.0000000000000001E-3</v>
      </c>
      <c r="AM24" s="33">
        <v>0.01</v>
      </c>
      <c r="AN24" s="53">
        <f>IF(OR(AL24="",AM24="",AL24="-",AM24="-"),"-",AL24-AM24)</f>
        <v>-7.0000000000000001E-3</v>
      </c>
      <c r="AO24" s="33">
        <v>5.0000000000000001E-3</v>
      </c>
      <c r="AP24" s="33">
        <v>-8.9999999999999993E-3</v>
      </c>
      <c r="AQ24" s="53">
        <f>IF(OR(AO24="",AP24="",AO24="-",AP24="-"),"-",AO24-AP24)</f>
        <v>1.3999999999999999E-2</v>
      </c>
      <c r="AR24" s="33">
        <v>-1.2E-2</v>
      </c>
      <c r="AS24" s="33">
        <v>2.9000000000000001E-2</v>
      </c>
      <c r="AT24" s="53">
        <f>IF(OR(AR24="",AS24="",AR24="-",AS24="-"),"-",AR24-AS24)</f>
        <v>-4.1000000000000002E-2</v>
      </c>
      <c r="AU24" s="47">
        <v>-2.3E-2</v>
      </c>
      <c r="AV24" s="33">
        <v>-2E-3</v>
      </c>
      <c r="AW24" s="53">
        <f>IF(OR(AU24="",AV24="",AU24="-",AV24="-"),"-",AU24-AV24)</f>
        <v>-2.0999999999999998E-2</v>
      </c>
    </row>
    <row r="25" spans="1:49" x14ac:dyDescent="0.25">
      <c r="A25" s="32" t="s">
        <v>174</v>
      </c>
      <c r="B25" s="37"/>
      <c r="C25" s="37"/>
      <c r="D25" s="54" t="str">
        <f>IF(OR(B25="",C25="",B25="-",C25="-"),"-",B25-C25)</f>
        <v>-</v>
      </c>
      <c r="E25" s="37"/>
      <c r="F25" s="37"/>
      <c r="G25" s="54" t="str">
        <f>IF(OR(E25="",F25="",E25="-",F25="-"),"-",E25-F25)</f>
        <v>-</v>
      </c>
      <c r="H25" s="37">
        <v>-16</v>
      </c>
      <c r="I25" s="37">
        <v>-17</v>
      </c>
      <c r="J25" s="54">
        <f>IF(OR(H25="",I25="",H25="-",I25="-"),"-",H25-I25)</f>
        <v>1</v>
      </c>
      <c r="K25" s="37"/>
      <c r="L25" s="37"/>
      <c r="M25" s="54" t="str">
        <f>IF(OR(K25="",L25="",K25="-",L25="-"),"-",K25-L25)</f>
        <v>-</v>
      </c>
      <c r="N25" s="37">
        <v>-17</v>
      </c>
      <c r="O25" s="37">
        <v>-17</v>
      </c>
      <c r="P25" s="54">
        <f>IF(OR(N25="",O25="",N25="-",O25="-"),"-",N25-O25)</f>
        <v>0</v>
      </c>
      <c r="Q25" s="37">
        <v>-17</v>
      </c>
      <c r="R25" s="37">
        <v>-19</v>
      </c>
      <c r="S25" s="54">
        <f>IF(OR(Q25="",R25="",Q25="-",R25="-"),"-",Q25-R25)</f>
        <v>2</v>
      </c>
      <c r="T25" s="37">
        <v>-19</v>
      </c>
      <c r="U25" s="37">
        <v>-20</v>
      </c>
      <c r="V25" s="54">
        <f>IF(OR(T25="",U25="",T25="-",U25="-"),"-",T25-U25)</f>
        <v>1</v>
      </c>
      <c r="W25" s="37">
        <v>-20</v>
      </c>
      <c r="X25" s="37">
        <v>-23</v>
      </c>
      <c r="Y25" s="54">
        <f>IF(OR(W25="",X25="",W25="-",X25="-"),"-",W25-X25)</f>
        <v>3</v>
      </c>
      <c r="Z25" s="37">
        <v>-23</v>
      </c>
      <c r="AA25" s="37">
        <v>-20</v>
      </c>
      <c r="AB25" s="54">
        <f>IF(OR(Z25="",AA25="",Z25="-",AA25="-"),"-",Z25-AA25)</f>
        <v>-3</v>
      </c>
      <c r="AC25" s="37">
        <v>-20</v>
      </c>
      <c r="AD25" s="37">
        <v>-22</v>
      </c>
      <c r="AE25" s="54">
        <f>IF(OR(AC25="",AD25="",AC25="-",AD25="-"),"-",AC25-AD25)</f>
        <v>2</v>
      </c>
      <c r="AF25" s="37">
        <v>-22</v>
      </c>
      <c r="AG25" s="37">
        <v>-17</v>
      </c>
      <c r="AH25" s="54">
        <f>IF(OR(AF25="",AG25="",AF25="-",AG25="-"),"-",AF25-AG25)</f>
        <v>-5</v>
      </c>
      <c r="AI25" s="37">
        <v>-17</v>
      </c>
      <c r="AJ25" s="37">
        <v>-21</v>
      </c>
      <c r="AK25" s="54">
        <f>IF(OR(AI25="",AJ25="",AI25="-",AJ25="-"),"-",AI25-AJ25)</f>
        <v>4</v>
      </c>
      <c r="AL25" s="37">
        <v>-21</v>
      </c>
      <c r="AM25" s="37">
        <v>-20</v>
      </c>
      <c r="AN25" s="54">
        <f>IF(OR(AL25="",AM25="",AL25="-",AM25="-"),"-",AL25-AM25)</f>
        <v>-1</v>
      </c>
      <c r="AO25" s="37">
        <v>-13</v>
      </c>
      <c r="AP25" s="37">
        <v>-13</v>
      </c>
      <c r="AQ25" s="54">
        <f>IF(OR(AO25="",AP25="",AO25="-",AP25="-"),"-",AO25-AP25)</f>
        <v>0</v>
      </c>
      <c r="AR25" s="37">
        <v>-13</v>
      </c>
      <c r="AS25" s="37">
        <v>-14</v>
      </c>
      <c r="AT25" s="54">
        <f>IF(OR(AR25="",AS25="",AR25="-",AS25="-"),"-",AR25-AS25)</f>
        <v>1</v>
      </c>
      <c r="AU25" s="36"/>
      <c r="AV25" s="37"/>
      <c r="AW25" s="54" t="str">
        <f>IF(OR(AU25="",AV25="",AU25="-",AV25="-"),"-",AU25-AV25)</f>
        <v>-</v>
      </c>
    </row>
    <row r="26" spans="1:49" x14ac:dyDescent="0.25">
      <c r="A26" s="55" t="s">
        <v>175</v>
      </c>
      <c r="B26" s="56"/>
      <c r="C26" s="56"/>
      <c r="D26" s="10" t="str">
        <f>IF(OR(B26="",C26="",B26="-",C26="-"),"-",B26-C26)</f>
        <v>-</v>
      </c>
      <c r="E26" s="56"/>
      <c r="F26" s="56"/>
      <c r="G26" s="10" t="str">
        <f>IF(OR(E26="",F26="",E26="-",F26="-"),"-",E26-F26)</f>
        <v>-</v>
      </c>
      <c r="H26" s="56"/>
      <c r="I26" s="56"/>
      <c r="J26" s="10" t="str">
        <f>IF(OR(H26="",I26="",H26="-",I26="-"),"-",H26-I26)</f>
        <v>-</v>
      </c>
      <c r="K26" s="56"/>
      <c r="L26" s="56"/>
      <c r="M26" s="10" t="str">
        <f>IF(OR(K26="",L26="",K26="-",L26="-"),"-",K26-L26)</f>
        <v>-</v>
      </c>
      <c r="N26" s="56"/>
      <c r="O26" s="56"/>
      <c r="P26" s="10" t="str">
        <f>IF(OR(N26="",O26="",N26="-",O26="-"),"-",N26-O26)</f>
        <v>-</v>
      </c>
      <c r="Q26" s="56">
        <v>1.1000000000000001</v>
      </c>
      <c r="R26" s="56">
        <v>22.6</v>
      </c>
      <c r="S26" s="10">
        <f>IF(OR(Q26="",R26="",Q26="-",R26="-"),"-",Q26-R26)</f>
        <v>-21.5</v>
      </c>
      <c r="T26" s="56">
        <v>20.7</v>
      </c>
      <c r="U26" s="56">
        <v>17.399999999999999</v>
      </c>
      <c r="V26" s="10">
        <f>IF(OR(T26="",U26="",T26="-",U26="-"),"-",T26-U26)</f>
        <v>3.3000000000000007</v>
      </c>
      <c r="W26" s="56">
        <v>0.8</v>
      </c>
      <c r="X26" s="56">
        <v>14.1</v>
      </c>
      <c r="Y26" s="10">
        <f>IF(OR(W26="",X26="",W26="-",X26="-"),"-",W26-X26)</f>
        <v>-13.299999999999999</v>
      </c>
      <c r="Z26" s="56"/>
      <c r="AA26" s="56"/>
      <c r="AB26" s="10" t="str">
        <f>IF(OR(Z26="",AA26="",Z26="-",AA26="-"),"-",Z26-AA26)</f>
        <v>-</v>
      </c>
      <c r="AC26" s="56"/>
      <c r="AD26" s="56"/>
      <c r="AE26" s="10" t="str">
        <f>IF(OR(AC26="",AD26="",AC26="-",AD26="-"),"-",AC26-AD26)</f>
        <v>-</v>
      </c>
      <c r="AF26" s="56">
        <v>3.4</v>
      </c>
      <c r="AG26" s="56">
        <v>4.5</v>
      </c>
      <c r="AH26" s="10">
        <f>IF(OR(AF26="",AG26="",AF26="-",AG26="-"),"-",AF26-AG26)</f>
        <v>-1.1000000000000001</v>
      </c>
      <c r="AI26" s="56"/>
      <c r="AJ26" s="56"/>
      <c r="AK26" s="10" t="str">
        <f>IF(OR(AI26="",AJ26="",AI26="-",AJ26="-"),"-",AI26-AJ26)</f>
        <v>-</v>
      </c>
      <c r="AL26" s="56">
        <v>3.8</v>
      </c>
      <c r="AM26" s="56">
        <v>4.2</v>
      </c>
      <c r="AN26" s="10">
        <f>IF(OR(AL26="",AM26="",AL26="-",AM26="-"),"-",AL26-AM26)</f>
        <v>-0.40000000000000036</v>
      </c>
      <c r="AO26" s="56"/>
      <c r="AP26" s="56"/>
      <c r="AQ26" s="10" t="str">
        <f>IF(OR(AO26="",AP26="",AO26="-",AP26="-"),"-",AO26-AP26)</f>
        <v>-</v>
      </c>
      <c r="AR26" s="56">
        <v>2.78</v>
      </c>
      <c r="AS26" s="56">
        <v>3.08</v>
      </c>
      <c r="AT26" s="10">
        <f>IF(OR(AR26="",AS26="",AR26="-",AS26="-"),"-",AR26-AS26)</f>
        <v>-0.30000000000000027</v>
      </c>
      <c r="AU26" s="57"/>
      <c r="AV26" s="56"/>
      <c r="AW26" s="10" t="str">
        <f>IF(OR(AU26="",AV26="",AU26="-",AV26="-"),"-",AU26-AV26)</f>
        <v>-</v>
      </c>
    </row>
    <row r="27" spans="1:49" x14ac:dyDescent="0.25">
      <c r="A27" s="55" t="s">
        <v>176</v>
      </c>
      <c r="B27" s="56"/>
      <c r="C27" s="56"/>
      <c r="D27" s="4" t="str">
        <f>IF(OR(B27="",C27="",B27="-",C27="-"),"-",B27-C27)</f>
        <v>-</v>
      </c>
      <c r="E27" s="56"/>
      <c r="F27" s="56"/>
      <c r="G27" s="4" t="str">
        <f>IF(OR(E27="",F27="",E27="-",F27="-"),"-",E27-F27)</f>
        <v>-</v>
      </c>
      <c r="H27" s="243">
        <v>0.01</v>
      </c>
      <c r="I27" s="58">
        <v>1.2E-2</v>
      </c>
      <c r="J27" s="4">
        <f>IF(OR(H27="",I27="",H27="-",I27="-"),"-",H27-I27)</f>
        <v>-2E-3</v>
      </c>
      <c r="K27" s="56"/>
      <c r="L27" s="56"/>
      <c r="M27" s="4" t="str">
        <f>IF(OR(K27="",L27="",K27="-",L27="-"),"-",K27-L27)</f>
        <v>-</v>
      </c>
      <c r="N27" s="243">
        <v>0.02</v>
      </c>
      <c r="O27" s="58">
        <v>2.9000000000000001E-2</v>
      </c>
      <c r="P27" s="4">
        <f>IF(OR(N27="",O27="",N27="-",O27="-"),"-",N27-O27)</f>
        <v>-9.0000000000000011E-3</v>
      </c>
      <c r="Q27" s="58">
        <v>2.9000000000000001E-2</v>
      </c>
      <c r="R27" s="58">
        <v>2.7E-2</v>
      </c>
      <c r="S27" s="4">
        <f>IF(OR(Q27="",R27="",Q27="-",R27="-"),"-",Q27-R27)</f>
        <v>2.0000000000000018E-3</v>
      </c>
      <c r="T27" s="58">
        <v>2.7E-2</v>
      </c>
      <c r="U27" s="58">
        <v>6.0000000000000001E-3</v>
      </c>
      <c r="V27" s="4">
        <f>IF(OR(T27="",U27="",T27="-",U27="-"),"-",T27-U27)</f>
        <v>2.0999999999999998E-2</v>
      </c>
      <c r="W27" s="58">
        <v>6.0000000000000001E-3</v>
      </c>
      <c r="X27" s="58">
        <v>8.9999999999999993E-3</v>
      </c>
      <c r="Y27" s="4">
        <f>IF(OR(W27="",X27="",W27="-",X27="-"),"-",W27-X27)</f>
        <v>-2.9999999999999992E-3</v>
      </c>
      <c r="Z27" s="58">
        <v>8.9999999999999993E-3</v>
      </c>
      <c r="AA27" s="58">
        <v>8.9999999999999993E-3</v>
      </c>
      <c r="AB27" s="4">
        <f>IF(OR(Z27="",AA27="",Z27="-",AA27="-"),"-",Z27-AA27)</f>
        <v>0</v>
      </c>
      <c r="AC27" s="58">
        <v>2.5000000000000001E-2</v>
      </c>
      <c r="AD27" s="58">
        <v>3.1E-2</v>
      </c>
      <c r="AE27" s="4">
        <f>IF(OR(AC27="",AD27="",AC27="-",AD27="-"),"-",AC27-AD27)</f>
        <v>-5.9999999999999984E-3</v>
      </c>
      <c r="AF27" s="58">
        <v>3.1E-2</v>
      </c>
      <c r="AG27" s="58">
        <v>-3.4000000000000002E-2</v>
      </c>
      <c r="AH27" s="4">
        <f>IF(OR(AF27="",AG27="",AF27="-",AG27="-"),"-",AF27-AG27)</f>
        <v>6.5000000000000002E-2</v>
      </c>
      <c r="AI27" s="58">
        <v>-3.4000000000000002E-2</v>
      </c>
      <c r="AJ27" s="58">
        <v>3.0000000000000001E-3</v>
      </c>
      <c r="AK27" s="4">
        <f>IF(OR(AI27="",AJ27="",AI27="-",AJ27="-"),"-",AI27-AJ27)</f>
        <v>-3.7000000000000005E-2</v>
      </c>
      <c r="AL27" s="59">
        <v>3.0000000000000001E-3</v>
      </c>
      <c r="AM27" s="58">
        <v>8.0000000000000002E-3</v>
      </c>
      <c r="AN27" s="4">
        <f>IF(OR(AL27="",AM27="",AL27="-",AM27="-"),"-",AL27-AM27)</f>
        <v>-5.0000000000000001E-3</v>
      </c>
      <c r="AO27" s="58">
        <v>8.0000000000000002E-3</v>
      </c>
      <c r="AP27" s="58">
        <v>3.0000000000000001E-3</v>
      </c>
      <c r="AQ27" s="4">
        <f>IF(OR(AO27="",AP27="",AO27="-",AP27="-"),"-",AO27-AP27)</f>
        <v>5.0000000000000001E-3</v>
      </c>
      <c r="AR27" s="58">
        <v>-5.0000000000000001E-3</v>
      </c>
      <c r="AS27" s="58">
        <v>4.0000000000000001E-3</v>
      </c>
      <c r="AT27" s="4">
        <f>IF(OR(AR27="",AS27="",AR27="-",AS27="-"),"-",AR27-AS27)</f>
        <v>-9.0000000000000011E-3</v>
      </c>
      <c r="AU27" s="57"/>
      <c r="AV27" s="56"/>
      <c r="AW27" s="4" t="str">
        <f>IF(OR(AU27="",AV27="",AU27="-",AV27="-"),"-",AU27-AV27)</f>
        <v>-</v>
      </c>
    </row>
    <row r="28" spans="1:49" x14ac:dyDescent="0.25">
      <c r="A28" s="55" t="s">
        <v>119</v>
      </c>
      <c r="B28" s="56"/>
      <c r="C28" s="56"/>
      <c r="D28" s="4" t="str">
        <f>IF(OR(B28="",C28="",B28="-",C28="-"),"-",B28-C28)</f>
        <v>-</v>
      </c>
      <c r="E28" s="56"/>
      <c r="F28" s="56"/>
      <c r="G28" s="4" t="str">
        <f>IF(OR(E28="",F28="",E28="-",F28="-"),"-",E28-F28)</f>
        <v>-</v>
      </c>
      <c r="H28" s="56"/>
      <c r="I28" s="56"/>
      <c r="J28" s="4" t="str">
        <f>IF(OR(H28="",I28="",H28="-",I28="-"),"-",H28-I28)</f>
        <v>-</v>
      </c>
      <c r="K28" s="56"/>
      <c r="L28" s="56"/>
      <c r="M28" s="4" t="str">
        <f>IF(OR(K28="",L28="",K28="-",L28="-"),"-",K28-L28)</f>
        <v>-</v>
      </c>
      <c r="N28" s="56"/>
      <c r="O28" s="56"/>
      <c r="P28" s="4" t="str">
        <f>IF(OR(N28="",O28="",N28="-",O28="-"),"-",N28-O28)</f>
        <v>-</v>
      </c>
      <c r="Q28" s="56"/>
      <c r="R28" s="56"/>
      <c r="S28" s="4" t="str">
        <f>IF(OR(Q28="",R28="",Q28="-",R28="-"),"-",Q28-R28)</f>
        <v>-</v>
      </c>
      <c r="T28" s="56"/>
      <c r="U28" s="56"/>
      <c r="V28" s="4" t="str">
        <f>IF(OR(T28="",U28="",T28="-",U28="-"),"-",T28-U28)</f>
        <v>-</v>
      </c>
      <c r="W28" s="56"/>
      <c r="X28" s="56"/>
      <c r="Y28" s="4" t="str">
        <f>IF(OR(W28="",X28="",W28="-",X28="-"),"-",W28-X28)</f>
        <v>-</v>
      </c>
      <c r="Z28" s="56"/>
      <c r="AA28" s="56"/>
      <c r="AB28" s="4" t="str">
        <f>IF(OR(Z28="",AA28="",Z28="-",AA28="-"),"-",Z28-AA28)</f>
        <v>-</v>
      </c>
      <c r="AC28" s="56"/>
      <c r="AD28" s="56"/>
      <c r="AE28" s="4" t="str">
        <f>IF(OR(AC28="",AD28="",AC28="-",AD28="-"),"-",AC28-AD28)</f>
        <v>-</v>
      </c>
      <c r="AF28" s="56"/>
      <c r="AG28" s="56"/>
      <c r="AH28" s="4" t="str">
        <f>IF(OR(AF28="",AG28="",AF28="-",AG28="-"),"-",AF28-AG28)</f>
        <v>-</v>
      </c>
      <c r="AI28" s="56"/>
      <c r="AJ28" s="56"/>
      <c r="AK28" s="4" t="str">
        <f>IF(OR(AI28="",AJ28="",AI28="-",AJ28="-"),"-",AI28-AJ28)</f>
        <v>-</v>
      </c>
      <c r="AL28" s="56"/>
      <c r="AM28" s="56"/>
      <c r="AN28" s="4" t="str">
        <f>IF(OR(AL28="",AM28="",AL28="-",AM28="-"),"-",AL28-AM28)</f>
        <v>-</v>
      </c>
      <c r="AO28" s="56"/>
      <c r="AP28" s="56"/>
      <c r="AQ28" s="4" t="str">
        <f>IF(OR(AO28="",AP28="",AO28="-",AP28="-"),"-",AO28-AP28)</f>
        <v>-</v>
      </c>
      <c r="AR28" s="56"/>
      <c r="AS28" s="56"/>
      <c r="AT28" s="4" t="str">
        <f>IF(OR(AR28="",AS28="",AR28="-",AS28="-"),"-",AR28-AS28)</f>
        <v>-</v>
      </c>
      <c r="AU28" s="57"/>
      <c r="AV28" s="56"/>
      <c r="AW28" s="4" t="str">
        <f>IF(OR(AU28="",AV28="",AU28="-",AV28="-"),"-",AU28-AV28)</f>
        <v>-</v>
      </c>
    </row>
    <row r="29" spans="1:49" x14ac:dyDescent="0.25">
      <c r="A29" s="38" t="s">
        <v>177</v>
      </c>
      <c r="B29" s="42"/>
      <c r="C29" s="42"/>
      <c r="D29" s="10" t="str">
        <f>IF(OR(B29="",C29="",B29="-",C29="-"),"-",B29-C29)</f>
        <v>-</v>
      </c>
      <c r="E29" s="42"/>
      <c r="F29" s="42"/>
      <c r="G29" s="10" t="str">
        <f>IF(OR(E29="",F29="",E29="-",F29="-"),"-",E29-F29)</f>
        <v>-</v>
      </c>
      <c r="H29" s="42">
        <v>-17</v>
      </c>
      <c r="I29" s="42">
        <v>-44</v>
      </c>
      <c r="J29" s="10">
        <f>IF(OR(H29="",I29="",H29="-",I29="-"),"-",H29-I29)</f>
        <v>27</v>
      </c>
      <c r="K29" s="42"/>
      <c r="L29" s="42"/>
      <c r="M29" s="10" t="str">
        <f>IF(OR(K29="",L29="",K29="-",L29="-"),"-",K29-L29)</f>
        <v>-</v>
      </c>
      <c r="N29" s="42">
        <v>-29</v>
      </c>
      <c r="O29" s="42">
        <v>-32</v>
      </c>
      <c r="P29" s="10">
        <f>IF(OR(N29="",O29="",N29="-",O29="-"),"-",N29-O29)</f>
        <v>3</v>
      </c>
      <c r="Q29" s="42">
        <v>-32</v>
      </c>
      <c r="R29" s="42">
        <v>-34</v>
      </c>
      <c r="S29" s="10">
        <f>IF(OR(Q29="",R29="",Q29="-",R29="-"),"-",Q29-R29)</f>
        <v>2</v>
      </c>
      <c r="T29" s="42">
        <v>-34</v>
      </c>
      <c r="U29" s="42">
        <v>-27</v>
      </c>
      <c r="V29" s="10">
        <f>IF(OR(T29="",U29="",T29="-",U29="-"),"-",T29-U29)</f>
        <v>-7</v>
      </c>
      <c r="W29" s="42">
        <v>-27</v>
      </c>
      <c r="X29" s="42">
        <v>-8</v>
      </c>
      <c r="Y29" s="10">
        <f>IF(OR(W29="",X29="",W29="-",X29="-"),"-",W29-X29)</f>
        <v>-19</v>
      </c>
      <c r="Z29" s="42">
        <v>-8</v>
      </c>
      <c r="AA29" s="42">
        <v>-41</v>
      </c>
      <c r="AB29" s="10">
        <f>IF(OR(Z29="",AA29="",Z29="-",AA29="-"),"-",Z29-AA29)</f>
        <v>33</v>
      </c>
      <c r="AC29" s="42">
        <v>-23</v>
      </c>
      <c r="AD29" s="42">
        <v>-24</v>
      </c>
      <c r="AE29" s="10">
        <f>IF(OR(AC29="",AD29="",AC29="-",AD29="-"),"-",AC29-AD29)</f>
        <v>1</v>
      </c>
      <c r="AF29" s="42">
        <v>-24</v>
      </c>
      <c r="AG29" s="42">
        <v>-15</v>
      </c>
      <c r="AH29" s="10">
        <f>IF(OR(AF29="",AG29="",AF29="-",AG29="-"),"-",AF29-AG29)</f>
        <v>-9</v>
      </c>
      <c r="AI29" s="42">
        <v>-18</v>
      </c>
      <c r="AJ29" s="42">
        <v>-6</v>
      </c>
      <c r="AK29" s="10">
        <f>IF(OR(AI29="",AJ29="",AI29="-",AJ29="-"),"-",AI29-AJ29)</f>
        <v>-12</v>
      </c>
      <c r="AL29" s="42">
        <v>-6</v>
      </c>
      <c r="AM29" s="42">
        <v>4</v>
      </c>
      <c r="AN29" s="10">
        <f>IF(OR(AL29="",AM29="",AL29="-",AM29="-"),"-",AL29-AM29)</f>
        <v>-10</v>
      </c>
      <c r="AO29" s="42">
        <v>-27</v>
      </c>
      <c r="AP29" s="42">
        <v>-43</v>
      </c>
      <c r="AQ29" s="10">
        <f>IF(OR(AO29="",AP29="",AO29="-",AP29="-"),"-",AO29-AP29)</f>
        <v>16</v>
      </c>
      <c r="AR29" s="42">
        <v>-43</v>
      </c>
      <c r="AS29" s="42">
        <v>-24</v>
      </c>
      <c r="AT29" s="10">
        <f>IF(OR(AR29="",AS29="",AR29="-",AS29="-"),"-",AR29-AS29)</f>
        <v>-19</v>
      </c>
      <c r="AU29" s="41"/>
      <c r="AV29" s="42"/>
      <c r="AW29" s="10" t="str">
        <f>IF(OR(AU29="",AV29="",AU29="-",AV29="-"),"-",AU29-AV29)</f>
        <v>-</v>
      </c>
    </row>
    <row r="30" spans="1:49" x14ac:dyDescent="0.25">
      <c r="A30" s="38" t="s">
        <v>178</v>
      </c>
      <c r="B30" s="42"/>
      <c r="C30" s="42"/>
      <c r="D30" s="10" t="str">
        <f>IF(OR(B30="",C30="",B30="-",C30="-"),"-",B30-C30)</f>
        <v>-</v>
      </c>
      <c r="E30" s="42"/>
      <c r="F30" s="42"/>
      <c r="G30" s="10" t="str">
        <f>IF(OR(E30="",F30="",E30="-",F30="-"),"-",E30-F30)</f>
        <v>-</v>
      </c>
      <c r="H30" s="42">
        <v>6.1</v>
      </c>
      <c r="I30" s="42">
        <v>5.9</v>
      </c>
      <c r="J30" s="10">
        <f>IF(OR(H30="",I30="",H30="-",I30="-"),"-",H30-I30)</f>
        <v>0.19999999999999929</v>
      </c>
      <c r="K30" s="42"/>
      <c r="L30" s="42"/>
      <c r="M30" s="10" t="str">
        <f>IF(OR(K30="",L30="",K30="-",L30="-"),"-",K30-L30)</f>
        <v>-</v>
      </c>
      <c r="N30" s="42">
        <v>6</v>
      </c>
      <c r="O30" s="42">
        <v>6.2</v>
      </c>
      <c r="P30" s="10">
        <f>IF(OR(N30="",O30="",N30="-",O30="-"),"-",N30-O30)</f>
        <v>-0.20000000000000018</v>
      </c>
      <c r="Q30" s="42">
        <v>6.14</v>
      </c>
      <c r="R30" s="42">
        <v>6.86</v>
      </c>
      <c r="S30" s="10">
        <f>IF(OR(Q30="",R30="",Q30="-",R30="-"),"-",Q30-R30)</f>
        <v>-0.72000000000000064</v>
      </c>
      <c r="T30" s="42">
        <v>6.8</v>
      </c>
      <c r="U30" s="42">
        <v>1.2</v>
      </c>
      <c r="V30" s="10">
        <f>IF(OR(T30="",U30="",T30="-",U30="-"),"-",T30-U30)</f>
        <v>5.6</v>
      </c>
      <c r="W30" s="42">
        <v>1.2</v>
      </c>
      <c r="X30" s="42">
        <v>13.8</v>
      </c>
      <c r="Y30" s="10">
        <f>IF(OR(W30="",X30="",W30="-",X30="-"),"-",W30-X30)</f>
        <v>-12.600000000000001</v>
      </c>
      <c r="Z30" s="42">
        <v>13.8</v>
      </c>
      <c r="AA30" s="42">
        <v>5.9</v>
      </c>
      <c r="AB30" s="10">
        <f>IF(OR(Z30="",AA30="",Z30="-",AA30="-"),"-",Z30-AA30)</f>
        <v>7.9</v>
      </c>
      <c r="AC30" s="42"/>
      <c r="AD30" s="42"/>
      <c r="AE30" s="10" t="str">
        <f>IF(OR(AC30="",AD30="",AC30="-",AD30="-"),"-",AC30-AD30)</f>
        <v>-</v>
      </c>
      <c r="AF30" s="42">
        <v>4.5999999999999996</v>
      </c>
      <c r="AG30" s="42">
        <v>3.5</v>
      </c>
      <c r="AH30" s="10">
        <f>IF(OR(AF30="",AG30="",AF30="-",AG30="-"),"-",AF30-AG30)</f>
        <v>1.0999999999999996</v>
      </c>
      <c r="AI30" s="42"/>
      <c r="AJ30" s="42"/>
      <c r="AK30" s="10" t="str">
        <f>IF(OR(AI30="",AJ30="",AI30="-",AJ30="-"),"-",AI30-AJ30)</f>
        <v>-</v>
      </c>
      <c r="AL30" s="42">
        <v>4.2</v>
      </c>
      <c r="AM30" s="42">
        <v>4</v>
      </c>
      <c r="AN30" s="10">
        <f>IF(OR(AL30="",AM30="",AL30="-",AM30="-"),"-",AL30-AM30)</f>
        <v>0.20000000000000018</v>
      </c>
      <c r="AO30" s="42">
        <v>4</v>
      </c>
      <c r="AP30" s="42">
        <v>3.5</v>
      </c>
      <c r="AQ30" s="10">
        <f>IF(OR(AO30="",AP30="",AO30="-",AP30="-"),"-",AO30-AP30)</f>
        <v>0.5</v>
      </c>
      <c r="AR30" s="42">
        <v>3.8</v>
      </c>
      <c r="AS30" s="42">
        <v>2.8</v>
      </c>
      <c r="AT30" s="10">
        <f>IF(OR(AR30="",AS30="",AR30="-",AS30="-"),"-",AR30-AS30)</f>
        <v>1</v>
      </c>
      <c r="AU30" s="41"/>
      <c r="AV30" s="42"/>
      <c r="AW30" s="10" t="str">
        <f>IF(OR(AU30="",AV30="",AU30="-",AV30="-"),"-",AU30-AV30)</f>
        <v>-</v>
      </c>
    </row>
    <row r="31" spans="1:49" x14ac:dyDescent="0.25">
      <c r="A31" s="38"/>
      <c r="B31" s="42"/>
      <c r="C31" s="42"/>
      <c r="D31" s="10" t="str">
        <f t="shared" ref="D24:D31" si="0">IF(ISBLANK(B31),"-",B31-C31)</f>
        <v>-</v>
      </c>
      <c r="E31" s="42"/>
      <c r="F31" s="42"/>
      <c r="G31" s="10" t="str">
        <f t="shared" ref="G24:G31" si="1">IF(ISBLANK(E31),"-",E31-F31)</f>
        <v>-</v>
      </c>
      <c r="H31" s="42"/>
      <c r="I31" s="42"/>
      <c r="J31" s="10" t="str">
        <f t="shared" ref="J24:J31" si="2">IF(ISBLANK(H31),"-",H31-I31)</f>
        <v>-</v>
      </c>
      <c r="K31" s="42"/>
      <c r="L31" s="42"/>
      <c r="M31" s="10" t="str">
        <f t="shared" ref="M24:M31" si="3">IF(ISBLANK(K31),"-",K31-L31)</f>
        <v>-</v>
      </c>
      <c r="N31" s="42"/>
      <c r="O31" s="42"/>
      <c r="P31" s="10" t="str">
        <f t="shared" ref="P24:P31" si="4">IF(ISBLANK(N31),"-",N31-O31)</f>
        <v>-</v>
      </c>
      <c r="Q31" s="42">
        <v>1.6220000000000001</v>
      </c>
      <c r="R31" s="42">
        <v>1.4710000000000001</v>
      </c>
      <c r="S31" s="10">
        <f t="shared" ref="S24:S31" si="5">IF(ISBLANK(Q31),"-",Q31-R31)</f>
        <v>0.15100000000000002</v>
      </c>
      <c r="T31" s="42"/>
      <c r="U31" s="42"/>
      <c r="V31" s="20"/>
      <c r="W31" s="42"/>
      <c r="X31" s="42"/>
      <c r="Y31" s="20"/>
      <c r="Z31" s="42"/>
      <c r="AA31" s="42"/>
      <c r="AB31" s="20"/>
      <c r="AC31" s="42"/>
      <c r="AD31" s="42"/>
      <c r="AE31" s="20"/>
      <c r="AF31" s="42"/>
      <c r="AG31" s="42"/>
      <c r="AH31" s="20"/>
      <c r="AI31" s="42"/>
      <c r="AJ31" s="42"/>
      <c r="AK31" s="20"/>
      <c r="AL31" s="42"/>
      <c r="AM31" s="42"/>
      <c r="AN31" s="20"/>
      <c r="AO31" s="42"/>
      <c r="AP31" s="42"/>
      <c r="AQ31" s="20"/>
      <c r="AR31" s="42"/>
      <c r="AS31" s="42"/>
      <c r="AT31" s="20"/>
      <c r="AU31" s="41"/>
      <c r="AV31" s="42"/>
      <c r="AW31" s="20"/>
    </row>
    <row r="32" spans="1:49" x14ac:dyDescent="0.25">
      <c r="A32" s="2" t="s">
        <v>50</v>
      </c>
      <c r="B32" s="316" t="str">
        <f>IF(AND(D33="-",D34="-",D35="-",D36="-",D37="-",D38="-",D39="-",D40="-",D41="-",D42="-",D43="-"), "",
    IF(SUM(IF(D33="-", 0, IF(D33&lt;0, -2, IF(D33&gt;0, 2, 0))),
             IF(D34="-", 0, IF(D34&lt;0, -2, IF(D34&gt;0, 2, 0))),
             IF(D35="-", 0, IF(D35&lt;0, -2, IF(D35&gt;0, 2, 0))),
             IF(D36="-", 0, IF(D36&lt;0, -2, IF(D36&gt;0, 2, 0))),
             IF(D37="-", 0, IF(D37&lt;0, -1, IF(D37&gt;0, 1, 0))),
             IF(D38="-", 0, IF(D38&lt;0, -1, IF(D38&gt;0, 1, 0))),
             IF(D39="-", 0, IF(D39&lt;0, -1, IF(D39&gt;0, 1, 0))),
             IF(D40="-", 0, IF(D40&lt;0, -1, IF(D40&gt;0, 1, 0))),
             IF(D41="-", 0, IF(D41&lt;0, -1, IF(D41&gt;0, 1, 0))),
             IF(D42="-", 0, IF(D42&lt;0, -1, IF(D42&gt;0, 1, 0))),
             IF(D43="-", 0, IF(D43&lt;0, -1, IF(D43&gt;0, 1, 0)))) / 12 &gt; 0.1, "BULLISH",
    IF(SUM(IF(D33="-", 0, IF(D33&lt;0, -2, IF(D33&gt;0, 2, 0))),
             IF(D34="-", 0, IF(D34&lt;0, -2, IF(D34&gt;0, 2, 0))),
             IF(D35="-", 0, IF(D35&lt;0, -2, IF(D35&gt;0, 2, 0))),
             IF(D36="-", 0, IF(D36&lt;0, -2, IF(D36&gt;0, 2, 0))),
             IF(D37="-", 0, IF(D37&lt;0, -1, IF(D37&gt;0, 1, 0))),
             IF(D38="-", 0, IF(D38&lt;0, -1, IF(D38&gt;0, 1, 0))),
             IF(D39="-", 0, IF(D39&lt;0, -1, IF(D39&gt;0, 1, 0))),
             IF(D40="-", 0, IF(D40&lt;0, -1, IF(D40&gt;0, 1, 0))),
             IF(D41="-", 0, IF(D41&lt;0, -1, IF(D41&gt;0, 1, 0))),
             IF(D42="-", 0, IF(D42&lt;0, -1, IF(D42&gt;0, 1, 0))),
             IF(D43="-", 0, IF(D43&lt;0, -1, IF(D43&gt;0, 1, 0)))) / 12 &lt; -0.1, "BEARISH",
    IF(SUM(IF(D33="-", 0, IF(D33&lt;0, -2, IF(D33&gt;0, 2, 0))),
             IF(D34="-", 0, IF(D34&lt;0, -2, IF(D34&gt;0, 2, 0))),
             IF(D35="-", 0, IF(D35&lt;0, -2, IF(D35&gt;0, 2, 0))),
             IF(D36="-", 0, IF(D36&lt;0, -2, IF(D36&gt;0, 2, 0))),
             IF(D37="-", 0, IF(D37&lt;0, -1, IF(D37&gt;0, 1, 0))),
             IF(D38="-", 0, IF(D38&lt;0, -1, IF(D38&gt;0, 1, 0))),
             IF(D39="-", 0, IF(D39&lt;0, -1, IF(D39&gt;0, 1, 0))),
             IF(D40="-", 0, IF(D40&lt;0, -1, IF(D40&gt;0, 1, 0))),
             IF(D41="-", 0, IF(D41&lt;0, -1, IF(D41&gt;0, 1, 0))),
             IF(D42="-", 0, IF(D42&lt;0, -1, IF(D42&gt;0, 1, 0))),
             IF(D43="-", 0, IF(D43&lt;0, -1, IF(D43&gt;0, 1, 0)))) / 12 &gt; -0.1, "NEUTRO",
    IF(SUM(IF(D33="-", 0, IF(D33&lt;0, -2, IF(D33&gt;0, 2, 0))),
             IF(D34="-", 0, IF(D34&lt;0, -2, IF(D34&gt;0, 2, 0))),
             IF(D35="-", 0, IF(D35&lt;0, -2, IF(D35&gt;0, 2, 0))),
             IF(D36="-", 0, IF(D36&lt;0, -2, IF(D36&gt;0, 2, 0))),
             IF(D37="-", 0, IF(D37&lt;0, -1, IF(D37&gt;0, 1, 0))),
             IF(D38="-", 0, IF(D38&lt;0, -1, IF(D38&gt;0, 1, 0))),
             IF(D39="-", 0, IF(D39&lt;0, -1, IF(D39&gt;0, 1, 0))),
             IF(D40="-", 0, IF(D40&lt;0, -1, IF(D40&gt;0, 1, 0))),
             IF(D41="-", 0, IF(D41&lt;0, -1, IF(D41&gt;0, 1, 0))),
             IF(D42="-", 0, IF(D42&lt;0, -1, IF(D42&gt;0, 1, 0))),
             IF(D43="-", 0, IF(D43&lt;0, -1, IF(D43&gt;0, 1, 0)))) / 12 &lt; 0.1, "NEUTRO",
    "")))))</f>
        <v/>
      </c>
      <c r="C32" s="317"/>
      <c r="D32" s="318"/>
      <c r="E32" s="316" t="str">
        <f>IF(AND(G33="-",G34="-",G35="-",G36="-",G37="-",G38="-",G39="-",G40="-",G41="-",G42="-",G43="-"), "",
    IF(SUM(IF(G33="-", 0, IF(G33&lt;0, -2, IF(G33&gt;0, 2, 0))),
             IF(G34="-", 0, IF(G34&lt;0, -2, IF(G34&gt;0, 2, 0))),
             IF(G35="-", 0, IF(G35&lt;0, -2, IF(G35&gt;0, 2, 0))),
             IF(G36="-", 0, IF(G36&lt;0, -2, IF(G36&gt;0, 2, 0))),
             IF(G37="-", 0, IF(G37&lt;0, -1, IF(G37&gt;0, 1, 0))),
             IF(G38="-", 0, IF(G38&lt;0, -1, IF(G38&gt;0, 1, 0))),
             IF(G39="-", 0, IF(G39&lt;0, -1, IF(G39&gt;0, 1, 0))),
             IF(G40="-", 0, IF(G40&lt;0, -1, IF(G40&gt;0, 1, 0))),
             IF(G41="-", 0, IF(G41&lt;0, -1, IF(G41&gt;0, 1, 0))),
             IF(G42="-", 0, IF(G42&lt;0, -1, IF(G42&gt;0, 1, 0))),
             IF(G43="-", 0, IF(G43&lt;0, -1, IF(G43&gt;0, 1, 0)))) / 12 &gt; 0.1, "BULLISH",
    IF(SUM(IF(G33="-", 0, IF(G33&lt;0, -2, IF(G33&gt;0, 2, 0))),
             IF(G34="-", 0, IF(G34&lt;0, -2, IF(G34&gt;0, 2, 0))),
             IF(G35="-", 0, IF(G35&lt;0, -2, IF(G35&gt;0, 2, 0))),
             IF(G36="-", 0, IF(G36&lt;0, -2, IF(G36&gt;0, 2, 0))),
             IF(G37="-", 0, IF(G37&lt;0, -1, IF(G37&gt;0, 1, 0))),
             IF(G38="-", 0, IF(G38&lt;0, -1, IF(G38&gt;0, 1, 0))),
             IF(G39="-", 0, IF(G39&lt;0, -1, IF(G39&gt;0, 1, 0))),
             IF(G40="-", 0, IF(G40&lt;0, -1, IF(G40&gt;0, 1, 0))),
             IF(G41="-", 0, IF(G41&lt;0, -1, IF(G41&gt;0, 1, 0))),
             IF(G42="-", 0, IF(G42&lt;0, -1, IF(G42&gt;0, 1, 0))),
             IF(G43="-", 0, IF(G43&lt;0, -1, IF(G43&gt;0, 1, 0)))) / 12 &lt; -0.1, "BEARISH",
    IF(SUM(IF(G33="-", 0, IF(G33&lt;0, -2, IF(G33&gt;0, 2, 0))),
             IF(G34="-", 0, IF(G34&lt;0, -2, IF(G34&gt;0, 2, 0))),
             IF(G35="-", 0, IF(G35&lt;0, -2, IF(G35&gt;0, 2, 0))),
             IF(G36="-", 0, IF(G36&lt;0, -2, IF(G36&gt;0, 2, 0))),
             IF(G37="-", 0, IF(G37&lt;0, -1, IF(G37&gt;0, 1, 0))),
             IF(G38="-", 0, IF(G38&lt;0, -1, IF(G38&gt;0, 1, 0))),
             IF(G39="-", 0, IF(G39&lt;0, -1, IF(G39&gt;0, 1, 0))),
             IF(G40="-", 0, IF(G40&lt;0, -1, IF(G40&gt;0, 1, 0))),
             IF(G41="-", 0, IF(G41&lt;0, -1, IF(G41&gt;0, 1, 0))),
             IF(G42="-", 0, IF(G42&lt;0, -1, IF(G42&gt;0, 1, 0))),
             IF(G43="-", 0, IF(G43&lt;0, -1, IF(G43&gt;0, 1, 0)))) / 12 &gt; -0.1, "NEUTRO",
    IF(SUM(IF(G33="-", 0, IF(G33&lt;0, -2, IF(G33&gt;0, 2, 0))),
             IF(G34="-", 0, IF(G34&lt;0, -2, IF(G34&gt;0, 2, 0))),
             IF(G35="-", 0, IF(G35&lt;0, -2, IF(G35&gt;0, 2, 0))),
             IF(G36="-", 0, IF(G36&lt;0, -2, IF(G36&gt;0, 2, 0))),
             IF(G37="-", 0, IF(G37&lt;0, -1, IF(G37&gt;0, 1, 0))),
             IF(G38="-", 0, IF(G38&lt;0, -1, IF(G38&gt;0, 1, 0))),
             IF(G39="-", 0, IF(G39&lt;0, -1, IF(G39&gt;0, 1, 0))),
             IF(G40="-", 0, IF(G40&lt;0, -1, IF(G40&gt;0, 1, 0))),
             IF(G41="-", 0, IF(G41&lt;0, -1, IF(G41&gt;0, 1, 0))),
             IF(G42="-", 0, IF(G42&lt;0, -1, IF(G42&gt;0, 1, 0))),
             IF(G43="-", 0, IF(G43&lt;0, -1, IF(G43&gt;0, 1, 0)))) / 12 &lt; 0.1, "NEUTRO",
    "")))))</f>
        <v/>
      </c>
      <c r="F32" s="317"/>
      <c r="G32" s="318"/>
      <c r="H32" s="316" t="str">
        <f>IF(AND(J33="-",J34="-",J35="-",J36="-",J37="-",J38="-",J39="-",J40="-",J41="-",J42="-",J43="-"), "",
    IF(SUM(IF(J33="-", 0, IF(J33&lt;0, -2, IF(J33&gt;0, 2, 0))),
             IF(J34="-", 0, IF(J34&lt;0, -2, IF(J34&gt;0, 2, 0))),
             IF(J35="-", 0, IF(J35&lt;0, -2, IF(J35&gt;0, 2, 0))),
             IF(J36="-", 0, IF(J36&lt;0, -2, IF(J36&gt;0, 2, 0))),
             IF(J37="-", 0, IF(J37&lt;0, -1, IF(J37&gt;0, 1, 0))),
             IF(J38="-", 0, IF(J38&lt;0, -1, IF(J38&gt;0, 1, 0))),
             IF(J39="-", 0, IF(J39&lt;0, -1, IF(J39&gt;0, 1, 0))),
             IF(J40="-", 0, IF(J40&lt;0, -1, IF(J40&gt;0, 1, 0))),
             IF(J41="-", 0, IF(J41&lt;0, -1, IF(J41&gt;0, 1, 0))),
             IF(J42="-", 0, IF(J42&lt;0, -1, IF(J42&gt;0, 1, 0))),
             IF(J43="-", 0, IF(J43&lt;0, -1, IF(J43&gt;0, 1, 0)))) / 12 &gt; 0.1, "BULLISH",
    IF(SUM(IF(J33="-", 0, IF(J33&lt;0, -2, IF(J33&gt;0, 2, 0))),
             IF(J34="-", 0, IF(J34&lt;0, -2, IF(J34&gt;0, 2, 0))),
             IF(J35="-", 0, IF(J35&lt;0, -2, IF(J35&gt;0, 2, 0))),
             IF(J36="-", 0, IF(J36&lt;0, -2, IF(J36&gt;0, 2, 0))),
             IF(J37="-", 0, IF(J37&lt;0, -1, IF(J37&gt;0, 1, 0))),
             IF(J38="-", 0, IF(J38&lt;0, -1, IF(J38&gt;0, 1, 0))),
             IF(J39="-", 0, IF(J39&lt;0, -1, IF(J39&gt;0, 1, 0))),
             IF(J40="-", 0, IF(J40&lt;0, -1, IF(J40&gt;0, 1, 0))),
             IF(J41="-", 0, IF(J41&lt;0, -1, IF(J41&gt;0, 1, 0))),
             IF(J42="-", 0, IF(J42&lt;0, -1, IF(J42&gt;0, 1, 0))),
             IF(J43="-", 0, IF(J43&lt;0, -1, IF(J43&gt;0, 1, 0)))) / 12 &lt; -0.1, "BEARISH",
    IF(SUM(IF(J33="-", 0, IF(J33&lt;0, -2, IF(J33&gt;0, 2, 0))),
             IF(J34="-", 0, IF(J34&lt;0, -2, IF(J34&gt;0, 2, 0))),
             IF(J35="-", 0, IF(J35&lt;0, -2, IF(J35&gt;0, 2, 0))),
             IF(J36="-", 0, IF(J36&lt;0, -2, IF(J36&gt;0, 2, 0))),
             IF(J37="-", 0, IF(J37&lt;0, -1, IF(J37&gt;0, 1, 0))),
             IF(J38="-", 0, IF(J38&lt;0, -1, IF(J38&gt;0, 1, 0))),
             IF(J39="-", 0, IF(J39&lt;0, -1, IF(J39&gt;0, 1, 0))),
             IF(J40="-", 0, IF(J40&lt;0, -1, IF(J40&gt;0, 1, 0))),
             IF(J41="-", 0, IF(J41&lt;0, -1, IF(J41&gt;0, 1, 0))),
             IF(J42="-", 0, IF(J42&lt;0, -1, IF(J42&gt;0, 1, 0))),
             IF(J43="-", 0, IF(J43&lt;0, -1, IF(J43&gt;0, 1, 0)))) / 12 &gt; -0.1, "NEUTRO",
    IF(SUM(IF(J33="-", 0, IF(J33&lt;0, -2, IF(J33&gt;0, 2, 0))),
             IF(J34="-", 0, IF(J34&lt;0, -2, IF(J34&gt;0, 2, 0))),
             IF(J35="-", 0, IF(J35&lt;0, -2, IF(J35&gt;0, 2, 0))),
             IF(J36="-", 0, IF(J36&lt;0, -2, IF(J36&gt;0, 2, 0))),
             IF(J37="-", 0, IF(J37&lt;0, -1, IF(J37&gt;0, 1, 0))),
             IF(J38="-", 0, IF(J38&lt;0, -1, IF(J38&gt;0, 1, 0))),
             IF(J39="-", 0, IF(J39&lt;0, -1, IF(J39&gt;0, 1, 0))),
             IF(J40="-", 0, IF(J40&lt;0, -1, IF(J40&gt;0, 1, 0))),
             IF(J41="-", 0, IF(J41&lt;0, -1, IF(J41&gt;0, 1, 0))),
             IF(J42="-", 0, IF(J42&lt;0, -1, IF(J42&gt;0, 1, 0))),
             IF(J43="-", 0, IF(J43&lt;0, -1, IF(J43&gt;0, 1, 0)))) / 12 &lt; 0.1, "NEUTRO",
    "")))))</f>
        <v>BULLISH</v>
      </c>
      <c r="I32" s="317"/>
      <c r="J32" s="318"/>
      <c r="K32" s="316" t="str">
        <f>IF(AND(M33="-",M34="-",M35="-",M36="-",M37="-",M38="-",M39="-",M40="-",M41="-",M42="-",M43="-"), "",
    IF(SUM(IF(M33="-", 0, IF(M33&lt;0, -2, IF(M33&gt;0, 2, 0))),
             IF(M34="-", 0, IF(M34&lt;0, -2, IF(M34&gt;0, 2, 0))),
             IF(M35="-", 0, IF(M35&lt;0, -2, IF(M35&gt;0, 2, 0))),
             IF(M36="-", 0, IF(M36&lt;0, -2, IF(M36&gt;0, 2, 0))),
             IF(M37="-", 0, IF(M37&lt;0, -1, IF(M37&gt;0, 1, 0))),
             IF(M38="-", 0, IF(M38&lt;0, -1, IF(M38&gt;0, 1, 0))),
             IF(M39="-", 0, IF(M39&lt;0, -1, IF(M39&gt;0, 1, 0))),
             IF(M40="-", 0, IF(M40&lt;0, -1, IF(M40&gt;0, 1, 0))),
             IF(M41="-", 0, IF(M41&lt;0, -1, IF(M41&gt;0, 1, 0))),
             IF(M42="-", 0, IF(M42&lt;0, -1, IF(M42&gt;0, 1, 0))),
             IF(M43="-", 0, IF(M43&lt;0, -1, IF(M43&gt;0, 1, 0)))) / 12 &gt; 0.1, "BULLISH",
    IF(SUM(IF(M33="-", 0, IF(M33&lt;0, -2, IF(M33&gt;0, 2, 0))),
             IF(M34="-", 0, IF(M34&lt;0, -2, IF(M34&gt;0, 2, 0))),
             IF(M35="-", 0, IF(M35&lt;0, -2, IF(M35&gt;0, 2, 0))),
             IF(M36="-", 0, IF(M36&lt;0, -2, IF(M36&gt;0, 2, 0))),
             IF(M37="-", 0, IF(M37&lt;0, -1, IF(M37&gt;0, 1, 0))),
             IF(M38="-", 0, IF(M38&lt;0, -1, IF(M38&gt;0, 1, 0))),
             IF(M39="-", 0, IF(M39&lt;0, -1, IF(M39&gt;0, 1, 0))),
             IF(M40="-", 0, IF(M40&lt;0, -1, IF(M40&gt;0, 1, 0))),
             IF(M41="-", 0, IF(M41&lt;0, -1, IF(M41&gt;0, 1, 0))),
             IF(M42="-", 0, IF(M42&lt;0, -1, IF(M42&gt;0, 1, 0))),
             IF(M43="-", 0, IF(M43&lt;0, -1, IF(M43&gt;0, 1, 0)))) / 12 &lt; -0.1, "BEARISH",
    IF(SUM(IF(M33="-", 0, IF(M33&lt;0, -2, IF(M33&gt;0, 2, 0))),
             IF(M34="-", 0, IF(M34&lt;0, -2, IF(M34&gt;0, 2, 0))),
             IF(M35="-", 0, IF(M35&lt;0, -2, IF(M35&gt;0, 2, 0))),
             IF(M36="-", 0, IF(M36&lt;0, -2, IF(M36&gt;0, 2, 0))),
             IF(M37="-", 0, IF(M37&lt;0, -1, IF(M37&gt;0, 1, 0))),
             IF(M38="-", 0, IF(M38&lt;0, -1, IF(M38&gt;0, 1, 0))),
             IF(M39="-", 0, IF(M39&lt;0, -1, IF(M39&gt;0, 1, 0))),
             IF(M40="-", 0, IF(M40&lt;0, -1, IF(M40&gt;0, 1, 0))),
             IF(M41="-", 0, IF(M41&lt;0, -1, IF(M41&gt;0, 1, 0))),
             IF(M42="-", 0, IF(M42&lt;0, -1, IF(M42&gt;0, 1, 0))),
             IF(M43="-", 0, IF(M43&lt;0, -1, IF(M43&gt;0, 1, 0)))) / 12 &gt; -0.1, "NEUTRO",
    IF(SUM(IF(M33="-", 0, IF(M33&lt;0, -2, IF(M33&gt;0, 2, 0))),
             IF(M34="-", 0, IF(M34&lt;0, -2, IF(M34&gt;0, 2, 0))),
             IF(M35="-", 0, IF(M35&lt;0, -2, IF(M35&gt;0, 2, 0))),
             IF(M36="-", 0, IF(M36&lt;0, -2, IF(M36&gt;0, 2, 0))),
             IF(M37="-", 0, IF(M37&lt;0, -1, IF(M37&gt;0, 1, 0))),
             IF(M38="-", 0, IF(M38&lt;0, -1, IF(M38&gt;0, 1, 0))),
             IF(M39="-", 0, IF(M39&lt;0, -1, IF(M39&gt;0, 1, 0))),
             IF(M40="-", 0, IF(M40&lt;0, -1, IF(M40&gt;0, 1, 0))),
             IF(M41="-", 0, IF(M41&lt;0, -1, IF(M41&gt;0, 1, 0))),
             IF(M42="-", 0, IF(M42&lt;0, -1, IF(M42&gt;0, 1, 0))),
             IF(M43="-", 0, IF(M43&lt;0, -1, IF(M43&gt;0, 1, 0)))) / 12 &lt; 0.1, "NEUTRO",
    "")))))</f>
        <v/>
      </c>
      <c r="L32" s="317"/>
      <c r="M32" s="318"/>
      <c r="N32" s="316" t="str">
        <f>IF(AND(P33="-",P34="-",P35="-",P36="-",P37="-",P38="-",P39="-",P40="-",P41="-",P42="-",P43="-"), "",
    IF(SUM(IF(P33="-", 0, IF(P33&lt;0, -2, IF(P33&gt;0, 2, 0))),
             IF(P34="-", 0, IF(P34&lt;0, -2, IF(P34&gt;0, 2, 0))),
             IF(P35="-", 0, IF(P35&lt;0, -2, IF(P35&gt;0, 2, 0))),
             IF(P36="-", 0, IF(P36&lt;0, -2, IF(P36&gt;0, 2, 0))),
             IF(P37="-", 0, IF(P37&lt;0, -1, IF(P37&gt;0, 1, 0))),
             IF(P38="-", 0, IF(P38&lt;0, -1, IF(P38&gt;0, 1, 0))),
             IF(P39="-", 0, IF(P39&lt;0, -1, IF(P39&gt;0, 1, 0))),
             IF(P40="-", 0, IF(P40&lt;0, -1, IF(P40&gt;0, 1, 0))),
             IF(P41="-", 0, IF(P41&lt;0, -1, IF(P41&gt;0, 1, 0))),
             IF(P42="-", 0, IF(P42&lt;0, -1, IF(P42&gt;0, 1, 0))),
             IF(P43="-", 0, IF(P43&lt;0, -1, IF(P43&gt;0, 1, 0)))) / 12 &gt; 0.1, "BULLISH",
    IF(SUM(IF(P33="-", 0, IF(P33&lt;0, -2, IF(P33&gt;0, 2, 0))),
             IF(P34="-", 0, IF(P34&lt;0, -2, IF(P34&gt;0, 2, 0))),
             IF(P35="-", 0, IF(P35&lt;0, -2, IF(P35&gt;0, 2, 0))),
             IF(P36="-", 0, IF(P36&lt;0, -2, IF(P36&gt;0, 2, 0))),
             IF(P37="-", 0, IF(P37&lt;0, -1, IF(P37&gt;0, 1, 0))),
             IF(P38="-", 0, IF(P38&lt;0, -1, IF(P38&gt;0, 1, 0))),
             IF(P39="-", 0, IF(P39&lt;0, -1, IF(P39&gt;0, 1, 0))),
             IF(P40="-", 0, IF(P40&lt;0, -1, IF(P40&gt;0, 1, 0))),
             IF(P41="-", 0, IF(P41&lt;0, -1, IF(P41&gt;0, 1, 0))),
             IF(P42="-", 0, IF(P42&lt;0, -1, IF(P42&gt;0, 1, 0))),
             IF(P43="-", 0, IF(P43&lt;0, -1, IF(P43&gt;0, 1, 0)))) / 12 &lt; -0.1, "BEARISH",
    IF(SUM(IF(P33="-", 0, IF(P33&lt;0, -2, IF(P33&gt;0, 2, 0))),
             IF(P34="-", 0, IF(P34&lt;0, -2, IF(P34&gt;0, 2, 0))),
             IF(P35="-", 0, IF(P35&lt;0, -2, IF(P35&gt;0, 2, 0))),
             IF(P36="-", 0, IF(P36&lt;0, -2, IF(P36&gt;0, 2, 0))),
             IF(P37="-", 0, IF(P37&lt;0, -1, IF(P37&gt;0, 1, 0))),
             IF(P38="-", 0, IF(P38&lt;0, -1, IF(P38&gt;0, 1, 0))),
             IF(P39="-", 0, IF(P39&lt;0, -1, IF(P39&gt;0, 1, 0))),
             IF(P40="-", 0, IF(P40&lt;0, -1, IF(P40&gt;0, 1, 0))),
             IF(P41="-", 0, IF(P41&lt;0, -1, IF(P41&gt;0, 1, 0))),
             IF(P42="-", 0, IF(P42&lt;0, -1, IF(P42&gt;0, 1, 0))),
             IF(P43="-", 0, IF(P43&lt;0, -1, IF(P43&gt;0, 1, 0)))) / 12 &gt; -0.1, "NEUTRO",
    IF(SUM(IF(P33="-", 0, IF(P33&lt;0, -2, IF(P33&gt;0, 2, 0))),
             IF(P34="-", 0, IF(P34&lt;0, -2, IF(P34&gt;0, 2, 0))),
             IF(P35="-", 0, IF(P35&lt;0, -2, IF(P35&gt;0, 2, 0))),
             IF(P36="-", 0, IF(P36&lt;0, -2, IF(P36&gt;0, 2, 0))),
             IF(P37="-", 0, IF(P37&lt;0, -1, IF(P37&gt;0, 1, 0))),
             IF(P38="-", 0, IF(P38&lt;0, -1, IF(P38&gt;0, 1, 0))),
             IF(P39="-", 0, IF(P39&lt;0, -1, IF(P39&gt;0, 1, 0))),
             IF(P40="-", 0, IF(P40&lt;0, -1, IF(P40&gt;0, 1, 0))),
             IF(P41="-", 0, IF(P41&lt;0, -1, IF(P41&gt;0, 1, 0))),
             IF(P42="-", 0, IF(P42&lt;0, -1, IF(P42&gt;0, 1, 0))),
             IF(P43="-", 0, IF(P43&lt;0, -1, IF(P43&gt;0, 1, 0)))) / 12 &lt; 0.1, "NEUTRO",
    "")))))</f>
        <v>NEUTRO</v>
      </c>
      <c r="O32" s="317"/>
      <c r="P32" s="318"/>
      <c r="Q32" s="316" t="str">
        <f>IF(AND(S33="-",S34="-",S35="-",S36="-",S37="-",S38="-",S39="-",S40="-",S41="-",S42="-",S43="-"), "",
    IF(SUM(IF(S33="-", 0, IF(S33&lt;0, -2, IF(S33&gt;0, 2, 0))),
             IF(S34="-", 0, IF(S34&lt;0, -2, IF(S34&gt;0, 2, 0))),
             IF(S35="-", 0, IF(S35&lt;0, -2, IF(S35&gt;0, 2, 0))),
             IF(S36="-", 0, IF(S36&lt;0, -2, IF(S36&gt;0, 2, 0))),
             IF(S37="-", 0, IF(S37&lt;0, -1, IF(S37&gt;0, 1, 0))),
             IF(S38="-", 0, IF(S38&lt;0, -1, IF(S38&gt;0, 1, 0))),
             IF(S39="-", 0, IF(S39&lt;0, -1, IF(S39&gt;0, 1, 0))),
             IF(S40="-", 0, IF(S40&lt;0, -1, IF(S40&gt;0, 1, 0))),
             IF(S41="-", 0, IF(S41&lt;0, -1, IF(S41&gt;0, 1, 0))),
             IF(S42="-", 0, IF(S42&lt;0, -1, IF(S42&gt;0, 1, 0))),
             IF(S43="-", 0, IF(S43&lt;0, -1, IF(S43&gt;0, 1, 0)))) / 12 &gt; 0.1, "BULLISH",
    IF(SUM(IF(S33="-", 0, IF(S33&lt;0, -2, IF(S33&gt;0, 2, 0))),
             IF(S34="-", 0, IF(S34&lt;0, -2, IF(S34&gt;0, 2, 0))),
             IF(S35="-", 0, IF(S35&lt;0, -2, IF(S35&gt;0, 2, 0))),
             IF(S36="-", 0, IF(S36&lt;0, -2, IF(S36&gt;0, 2, 0))),
             IF(S37="-", 0, IF(S37&lt;0, -1, IF(S37&gt;0, 1, 0))),
             IF(S38="-", 0, IF(S38&lt;0, -1, IF(S38&gt;0, 1, 0))),
             IF(S39="-", 0, IF(S39&lt;0, -1, IF(S39&gt;0, 1, 0))),
             IF(S40="-", 0, IF(S40&lt;0, -1, IF(S40&gt;0, 1, 0))),
             IF(S41="-", 0, IF(S41&lt;0, -1, IF(S41&gt;0, 1, 0))),
             IF(S42="-", 0, IF(S42&lt;0, -1, IF(S42&gt;0, 1, 0))),
             IF(S43="-", 0, IF(S43&lt;0, -1, IF(S43&gt;0, 1, 0)))) / 12 &lt; -0.1, "BEARISH",
    IF(SUM(IF(S33="-", 0, IF(S33&lt;0, -2, IF(S33&gt;0, 2, 0))),
             IF(S34="-", 0, IF(S34&lt;0, -2, IF(S34&gt;0, 2, 0))),
             IF(S35="-", 0, IF(S35&lt;0, -2, IF(S35&gt;0, 2, 0))),
             IF(S36="-", 0, IF(S36&lt;0, -2, IF(S36&gt;0, 2, 0))),
             IF(S37="-", 0, IF(S37&lt;0, -1, IF(S37&gt;0, 1, 0))),
             IF(S38="-", 0, IF(S38&lt;0, -1, IF(S38&gt;0, 1, 0))),
             IF(S39="-", 0, IF(S39&lt;0, -1, IF(S39&gt;0, 1, 0))),
             IF(S40="-", 0, IF(S40&lt;0, -1, IF(S40&gt;0, 1, 0))),
             IF(S41="-", 0, IF(S41&lt;0, -1, IF(S41&gt;0, 1, 0))),
             IF(S42="-", 0, IF(S42&lt;0, -1, IF(S42&gt;0, 1, 0))),
             IF(S43="-", 0, IF(S43&lt;0, -1, IF(S43&gt;0, 1, 0)))) / 12 &gt; -0.1, "NEUTRO",
    IF(SUM(IF(S33="-", 0, IF(S33&lt;0, -2, IF(S33&gt;0, 2, 0))),
             IF(S34="-", 0, IF(S34&lt;0, -2, IF(S34&gt;0, 2, 0))),
             IF(S35="-", 0, IF(S35&lt;0, -2, IF(S35&gt;0, 2, 0))),
             IF(S36="-", 0, IF(S36&lt;0, -2, IF(S36&gt;0, 2, 0))),
             IF(S37="-", 0, IF(S37&lt;0, -1, IF(S37&gt;0, 1, 0))),
             IF(S38="-", 0, IF(S38&lt;0, -1, IF(S38&gt;0, 1, 0))),
             IF(S39="-", 0, IF(S39&lt;0, -1, IF(S39&gt;0, 1, 0))),
             IF(S40="-", 0, IF(S40&lt;0, -1, IF(S40&gt;0, 1, 0))),
             IF(S41="-", 0, IF(S41&lt;0, -1, IF(S41&gt;0, 1, 0))),
             IF(S42="-", 0, IF(S42&lt;0, -1, IF(S42&gt;0, 1, 0))),
             IF(S43="-", 0, IF(S43&lt;0, -1, IF(S43&gt;0, 1, 0)))) / 12 &lt; 0.1, "NEUTRO",
    "")))))</f>
        <v>BEARISH</v>
      </c>
      <c r="R32" s="317"/>
      <c r="S32" s="318"/>
      <c r="T32" s="316" t="str">
        <f>IF(AND(V33="-",V34="-",V35="-",V36="-",V37="-",V38="-",V39="-",V40="-",V41="-",V42="-",V43="-"), "",
    IF(SUM(IF(V33="-", 0, IF(V33&lt;0, -2, IF(V33&gt;0, 2, 0))),
             IF(V34="-", 0, IF(V34&lt;0, -2, IF(V34&gt;0, 2, 0))),
             IF(V35="-", 0, IF(V35&lt;0, -2, IF(V35&gt;0, 2, 0))),
             IF(V36="-", 0, IF(V36&lt;0, -2, IF(V36&gt;0, 2, 0))),
             IF(V37="-", 0, IF(V37&lt;0, -1, IF(V37&gt;0, 1, 0))),
             IF(V38="-", 0, IF(V38&lt;0, -1, IF(V38&gt;0, 1, 0))),
             IF(V39="-", 0, IF(V39&lt;0, -1, IF(V39&gt;0, 1, 0))),
             IF(V40="-", 0, IF(V40&lt;0, -1, IF(V40&gt;0, 1, 0))),
             IF(V41="-", 0, IF(V41&lt;0, -1, IF(V41&gt;0, 1, 0))),
             IF(V42="-", 0, IF(V42&lt;0, -1, IF(V42&gt;0, 1, 0))),
             IF(V43="-", 0, IF(V43&lt;0, -1, IF(V43&gt;0, 1, 0)))) / 12 &gt; 0.1, "BULLISH",
    IF(SUM(IF(V33="-", 0, IF(V33&lt;0, -2, IF(V33&gt;0, 2, 0))),
             IF(V34="-", 0, IF(V34&lt;0, -2, IF(V34&gt;0, 2, 0))),
             IF(V35="-", 0, IF(V35&lt;0, -2, IF(V35&gt;0, 2, 0))),
             IF(V36="-", 0, IF(V36&lt;0, -2, IF(V36&gt;0, 2, 0))),
             IF(V37="-", 0, IF(V37&lt;0, -1, IF(V37&gt;0, 1, 0))),
             IF(V38="-", 0, IF(V38&lt;0, -1, IF(V38&gt;0, 1, 0))),
             IF(V39="-", 0, IF(V39&lt;0, -1, IF(V39&gt;0, 1, 0))),
             IF(V40="-", 0, IF(V40&lt;0, -1, IF(V40&gt;0, 1, 0))),
             IF(V41="-", 0, IF(V41&lt;0, -1, IF(V41&gt;0, 1, 0))),
             IF(V42="-", 0, IF(V42&lt;0, -1, IF(V42&gt;0, 1, 0))),
             IF(V43="-", 0, IF(V43&lt;0, -1, IF(V43&gt;0, 1, 0)))) / 12 &lt; -0.1, "BEARISH",
    IF(SUM(IF(V33="-", 0, IF(V33&lt;0, -2, IF(V33&gt;0, 2, 0))),
             IF(V34="-", 0, IF(V34&lt;0, -2, IF(V34&gt;0, 2, 0))),
             IF(V35="-", 0, IF(V35&lt;0, -2, IF(V35&gt;0, 2, 0))),
             IF(V36="-", 0, IF(V36&lt;0, -2, IF(V36&gt;0, 2, 0))),
             IF(V37="-", 0, IF(V37&lt;0, -1, IF(V37&gt;0, 1, 0))),
             IF(V38="-", 0, IF(V38&lt;0, -1, IF(V38&gt;0, 1, 0))),
             IF(V39="-", 0, IF(V39&lt;0, -1, IF(V39&gt;0, 1, 0))),
             IF(V40="-", 0, IF(V40&lt;0, -1, IF(V40&gt;0, 1, 0))),
             IF(V41="-", 0, IF(V41&lt;0, -1, IF(V41&gt;0, 1, 0))),
             IF(V42="-", 0, IF(V42&lt;0, -1, IF(V42&gt;0, 1, 0))),
             IF(V43="-", 0, IF(V43&lt;0, -1, IF(V43&gt;0, 1, 0)))) / 12 &gt; -0.1, "NEUTRO",
    IF(SUM(IF(V33="-", 0, IF(V33&lt;0, -2, IF(V33&gt;0, 2, 0))),
             IF(V34="-", 0, IF(V34&lt;0, -2, IF(V34&gt;0, 2, 0))),
             IF(V35="-", 0, IF(V35&lt;0, -2, IF(V35&gt;0, 2, 0))),
             IF(V36="-", 0, IF(V36&lt;0, -2, IF(V36&gt;0, 2, 0))),
             IF(V37="-", 0, IF(V37&lt;0, -1, IF(V37&gt;0, 1, 0))),
             IF(V38="-", 0, IF(V38&lt;0, -1, IF(V38&gt;0, 1, 0))),
             IF(V39="-", 0, IF(V39&lt;0, -1, IF(V39&gt;0, 1, 0))),
             IF(V40="-", 0, IF(V40&lt;0, -1, IF(V40&gt;0, 1, 0))),
             IF(V41="-", 0, IF(V41&lt;0, -1, IF(V41&gt;0, 1, 0))),
             IF(V42="-", 0, IF(V42&lt;0, -1, IF(V42&gt;0, 1, 0))),
             IF(V43="-", 0, IF(V43&lt;0, -1, IF(V43&gt;0, 1, 0)))) / 12 &lt; 0.1, "NEUTRO",
    "")))))</f>
        <v>NEUTRO</v>
      </c>
      <c r="U32" s="317"/>
      <c r="V32" s="318"/>
      <c r="W32" s="316" t="str">
        <f>IF(AND(Y33="-",Y34="-",Y35="-",Y36="-",Y37="-",Y38="-",Y39="-",Y40="-",Y41="-",Y42="-",Y43="-"), "",
    IF(SUM(IF(Y33="-", 0, IF(Y33&lt;0, -2, IF(Y33&gt;0, 2, 0))),
             IF(Y34="-", 0, IF(Y34&lt;0, -2, IF(Y34&gt;0, 2, 0))),
             IF(Y35="-", 0, IF(Y35&lt;0, -2, IF(Y35&gt;0, 2, 0))),
             IF(Y36="-", 0, IF(Y36&lt;0, -2, IF(Y36&gt;0, 2, 0))),
             IF(Y37="-", 0, IF(Y37&lt;0, -1, IF(Y37&gt;0, 1, 0))),
             IF(Y38="-", 0, IF(Y38&lt;0, -1, IF(Y38&gt;0, 1, 0))),
             IF(Y39="-", 0, IF(Y39&lt;0, -1, IF(Y39&gt;0, 1, 0))),
             IF(Y40="-", 0, IF(Y40&lt;0, -1, IF(Y40&gt;0, 1, 0))),
             IF(Y41="-", 0, IF(Y41&lt;0, -1, IF(Y41&gt;0, 1, 0))),
             IF(Y42="-", 0, IF(Y42&lt;0, -1, IF(Y42&gt;0, 1, 0))),
             IF(Y43="-", 0, IF(Y43&lt;0, -1, IF(Y43&gt;0, 1, 0)))) / 12 &gt; 0.1, "BULLISH",
    IF(SUM(IF(Y33="-", 0, IF(Y33&lt;0, -2, IF(Y33&gt;0, 2, 0))),
             IF(Y34="-", 0, IF(Y34&lt;0, -2, IF(Y34&gt;0, 2, 0))),
             IF(Y35="-", 0, IF(Y35&lt;0, -2, IF(Y35&gt;0, 2, 0))),
             IF(Y36="-", 0, IF(Y36&lt;0, -2, IF(Y36&gt;0, 2, 0))),
             IF(Y37="-", 0, IF(Y37&lt;0, -1, IF(Y37&gt;0, 1, 0))),
             IF(Y38="-", 0, IF(Y38&lt;0, -1, IF(Y38&gt;0, 1, 0))),
             IF(Y39="-", 0, IF(Y39&lt;0, -1, IF(Y39&gt;0, 1, 0))),
             IF(Y40="-", 0, IF(Y40&lt;0, -1, IF(Y40&gt;0, 1, 0))),
             IF(Y41="-", 0, IF(Y41&lt;0, -1, IF(Y41&gt;0, 1, 0))),
             IF(Y42="-", 0, IF(Y42&lt;0, -1, IF(Y42&gt;0, 1, 0))),
             IF(Y43="-", 0, IF(Y43&lt;0, -1, IF(Y43&gt;0, 1, 0)))) / 12 &lt; -0.1, "BEARISH",
    IF(SUM(IF(Y33="-", 0, IF(Y33&lt;0, -2, IF(Y33&gt;0, 2, 0))),
             IF(Y34="-", 0, IF(Y34&lt;0, -2, IF(Y34&gt;0, 2, 0))),
             IF(Y35="-", 0, IF(Y35&lt;0, -2, IF(Y35&gt;0, 2, 0))),
             IF(Y36="-", 0, IF(Y36&lt;0, -2, IF(Y36&gt;0, 2, 0))),
             IF(Y37="-", 0, IF(Y37&lt;0, -1, IF(Y37&gt;0, 1, 0))),
             IF(Y38="-", 0, IF(Y38&lt;0, -1, IF(Y38&gt;0, 1, 0))),
             IF(Y39="-", 0, IF(Y39&lt;0, -1, IF(Y39&gt;0, 1, 0))),
             IF(Y40="-", 0, IF(Y40&lt;0, -1, IF(Y40&gt;0, 1, 0))),
             IF(Y41="-", 0, IF(Y41&lt;0, -1, IF(Y41&gt;0, 1, 0))),
             IF(Y42="-", 0, IF(Y42&lt;0, -1, IF(Y42&gt;0, 1, 0))),
             IF(Y43="-", 0, IF(Y43&lt;0, -1, IF(Y43&gt;0, 1, 0)))) / 12 &gt; -0.1, "NEUTRO",
    IF(SUM(IF(Y33="-", 0, IF(Y33&lt;0, -2, IF(Y33&gt;0, 2, 0))),
             IF(Y34="-", 0, IF(Y34&lt;0, -2, IF(Y34&gt;0, 2, 0))),
             IF(Y35="-", 0, IF(Y35&lt;0, -2, IF(Y35&gt;0, 2, 0))),
             IF(Y36="-", 0, IF(Y36&lt;0, -2, IF(Y36&gt;0, 2, 0))),
             IF(Y37="-", 0, IF(Y37&lt;0, -1, IF(Y37&gt;0, 1, 0))),
             IF(Y38="-", 0, IF(Y38&lt;0, -1, IF(Y38&gt;0, 1, 0))),
             IF(Y39="-", 0, IF(Y39&lt;0, -1, IF(Y39&gt;0, 1, 0))),
             IF(Y40="-", 0, IF(Y40&lt;0, -1, IF(Y40&gt;0, 1, 0))),
             IF(Y41="-", 0, IF(Y41&lt;0, -1, IF(Y41&gt;0, 1, 0))),
             IF(Y42="-", 0, IF(Y42&lt;0, -1, IF(Y42&gt;0, 1, 0))),
             IF(Y43="-", 0, IF(Y43&lt;0, -1, IF(Y43&gt;0, 1, 0)))) / 12 &lt; 0.1, "NEUTRO",
    "")))))</f>
        <v>NEUTRO</v>
      </c>
      <c r="X32" s="317"/>
      <c r="Y32" s="318"/>
      <c r="Z32" s="316" t="str">
        <f>IF(AND(AB33="-",AB34="-",AB35="-",AB36="-",AB37="-",AB38="-",AB39="-",AB40="-",AB41="-",AB42="-",AB43="-"), "",
    IF(SUM(IF(AB33="-", 0, IF(AB33&lt;0, -2, IF(AB33&gt;0, 2, 0))),
             IF(AB34="-", 0, IF(AB34&lt;0, -2, IF(AB34&gt;0, 2, 0))),
             IF(AB35="-", 0, IF(AB35&lt;0, -2, IF(AB35&gt;0, 2, 0))),
             IF(AB36="-", 0, IF(AB36&lt;0, -2, IF(AB36&gt;0, 2, 0))),
             IF(AB37="-", 0, IF(AB37&lt;0, -1, IF(AB37&gt;0, 1, 0))),
             IF(AB38="-", 0, IF(AB38&lt;0, -1, IF(AB38&gt;0, 1, 0))),
             IF(AB39="-", 0, IF(AB39&lt;0, -1, IF(AB39&gt;0, 1, 0))),
             IF(AB40="-", 0, IF(AB40&lt;0, -1, IF(AB40&gt;0, 1, 0))),
             IF(AB41="-", 0, IF(AB41&lt;0, -1, IF(AB41&gt;0, 1, 0))),
             IF(AB42="-", 0, IF(AB42&lt;0, -1, IF(AB42&gt;0, 1, 0))),
             IF(AB43="-", 0, IF(AB43&lt;0, -1, IF(AB43&gt;0, 1, 0)))) / 12 &gt; 0.1, "BULLISH",
    IF(SUM(IF(AB33="-", 0, IF(AB33&lt;0, -2, IF(AB33&gt;0, 2, 0))),
             IF(AB34="-", 0, IF(AB34&lt;0, -2, IF(AB34&gt;0, 2, 0))),
             IF(AB35="-", 0, IF(AB35&lt;0, -2, IF(AB35&gt;0, 2, 0))),
             IF(AB36="-", 0, IF(AB36&lt;0, -2, IF(AB36&gt;0, 2, 0))),
             IF(AB37="-", 0, IF(AB37&lt;0, -1, IF(AB37&gt;0, 1, 0))),
             IF(AB38="-", 0, IF(AB38&lt;0, -1, IF(AB38&gt;0, 1, 0))),
             IF(AB39="-", 0, IF(AB39&lt;0, -1, IF(AB39&gt;0, 1, 0))),
             IF(AB40="-", 0, IF(AB40&lt;0, -1, IF(AB40&gt;0, 1, 0))),
             IF(AB41="-", 0, IF(AB41&lt;0, -1, IF(AB41&gt;0, 1, 0))),
             IF(AB42="-", 0, IF(AB42&lt;0, -1, IF(AB42&gt;0, 1, 0))),
             IF(AB43="-", 0, IF(AB43&lt;0, -1, IF(AB43&gt;0, 1, 0)))) / 12 &lt; -0.1, "BEARISH",
    IF(SUM(IF(AB33="-", 0, IF(AB33&lt;0, -2, IF(AB33&gt;0, 2, 0))),
             IF(AB34="-", 0, IF(AB34&lt;0, -2, IF(AB34&gt;0, 2, 0))),
             IF(AB35="-", 0, IF(AB35&lt;0, -2, IF(AB35&gt;0, 2, 0))),
             IF(AB36="-", 0, IF(AB36&lt;0, -2, IF(AB36&gt;0, 2, 0))),
             IF(AB37="-", 0, IF(AB37&lt;0, -1, IF(AB37&gt;0, 1, 0))),
             IF(AB38="-", 0, IF(AB38&lt;0, -1, IF(AB38&gt;0, 1, 0))),
             IF(AB39="-", 0, IF(AB39&lt;0, -1, IF(AB39&gt;0, 1, 0))),
             IF(AB40="-", 0, IF(AB40&lt;0, -1, IF(AB40&gt;0, 1, 0))),
             IF(AB41="-", 0, IF(AB41&lt;0, -1, IF(AB41&gt;0, 1, 0))),
             IF(AB42="-", 0, IF(AB42&lt;0, -1, IF(AB42&gt;0, 1, 0))),
             IF(AB43="-", 0, IF(AB43&lt;0, -1, IF(AB43&gt;0, 1, 0)))) / 12 &gt; -0.1, "NEUTRO",
    IF(SUM(IF(AB33="-", 0, IF(AB33&lt;0, -2, IF(AB33&gt;0, 2, 0))),
             IF(AB34="-", 0, IF(AB34&lt;0, -2, IF(AB34&gt;0, 2, 0))),
             IF(AB35="-", 0, IF(AB35&lt;0, -2, IF(AB35&gt;0, 2, 0))),
             IF(AB36="-", 0, IF(AB36&lt;0, -2, IF(AB36&gt;0, 2, 0))),
             IF(AB37="-", 0, IF(AB37&lt;0, -1, IF(AB37&gt;0, 1, 0))),
             IF(AB38="-", 0, IF(AB38&lt;0, -1, IF(AB38&gt;0, 1, 0))),
             IF(AB39="-", 0, IF(AB39&lt;0, -1, IF(AB39&gt;0, 1, 0))),
             IF(AB40="-", 0, IF(AB40&lt;0, -1, IF(AB40&gt;0, 1, 0))),
             IF(AB41="-", 0, IF(AB41&lt;0, -1, IF(AB41&gt;0, 1, 0))),
             IF(AB42="-", 0, IF(AB42&lt;0, -1, IF(AB42&gt;0, 1, 0))),
             IF(AB43="-", 0, IF(AB43&lt;0, -1, IF(AB43&gt;0, 1, 0)))) / 12 &lt; 0.1, "NEUTRO",
    "")))))</f>
        <v>BULLISH</v>
      </c>
      <c r="AA32" s="317"/>
      <c r="AB32" s="318"/>
      <c r="AC32" s="316" t="str">
        <f>IF(AND(AE33="-",AE34="-",AE35="-",AE36="-",AE37="-",AE38="-",AE39="-",AE40="-",AE41="-",AE42="-",AE43="-"), "",
    IF(SUM(IF(AE33="-", 0, IF(AE33&lt;0, -2, IF(AE33&gt;0, 2, 0))),
             IF(AE34="-", 0, IF(AE34&lt;0, -2, IF(AE34&gt;0, 2, 0))),
             IF(AE35="-", 0, IF(AE35&lt;0, -2, IF(AE35&gt;0, 2, 0))),
             IF(AE36="-", 0, IF(AE36&lt;0, -2, IF(AE36&gt;0, 2, 0))),
             IF(AE37="-", 0, IF(AE37&lt;0, -1, IF(AE37&gt;0, 1, 0))),
             IF(AE38="-", 0, IF(AE38&lt;0, -1, IF(AE38&gt;0, 1, 0))),
             IF(AE39="-", 0, IF(AE39&lt;0, -1, IF(AE39&gt;0, 1, 0))),
             IF(AE40="-", 0, IF(AE40&lt;0, -1, IF(AE40&gt;0, 1, 0))),
             IF(AE41="-", 0, IF(AE41&lt;0, -1, IF(AE41&gt;0, 1, 0))),
             IF(AE42="-", 0, IF(AE42&lt;0, -1, IF(AE42&gt;0, 1, 0))),
             IF(AE43="-", 0, IF(AE43&lt;0, -1, IF(AE43&gt;0, 1, 0)))) / 12 &gt; 0.1, "BULLISH",
    IF(SUM(IF(AE33="-", 0, IF(AE33&lt;0, -2, IF(AE33&gt;0, 2, 0))),
             IF(AE34="-", 0, IF(AE34&lt;0, -2, IF(AE34&gt;0, 2, 0))),
             IF(AE35="-", 0, IF(AE35&lt;0, -2, IF(AE35&gt;0, 2, 0))),
             IF(AE36="-", 0, IF(AE36&lt;0, -2, IF(AE36&gt;0, 2, 0))),
             IF(AE37="-", 0, IF(AE37&lt;0, -1, IF(AE37&gt;0, 1, 0))),
             IF(AE38="-", 0, IF(AE38&lt;0, -1, IF(AE38&gt;0, 1, 0))),
             IF(AE39="-", 0, IF(AE39&lt;0, -1, IF(AE39&gt;0, 1, 0))),
             IF(AE40="-", 0, IF(AE40&lt;0, -1, IF(AE40&gt;0, 1, 0))),
             IF(AE41="-", 0, IF(AE41&lt;0, -1, IF(AE41&gt;0, 1, 0))),
             IF(AE42="-", 0, IF(AE42&lt;0, -1, IF(AE42&gt;0, 1, 0))),
             IF(AE43="-", 0, IF(AE43&lt;0, -1, IF(AE43&gt;0, 1, 0)))) / 12 &lt; -0.1, "BEARISH",
    IF(SUM(IF(AE33="-", 0, IF(AE33&lt;0, -2, IF(AE33&gt;0, 2, 0))),
             IF(AE34="-", 0, IF(AE34&lt;0, -2, IF(AE34&gt;0, 2, 0))),
             IF(AE35="-", 0, IF(AE35&lt;0, -2, IF(AE35&gt;0, 2, 0))),
             IF(AE36="-", 0, IF(AE36&lt;0, -2, IF(AE36&gt;0, 2, 0))),
             IF(AE37="-", 0, IF(AE37&lt;0, -1, IF(AE37&gt;0, 1, 0))),
             IF(AE38="-", 0, IF(AE38&lt;0, -1, IF(AE38&gt;0, 1, 0))),
             IF(AE39="-", 0, IF(AE39&lt;0, -1, IF(AE39&gt;0, 1, 0))),
             IF(AE40="-", 0, IF(AE40&lt;0, -1, IF(AE40&gt;0, 1, 0))),
             IF(AE41="-", 0, IF(AE41&lt;0, -1, IF(AE41&gt;0, 1, 0))),
             IF(AE42="-", 0, IF(AE42&lt;0, -1, IF(AE42&gt;0, 1, 0))),
             IF(AE43="-", 0, IF(AE43&lt;0, -1, IF(AE43&gt;0, 1, 0)))) / 12 &gt; -0.1, "NEUTRO",
    IF(SUM(IF(AE33="-", 0, IF(AE33&lt;0, -2, IF(AE33&gt;0, 2, 0))),
             IF(AE34="-", 0, IF(AE34&lt;0, -2, IF(AE34&gt;0, 2, 0))),
             IF(AE35="-", 0, IF(AE35&lt;0, -2, IF(AE35&gt;0, 2, 0))),
             IF(AE36="-", 0, IF(AE36&lt;0, -2, IF(AE36&gt;0, 2, 0))),
             IF(AE37="-", 0, IF(AE37&lt;0, -1, IF(AE37&gt;0, 1, 0))),
             IF(AE38="-", 0, IF(AE38&lt;0, -1, IF(AE38&gt;0, 1, 0))),
             IF(AE39="-", 0, IF(AE39&lt;0, -1, IF(AE39&gt;0, 1, 0))),
             IF(AE40="-", 0, IF(AE40&lt;0, -1, IF(AE40&gt;0, 1, 0))),
             IF(AE41="-", 0, IF(AE41&lt;0, -1, IF(AE41&gt;0, 1, 0))),
             IF(AE42="-", 0, IF(AE42&lt;0, -1, IF(AE42&gt;0, 1, 0))),
             IF(AE43="-", 0, IF(AE43&lt;0, -1, IF(AE43&gt;0, 1, 0)))) / 12 &lt; 0.1, "NEUTRO",
    "")))))</f>
        <v>BULLISH</v>
      </c>
      <c r="AD32" s="317"/>
      <c r="AE32" s="318"/>
      <c r="AF32" s="316" t="str">
        <f>IF(AND(AH33="-",AH34="-",AH35="-",AH36="-",AH37="-",AH38="-",AH39="-",AH40="-",AH41="-",AH42="-",AH43="-"), "",
    IF(SUM(IF(AH33="-", 0, IF(AH33&lt;0, -2, IF(AH33&gt;0, 2, 0))),
             IF(AH34="-", 0, IF(AH34&lt;0, -2, IF(AH34&gt;0, 2, 0))),
             IF(AH35="-", 0, IF(AH35&lt;0, -2, IF(AH35&gt;0, 2, 0))),
             IF(AH36="-", 0, IF(AH36&lt;0, -2, IF(AH36&gt;0, 2, 0))),
             IF(AH37="-", 0, IF(AH37&lt;0, -1, IF(AH37&gt;0, 1, 0))),
             IF(AH38="-", 0, IF(AH38&lt;0, -1, IF(AH38&gt;0, 1, 0))),
             IF(AH39="-", 0, IF(AH39&lt;0, -1, IF(AH39&gt;0, 1, 0))),
             IF(AH40="-", 0, IF(AH40&lt;0, -1, IF(AH40&gt;0, 1, 0))),
             IF(AH41="-", 0, IF(AH41&lt;0, -1, IF(AH41&gt;0, 1, 0))),
             IF(AH42="-", 0, IF(AH42&lt;0, -1, IF(AH42&gt;0, 1, 0))),
             IF(AH43="-", 0, IF(AH43&lt;0, -1, IF(AH43&gt;0, 1, 0)))) / 12 &gt; 0.1, "BULLISH",
    IF(SUM(IF(AH33="-", 0, IF(AH33&lt;0, -2, IF(AH33&gt;0, 2, 0))),
             IF(AH34="-", 0, IF(AH34&lt;0, -2, IF(AH34&gt;0, 2, 0))),
             IF(AH35="-", 0, IF(AH35&lt;0, -2, IF(AH35&gt;0, 2, 0))),
             IF(AH36="-", 0, IF(AH36&lt;0, -2, IF(AH36&gt;0, 2, 0))),
             IF(AH37="-", 0, IF(AH37&lt;0, -1, IF(AH37&gt;0, 1, 0))),
             IF(AH38="-", 0, IF(AH38&lt;0, -1, IF(AH38&gt;0, 1, 0))),
             IF(AH39="-", 0, IF(AH39&lt;0, -1, IF(AH39&gt;0, 1, 0))),
             IF(AH40="-", 0, IF(AH40&lt;0, -1, IF(AH40&gt;0, 1, 0))),
             IF(AH41="-", 0, IF(AH41&lt;0, -1, IF(AH41&gt;0, 1, 0))),
             IF(AH42="-", 0, IF(AH42&lt;0, -1, IF(AH42&gt;0, 1, 0))),
             IF(AH43="-", 0, IF(AH43&lt;0, -1, IF(AH43&gt;0, 1, 0)))) / 12 &lt; -0.1, "BEARISH",
    IF(SUM(IF(AH33="-", 0, IF(AH33&lt;0, -2, IF(AH33&gt;0, 2, 0))),
             IF(AH34="-", 0, IF(AH34&lt;0, -2, IF(AH34&gt;0, 2, 0))),
             IF(AH35="-", 0, IF(AH35&lt;0, -2, IF(AH35&gt;0, 2, 0))),
             IF(AH36="-", 0, IF(AH36&lt;0, -2, IF(AH36&gt;0, 2, 0))),
             IF(AH37="-", 0, IF(AH37&lt;0, -1, IF(AH37&gt;0, 1, 0))),
             IF(AH38="-", 0, IF(AH38&lt;0, -1, IF(AH38&gt;0, 1, 0))),
             IF(AH39="-", 0, IF(AH39&lt;0, -1, IF(AH39&gt;0, 1, 0))),
             IF(AH40="-", 0, IF(AH40&lt;0, -1, IF(AH40&gt;0, 1, 0))),
             IF(AH41="-", 0, IF(AH41&lt;0, -1, IF(AH41&gt;0, 1, 0))),
             IF(AH42="-", 0, IF(AH42&lt;0, -1, IF(AH42&gt;0, 1, 0))),
             IF(AH43="-", 0, IF(AH43&lt;0, -1, IF(AH43&gt;0, 1, 0)))) / 12 &gt; -0.1, "NEUTRO",
    IF(SUM(IF(AH33="-", 0, IF(AH33&lt;0, -2, IF(AH33&gt;0, 2, 0))),
             IF(AH34="-", 0, IF(AH34&lt;0, -2, IF(AH34&gt;0, 2, 0))),
             IF(AH35="-", 0, IF(AH35&lt;0, -2, IF(AH35&gt;0, 2, 0))),
             IF(AH36="-", 0, IF(AH36&lt;0, -2, IF(AH36&gt;0, 2, 0))),
             IF(AH37="-", 0, IF(AH37&lt;0, -1, IF(AH37&gt;0, 1, 0))),
             IF(AH38="-", 0, IF(AH38&lt;0, -1, IF(AH38&gt;0, 1, 0))),
             IF(AH39="-", 0, IF(AH39&lt;0, -1, IF(AH39&gt;0, 1, 0))),
             IF(AH40="-", 0, IF(AH40&lt;0, -1, IF(AH40&gt;0, 1, 0))),
             IF(AH41="-", 0, IF(AH41&lt;0, -1, IF(AH41&gt;0, 1, 0))),
             IF(AH42="-", 0, IF(AH42&lt;0, -1, IF(AH42&gt;0, 1, 0))),
             IF(AH43="-", 0, IF(AH43&lt;0, -1, IF(AH43&gt;0, 1, 0)))) / 12 &lt; 0.1, "NEUTRO",
    "")))))</f>
        <v>BULLISH</v>
      </c>
      <c r="AG32" s="317"/>
      <c r="AH32" s="318"/>
      <c r="AI32" s="316" t="str">
        <f>IF(AND(AK33="-",AK34="-",AK35="-",AK36="-",AK37="-",AK38="-",AK39="-",AK40="-",AK41="-",AK42="-",AK43="-"), "",
    IF(SUM(IF(AK33="-", 0, IF(AK33&lt;0, -2, IF(AK33&gt;0, 2, 0))),
             IF(AK34="-", 0, IF(AK34&lt;0, -2, IF(AK34&gt;0, 2, 0))),
             IF(AK35="-", 0, IF(AK35&lt;0, -2, IF(AK35&gt;0, 2, 0))),
             IF(AK36="-", 0, IF(AK36&lt;0, -2, IF(AK36&gt;0, 2, 0))),
             IF(AK37="-", 0, IF(AK37&lt;0, -1, IF(AK37&gt;0, 1, 0))),
             IF(AK38="-", 0, IF(AK38&lt;0, -1, IF(AK38&gt;0, 1, 0))),
             IF(AK39="-", 0, IF(AK39&lt;0, -1, IF(AK39&gt;0, 1, 0))),
             IF(AK40="-", 0, IF(AK40&lt;0, -1, IF(AK40&gt;0, 1, 0))),
             IF(AK41="-", 0, IF(AK41&lt;0, -1, IF(AK41&gt;0, 1, 0))),
             IF(AK42="-", 0, IF(AK42&lt;0, -1, IF(AK42&gt;0, 1, 0))),
             IF(AK43="-", 0, IF(AK43&lt;0, -1, IF(AK43&gt;0, 1, 0)))) / 12 &gt; 0.1, "BULLISH",
    IF(SUM(IF(AK33="-", 0, IF(AK33&lt;0, -2, IF(AK33&gt;0, 2, 0))),
             IF(AK34="-", 0, IF(AK34&lt;0, -2, IF(AK34&gt;0, 2, 0))),
             IF(AK35="-", 0, IF(AK35&lt;0, -2, IF(AK35&gt;0, 2, 0))),
             IF(AK36="-", 0, IF(AK36&lt;0, -2, IF(AK36&gt;0, 2, 0))),
             IF(AK37="-", 0, IF(AK37&lt;0, -1, IF(AK37&gt;0, 1, 0))),
             IF(AK38="-", 0, IF(AK38&lt;0, -1, IF(AK38&gt;0, 1, 0))),
             IF(AK39="-", 0, IF(AK39&lt;0, -1, IF(AK39&gt;0, 1, 0))),
             IF(AK40="-", 0, IF(AK40&lt;0, -1, IF(AK40&gt;0, 1, 0))),
             IF(AK41="-", 0, IF(AK41&lt;0, -1, IF(AK41&gt;0, 1, 0))),
             IF(AK42="-", 0, IF(AK42&lt;0, -1, IF(AK42&gt;0, 1, 0))),
             IF(AK43="-", 0, IF(AK43&lt;0, -1, IF(AK43&gt;0, 1, 0)))) / 12 &lt; -0.1, "BEARISH",
    IF(SUM(IF(AK33="-", 0, IF(AK33&lt;0, -2, IF(AK33&gt;0, 2, 0))),
             IF(AK34="-", 0, IF(AK34&lt;0, -2, IF(AK34&gt;0, 2, 0))),
             IF(AK35="-", 0, IF(AK35&lt;0, -2, IF(AK35&gt;0, 2, 0))),
             IF(AK36="-", 0, IF(AK36&lt;0, -2, IF(AK36&gt;0, 2, 0))),
             IF(AK37="-", 0, IF(AK37&lt;0, -1, IF(AK37&gt;0, 1, 0))),
             IF(AK38="-", 0, IF(AK38&lt;0, -1, IF(AK38&gt;0, 1, 0))),
             IF(AK39="-", 0, IF(AK39&lt;0, -1, IF(AK39&gt;0, 1, 0))),
             IF(AK40="-", 0, IF(AK40&lt;0, -1, IF(AK40&gt;0, 1, 0))),
             IF(AK41="-", 0, IF(AK41&lt;0, -1, IF(AK41&gt;0, 1, 0))),
             IF(AK42="-", 0, IF(AK42&lt;0, -1, IF(AK42&gt;0, 1, 0))),
             IF(AK43="-", 0, IF(AK43&lt;0, -1, IF(AK43&gt;0, 1, 0)))) / 12 &gt; -0.1, "NEUTRO",
    IF(SUM(IF(AK33="-", 0, IF(AK33&lt;0, -2, IF(AK33&gt;0, 2, 0))),
             IF(AK34="-", 0, IF(AK34&lt;0, -2, IF(AK34&gt;0, 2, 0))),
             IF(AK35="-", 0, IF(AK35&lt;0, -2, IF(AK35&gt;0, 2, 0))),
             IF(AK36="-", 0, IF(AK36&lt;0, -2, IF(AK36&gt;0, 2, 0))),
             IF(AK37="-", 0, IF(AK37&lt;0, -1, IF(AK37&gt;0, 1, 0))),
             IF(AK38="-", 0, IF(AK38&lt;0, -1, IF(AK38&gt;0, 1, 0))),
             IF(AK39="-", 0, IF(AK39&lt;0, -1, IF(AK39&gt;0, 1, 0))),
             IF(AK40="-", 0, IF(AK40&lt;0, -1, IF(AK40&gt;0, 1, 0))),
             IF(AK41="-", 0, IF(AK41&lt;0, -1, IF(AK41&gt;0, 1, 0))),
             IF(AK42="-", 0, IF(AK42&lt;0, -1, IF(AK42&gt;0, 1, 0))),
             IF(AK43="-", 0, IF(AK43&lt;0, -1, IF(AK43&gt;0, 1, 0)))) / 12 &lt; 0.1, "NEUTRO",
    "")))))</f>
        <v>BEARISH</v>
      </c>
      <c r="AJ32" s="317"/>
      <c r="AK32" s="318"/>
      <c r="AL32" s="316" t="str">
        <f>IF(AND(AN33="-",AN34="-",AN35="-",AN36="-",AN37="-",AN38="-",AN39="-",AN40="-",AN41="-",AN42="-",AN43="-"), "",
    IF(SUM(IF(AN33="-", 0, IF(AN33&lt;0, -2, IF(AN33&gt;0, 2, 0))),
             IF(AN34="-", 0, IF(AN34&lt;0, -2, IF(AN34&gt;0, 2, 0))),
             IF(AN35="-", 0, IF(AN35&lt;0, -2, IF(AN35&gt;0, 2, 0))),
             IF(AN36="-", 0, IF(AN36&lt;0, -2, IF(AN36&gt;0, 2, 0))),
             IF(AN37="-", 0, IF(AN37&lt;0, -1, IF(AN37&gt;0, 1, 0))),
             IF(AN38="-", 0, IF(AN38&lt;0, -1, IF(AN38&gt;0, 1, 0))),
             IF(AN39="-", 0, IF(AN39&lt;0, -1, IF(AN39&gt;0, 1, 0))),
             IF(AN40="-", 0, IF(AN40&lt;0, -1, IF(AN40&gt;0, 1, 0))),
             IF(AN41="-", 0, IF(AN41&lt;0, -1, IF(AN41&gt;0, 1, 0))),
             IF(AN42="-", 0, IF(AN42&lt;0, -1, IF(AN42&gt;0, 1, 0))),
             IF(AN43="-", 0, IF(AN43&lt;0, -1, IF(AN43&gt;0, 1, 0)))) / 12 &gt; 0.1, "BULLISH",
    IF(SUM(IF(AN33="-", 0, IF(AN33&lt;0, -2, IF(AN33&gt;0, 2, 0))),
             IF(AN34="-", 0, IF(AN34&lt;0, -2, IF(AN34&gt;0, 2, 0))),
             IF(AN35="-", 0, IF(AN35&lt;0, -2, IF(AN35&gt;0, 2, 0))),
             IF(AN36="-", 0, IF(AN36&lt;0, -2, IF(AN36&gt;0, 2, 0))),
             IF(AN37="-", 0, IF(AN37&lt;0, -1, IF(AN37&gt;0, 1, 0))),
             IF(AN38="-", 0, IF(AN38&lt;0, -1, IF(AN38&gt;0, 1, 0))),
             IF(AN39="-", 0, IF(AN39&lt;0, -1, IF(AN39&gt;0, 1, 0))),
             IF(AN40="-", 0, IF(AN40&lt;0, -1, IF(AN40&gt;0, 1, 0))),
             IF(AN41="-", 0, IF(AN41&lt;0, -1, IF(AN41&gt;0, 1, 0))),
             IF(AN42="-", 0, IF(AN42&lt;0, -1, IF(AN42&gt;0, 1, 0))),
             IF(AN43="-", 0, IF(AN43&lt;0, -1, IF(AN43&gt;0, 1, 0)))) / 12 &lt; -0.1, "BEARISH",
    IF(SUM(IF(AN33="-", 0, IF(AN33&lt;0, -2, IF(AN33&gt;0, 2, 0))),
             IF(AN34="-", 0, IF(AN34&lt;0, -2, IF(AN34&gt;0, 2, 0))),
             IF(AN35="-", 0, IF(AN35&lt;0, -2, IF(AN35&gt;0, 2, 0))),
             IF(AN36="-", 0, IF(AN36&lt;0, -2, IF(AN36&gt;0, 2, 0))),
             IF(AN37="-", 0, IF(AN37&lt;0, -1, IF(AN37&gt;0, 1, 0))),
             IF(AN38="-", 0, IF(AN38&lt;0, -1, IF(AN38&gt;0, 1, 0))),
             IF(AN39="-", 0, IF(AN39&lt;0, -1, IF(AN39&gt;0, 1, 0))),
             IF(AN40="-", 0, IF(AN40&lt;0, -1, IF(AN40&gt;0, 1, 0))),
             IF(AN41="-", 0, IF(AN41&lt;0, -1, IF(AN41&gt;0, 1, 0))),
             IF(AN42="-", 0, IF(AN42&lt;0, -1, IF(AN42&gt;0, 1, 0))),
             IF(AN43="-", 0, IF(AN43&lt;0, -1, IF(AN43&gt;0, 1, 0)))) / 12 &gt; -0.1, "NEUTRO",
    IF(SUM(IF(AN33="-", 0, IF(AN33&lt;0, -2, IF(AN33&gt;0, 2, 0))),
             IF(AN34="-", 0, IF(AN34&lt;0, -2, IF(AN34&gt;0, 2, 0))),
             IF(AN35="-", 0, IF(AN35&lt;0, -2, IF(AN35&gt;0, 2, 0))),
             IF(AN36="-", 0, IF(AN36&lt;0, -2, IF(AN36&gt;0, 2, 0))),
             IF(AN37="-", 0, IF(AN37&lt;0, -1, IF(AN37&gt;0, 1, 0))),
             IF(AN38="-", 0, IF(AN38&lt;0, -1, IF(AN38&gt;0, 1, 0))),
             IF(AN39="-", 0, IF(AN39&lt;0, -1, IF(AN39&gt;0, 1, 0))),
             IF(AN40="-", 0, IF(AN40&lt;0, -1, IF(AN40&gt;0, 1, 0))),
             IF(AN41="-", 0, IF(AN41&lt;0, -1, IF(AN41&gt;0, 1, 0))),
             IF(AN42="-", 0, IF(AN42&lt;0, -1, IF(AN42&gt;0, 1, 0))),
             IF(AN43="-", 0, IF(AN43&lt;0, -1, IF(AN43&gt;0, 1, 0)))) / 12 &lt; 0.1, "NEUTRO",
    "")))))</f>
        <v>BEARISH</v>
      </c>
      <c r="AM32" s="317"/>
      <c r="AN32" s="318"/>
      <c r="AO32" s="316" t="str">
        <f>IF(AND(AQ33="-",AQ34="-",AQ35="-",AQ36="-",AQ37="-",AQ38="-",AQ39="-",AQ40="-",AQ41="-",AQ42="-",AQ43="-"), "",
    IF(SUM(IF(AQ33="-", 0, IF(AQ33&lt;0, -2, IF(AQ33&gt;0, 2, 0))),
             IF(AQ34="-", 0, IF(AQ34&lt;0, -2, IF(AQ34&gt;0, 2, 0))),
             IF(AQ35="-", 0, IF(AQ35&lt;0, -2, IF(AQ35&gt;0, 2, 0))),
             IF(AQ36="-", 0, IF(AQ36&lt;0, -2, IF(AQ36&gt;0, 2, 0))),
             IF(AQ37="-", 0, IF(AQ37&lt;0, -1, IF(AQ37&gt;0, 1, 0))),
             IF(AQ38="-", 0, IF(AQ38&lt;0, -1, IF(AQ38&gt;0, 1, 0))),
             IF(AQ39="-", 0, IF(AQ39&lt;0, -1, IF(AQ39&gt;0, 1, 0))),
             IF(AQ40="-", 0, IF(AQ40&lt;0, -1, IF(AQ40&gt;0, 1, 0))),
             IF(AQ41="-", 0, IF(AQ41&lt;0, -1, IF(AQ41&gt;0, 1, 0))),
             IF(AQ42="-", 0, IF(AQ42&lt;0, -1, IF(AQ42&gt;0, 1, 0))),
             IF(AQ43="-", 0, IF(AQ43&lt;0, -1, IF(AQ43&gt;0, 1, 0)))) / 12 &gt; 0.1, "BULLISH",
    IF(SUM(IF(AQ33="-", 0, IF(AQ33&lt;0, -2, IF(AQ33&gt;0, 2, 0))),
             IF(AQ34="-", 0, IF(AQ34&lt;0, -2, IF(AQ34&gt;0, 2, 0))),
             IF(AQ35="-", 0, IF(AQ35&lt;0, -2, IF(AQ35&gt;0, 2, 0))),
             IF(AQ36="-", 0, IF(AQ36&lt;0, -2, IF(AQ36&gt;0, 2, 0))),
             IF(AQ37="-", 0, IF(AQ37&lt;0, -1, IF(AQ37&gt;0, 1, 0))),
             IF(AQ38="-", 0, IF(AQ38&lt;0, -1, IF(AQ38&gt;0, 1, 0))),
             IF(AQ39="-", 0, IF(AQ39&lt;0, -1, IF(AQ39&gt;0, 1, 0))),
             IF(AQ40="-", 0, IF(AQ40&lt;0, -1, IF(AQ40&gt;0, 1, 0))),
             IF(AQ41="-", 0, IF(AQ41&lt;0, -1, IF(AQ41&gt;0, 1, 0))),
             IF(AQ42="-", 0, IF(AQ42&lt;0, -1, IF(AQ42&gt;0, 1, 0))),
             IF(AQ43="-", 0, IF(AQ43&lt;0, -1, IF(AQ43&gt;0, 1, 0)))) / 12 &lt; -0.1, "BEARISH",
    IF(SUM(IF(AQ33="-", 0, IF(AQ33&lt;0, -2, IF(AQ33&gt;0, 2, 0))),
             IF(AQ34="-", 0, IF(AQ34&lt;0, -2, IF(AQ34&gt;0, 2, 0))),
             IF(AQ35="-", 0, IF(AQ35&lt;0, -2, IF(AQ35&gt;0, 2, 0))),
             IF(AQ36="-", 0, IF(AQ36&lt;0, -2, IF(AQ36&gt;0, 2, 0))),
             IF(AQ37="-", 0, IF(AQ37&lt;0, -1, IF(AQ37&gt;0, 1, 0))),
             IF(AQ38="-", 0, IF(AQ38&lt;0, -1, IF(AQ38&gt;0, 1, 0))),
             IF(AQ39="-", 0, IF(AQ39&lt;0, -1, IF(AQ39&gt;0, 1, 0))),
             IF(AQ40="-", 0, IF(AQ40&lt;0, -1, IF(AQ40&gt;0, 1, 0))),
             IF(AQ41="-", 0, IF(AQ41&lt;0, -1, IF(AQ41&gt;0, 1, 0))),
             IF(AQ42="-", 0, IF(AQ42&lt;0, -1, IF(AQ42&gt;0, 1, 0))),
             IF(AQ43="-", 0, IF(AQ43&lt;0, -1, IF(AQ43&gt;0, 1, 0)))) / 12 &gt; -0.1, "NEUTRO",
    IF(SUM(IF(AQ33="-", 0, IF(AQ33&lt;0, -2, IF(AQ33&gt;0, 2, 0))),
             IF(AQ34="-", 0, IF(AQ34&lt;0, -2, IF(AQ34&gt;0, 2, 0))),
             IF(AQ35="-", 0, IF(AQ35&lt;0, -2, IF(AQ35&gt;0, 2, 0))),
             IF(AQ36="-", 0, IF(AQ36&lt;0, -2, IF(AQ36&gt;0, 2, 0))),
             IF(AQ37="-", 0, IF(AQ37&lt;0, -1, IF(AQ37&gt;0, 1, 0))),
             IF(AQ38="-", 0, IF(AQ38&lt;0, -1, IF(AQ38&gt;0, 1, 0))),
             IF(AQ39="-", 0, IF(AQ39&lt;0, -1, IF(AQ39&gt;0, 1, 0))),
             IF(AQ40="-", 0, IF(AQ40&lt;0, -1, IF(AQ40&gt;0, 1, 0))),
             IF(AQ41="-", 0, IF(AQ41&lt;0, -1, IF(AQ41&gt;0, 1, 0))),
             IF(AQ42="-", 0, IF(AQ42&lt;0, -1, IF(AQ42&gt;0, 1, 0))),
             IF(AQ43="-", 0, IF(AQ43&lt;0, -1, IF(AQ43&gt;0, 1, 0)))) / 12 &lt; 0.1, "NEUTRO",
    "")))))</f>
        <v>BULLISH</v>
      </c>
      <c r="AP32" s="317"/>
      <c r="AQ32" s="318"/>
      <c r="AR32" s="316" t="str">
        <f>IF(AND(AT33="-",AT34="-",AT35="-",AT36="-",AT37="-",AT38="-",AT39="-",AT40="-",AT41="-",AT42="-",AT43="-"), "",
    IF(SUM(IF(AT33="-", 0, IF(AT33&lt;0, -2, IF(AT33&gt;0, 2, 0))),
             IF(AT34="-", 0, IF(AT34&lt;0, -2, IF(AT34&gt;0, 2, 0))),
             IF(AT35="-", 0, IF(AT35&lt;0, -2, IF(AT35&gt;0, 2, 0))),
             IF(AT36="-", 0, IF(AT36&lt;0, -2, IF(AT36&gt;0, 2, 0))),
             IF(AT37="-", 0, IF(AT37&lt;0, -1, IF(AT37&gt;0, 1, 0))),
             IF(AT38="-", 0, IF(AT38&lt;0, -1, IF(AT38&gt;0, 1, 0))),
             IF(AT39="-", 0, IF(AT39&lt;0, -1, IF(AT39&gt;0, 1, 0))),
             IF(AT40="-", 0, IF(AT40&lt;0, -1, IF(AT40&gt;0, 1, 0))),
             IF(AT41="-", 0, IF(AT41&lt;0, -1, IF(AT41&gt;0, 1, 0))),
             IF(AT42="-", 0, IF(AT42&lt;0, -1, IF(AT42&gt;0, 1, 0))),
             IF(AT43="-", 0, IF(AT43&lt;0, -1, IF(AT43&gt;0, 1, 0)))) / 12 &gt; 0.1, "BULLISH",
    IF(SUM(IF(AT33="-", 0, IF(AT33&lt;0, -2, IF(AT33&gt;0, 2, 0))),
             IF(AT34="-", 0, IF(AT34&lt;0, -2, IF(AT34&gt;0, 2, 0))),
             IF(AT35="-", 0, IF(AT35&lt;0, -2, IF(AT35&gt;0, 2, 0))),
             IF(AT36="-", 0, IF(AT36&lt;0, -2, IF(AT36&gt;0, 2, 0))),
             IF(AT37="-", 0, IF(AT37&lt;0, -1, IF(AT37&gt;0, 1, 0))),
             IF(AT38="-", 0, IF(AT38&lt;0, -1, IF(AT38&gt;0, 1, 0))),
             IF(AT39="-", 0, IF(AT39&lt;0, -1, IF(AT39&gt;0, 1, 0))),
             IF(AT40="-", 0, IF(AT40&lt;0, -1, IF(AT40&gt;0, 1, 0))),
             IF(AT41="-", 0, IF(AT41&lt;0, -1, IF(AT41&gt;0, 1, 0))),
             IF(AT42="-", 0, IF(AT42&lt;0, -1, IF(AT42&gt;0, 1, 0))),
             IF(AT43="-", 0, IF(AT43&lt;0, -1, IF(AT43&gt;0, 1, 0)))) / 12 &lt; -0.1, "BEARISH",
    IF(SUM(IF(AT33="-", 0, IF(AT33&lt;0, -2, IF(AT33&gt;0, 2, 0))),
             IF(AT34="-", 0, IF(AT34&lt;0, -2, IF(AT34&gt;0, 2, 0))),
             IF(AT35="-", 0, IF(AT35&lt;0, -2, IF(AT35&gt;0, 2, 0))),
             IF(AT36="-", 0, IF(AT36&lt;0, -2, IF(AT36&gt;0, 2, 0))),
             IF(AT37="-", 0, IF(AT37&lt;0, -1, IF(AT37&gt;0, 1, 0))),
             IF(AT38="-", 0, IF(AT38&lt;0, -1, IF(AT38&gt;0, 1, 0))),
             IF(AT39="-", 0, IF(AT39&lt;0, -1, IF(AT39&gt;0, 1, 0))),
             IF(AT40="-", 0, IF(AT40&lt;0, -1, IF(AT40&gt;0, 1, 0))),
             IF(AT41="-", 0, IF(AT41&lt;0, -1, IF(AT41&gt;0, 1, 0))),
             IF(AT42="-", 0, IF(AT42&lt;0, -1, IF(AT42&gt;0, 1, 0))),
             IF(AT43="-", 0, IF(AT43&lt;0, -1, IF(AT43&gt;0, 1, 0)))) / 12 &gt; -0.1, "NEUTRO",
    IF(SUM(IF(AT33="-", 0, IF(AT33&lt;0, -2, IF(AT33&gt;0, 2, 0))),
             IF(AT34="-", 0, IF(AT34&lt;0, -2, IF(AT34&gt;0, 2, 0))),
             IF(AT35="-", 0, IF(AT35&lt;0, -2, IF(AT35&gt;0, 2, 0))),
             IF(AT36="-", 0, IF(AT36&lt;0, -2, IF(AT36&gt;0, 2, 0))),
             IF(AT37="-", 0, IF(AT37&lt;0, -1, IF(AT37&gt;0, 1, 0))),
             IF(AT38="-", 0, IF(AT38&lt;0, -1, IF(AT38&gt;0, 1, 0))),
             IF(AT39="-", 0, IF(AT39&lt;0, -1, IF(AT39&gt;0, 1, 0))),
             IF(AT40="-", 0, IF(AT40&lt;0, -1, IF(AT40&gt;0, 1, 0))),
             IF(AT41="-", 0, IF(AT41&lt;0, -1, IF(AT41&gt;0, 1, 0))),
             IF(AT42="-", 0, IF(AT42&lt;0, -1, IF(AT42&gt;0, 1, 0))),
             IF(AT43="-", 0, IF(AT43&lt;0, -1, IF(AT43&gt;0, 1, 0)))) / 12 &lt; 0.1, "NEUTRO",
    "")))))</f>
        <v>BULLISH</v>
      </c>
      <c r="AS32" s="317"/>
      <c r="AT32" s="318"/>
      <c r="AU32" s="316" t="str">
        <f>IF(AND(AW33="-",AW34="-",AW35="-",AW36="-",AW37="-",AW38="-",AW39="-",AW40="-",AW41="-",AW42="-",AW43="-"), "",
    IF(SUM(IF(AW33="-", 0, IF(AW33&lt;0, -2, IF(AW33&gt;0, 2, 0))),
             IF(AW34="-", 0, IF(AW34&lt;0, -2, IF(AW34&gt;0, 2, 0))),
             IF(AW35="-", 0, IF(AW35&lt;0, -2, IF(AW35&gt;0, 2, 0))),
             IF(AW36="-", 0, IF(AW36&lt;0, -2, IF(AW36&gt;0, 2, 0))),
             IF(AW37="-", 0, IF(AW37&lt;0, -1, IF(AW37&gt;0, 1, 0))),
             IF(AW38="-", 0, IF(AW38&lt;0, -1, IF(AW38&gt;0, 1, 0))),
             IF(AW39="-", 0, IF(AW39&lt;0, -1, IF(AW39&gt;0, 1, 0))),
             IF(AW40="-", 0, IF(AW40&lt;0, -1, IF(AW40&gt;0, 1, 0))),
             IF(AW41="-", 0, IF(AW41&lt;0, -1, IF(AW41&gt;0, 1, 0))),
             IF(AW42="-", 0, IF(AW42&lt;0, -1, IF(AW42&gt;0, 1, 0))),
             IF(AW43="-", 0, IF(AW43&lt;0, -1, IF(AW43&gt;0, 1, 0)))) / 12 &gt; 0.1, "BULLISH",
    IF(SUM(IF(AW33="-", 0, IF(AW33&lt;0, -2, IF(AW33&gt;0, 2, 0))),
             IF(AW34="-", 0, IF(AW34&lt;0, -2, IF(AW34&gt;0, 2, 0))),
             IF(AW35="-", 0, IF(AW35&lt;0, -2, IF(AW35&gt;0, 2, 0))),
             IF(AW36="-", 0, IF(AW36&lt;0, -2, IF(AW36&gt;0, 2, 0))),
             IF(AW37="-", 0, IF(AW37&lt;0, -1, IF(AW37&gt;0, 1, 0))),
             IF(AW38="-", 0, IF(AW38&lt;0, -1, IF(AW38&gt;0, 1, 0))),
             IF(AW39="-", 0, IF(AW39&lt;0, -1, IF(AW39&gt;0, 1, 0))),
             IF(AW40="-", 0, IF(AW40&lt;0, -1, IF(AW40&gt;0, 1, 0))),
             IF(AW41="-", 0, IF(AW41&lt;0, -1, IF(AW41&gt;0, 1, 0))),
             IF(AW42="-", 0, IF(AW42&lt;0, -1, IF(AW42&gt;0, 1, 0))),
             IF(AW43="-", 0, IF(AW43&lt;0, -1, IF(AW43&gt;0, 1, 0)))) / 12 &lt; -0.1, "BEARISH",
    IF(SUM(IF(AW33="-", 0, IF(AW33&lt;0, -2, IF(AW33&gt;0, 2, 0))),
             IF(AW34="-", 0, IF(AW34&lt;0, -2, IF(AW34&gt;0, 2, 0))),
             IF(AW35="-", 0, IF(AW35&lt;0, -2, IF(AW35&gt;0, 2, 0))),
             IF(AW36="-", 0, IF(AW36&lt;0, -2, IF(AW36&gt;0, 2, 0))),
             IF(AW37="-", 0, IF(AW37&lt;0, -1, IF(AW37&gt;0, 1, 0))),
             IF(AW38="-", 0, IF(AW38&lt;0, -1, IF(AW38&gt;0, 1, 0))),
             IF(AW39="-", 0, IF(AW39&lt;0, -1, IF(AW39&gt;0, 1, 0))),
             IF(AW40="-", 0, IF(AW40&lt;0, -1, IF(AW40&gt;0, 1, 0))),
             IF(AW41="-", 0, IF(AW41&lt;0, -1, IF(AW41&gt;0, 1, 0))),
             IF(AW42="-", 0, IF(AW42&lt;0, -1, IF(AW42&gt;0, 1, 0))),
             IF(AW43="-", 0, IF(AW43&lt;0, -1, IF(AW43&gt;0, 1, 0)))) / 12 &gt; -0.1, "NEUTRO",
    IF(SUM(IF(AW33="-", 0, IF(AW33&lt;0, -2, IF(AW33&gt;0, 2, 0))),
             IF(AW34="-", 0, IF(AW34&lt;0, -2, IF(AW34&gt;0, 2, 0))),
             IF(AW35="-", 0, IF(AW35&lt;0, -2, IF(AW35&gt;0, 2, 0))),
             IF(AW36="-", 0, IF(AW36&lt;0, -2, IF(AW36&gt;0, 2, 0))),
             IF(AW37="-", 0, IF(AW37&lt;0, -1, IF(AW37&gt;0, 1, 0))),
             IF(AW38="-", 0, IF(AW38&lt;0, -1, IF(AW38&gt;0, 1, 0))),
             IF(AW39="-", 0, IF(AW39&lt;0, -1, IF(AW39&gt;0, 1, 0))),
             IF(AW40="-", 0, IF(AW40&lt;0, -1, IF(AW40&gt;0, 1, 0))),
             IF(AW41="-", 0, IF(AW41&lt;0, -1, IF(AW41&gt;0, 1, 0))),
             IF(AW42="-", 0, IF(AW42&lt;0, -1, IF(AW42&gt;0, 1, 0))),
             IF(AW43="-", 0, IF(AW43&lt;0, -1, IF(AW43&gt;0, 1, 0)))) / 12 &lt; 0.1, "NEUTRO",
    "")))))</f>
        <v>NEUTRO</v>
      </c>
      <c r="AV32" s="317"/>
      <c r="AW32" s="318"/>
    </row>
    <row r="33" spans="1:49" x14ac:dyDescent="0.25">
      <c r="A33" s="60" t="s">
        <v>125</v>
      </c>
      <c r="B33" s="61"/>
      <c r="C33" s="61"/>
      <c r="D33" s="62" t="str">
        <f>IF(OR(B33="",C33="",B33="-",C33="-"),"-",B33-C33)</f>
        <v>-</v>
      </c>
      <c r="E33" s="61"/>
      <c r="F33" s="61"/>
      <c r="G33" s="62" t="str">
        <f>IF(OR(E33="",F33="",E33="-",F33="-"),"-",E33-F33)</f>
        <v>-</v>
      </c>
      <c r="H33" s="61">
        <v>51.6</v>
      </c>
      <c r="I33" s="61">
        <v>50.6</v>
      </c>
      <c r="J33" s="62">
        <f>IF(OR(H33="",I33="",H33="-",I33="-"),"-",H33-I33)</f>
        <v>1</v>
      </c>
      <c r="K33" s="61"/>
      <c r="L33" s="61"/>
      <c r="M33" s="62" t="str">
        <f>IF(OR(K33="",L33="",K33="-",L33="-"),"-",K33-L33)</f>
        <v>-</v>
      </c>
      <c r="N33" s="61">
        <v>49.6</v>
      </c>
      <c r="O33" s="61">
        <v>47</v>
      </c>
      <c r="P33" s="62">
        <f>IF(OR(N33="",O33="",N33="-",O33="-"),"-",N33-O33)</f>
        <v>2.6000000000000014</v>
      </c>
      <c r="Q33" s="61">
        <v>47.3</v>
      </c>
      <c r="R33" s="61">
        <v>48</v>
      </c>
      <c r="S33" s="62">
        <f>IF(OR(Q33="",R33="",Q33="-",R33="-"),"-",Q33-R33)</f>
        <v>-0.70000000000000284</v>
      </c>
      <c r="T33" s="61">
        <v>48.2</v>
      </c>
      <c r="U33" s="61">
        <v>46.4</v>
      </c>
      <c r="V33" s="62">
        <f>IF(OR(T33="",U33="",T33="-",U33="-"),"-",T33-U33)</f>
        <v>1.8000000000000043</v>
      </c>
      <c r="W33" s="61">
        <v>45.1</v>
      </c>
      <c r="X33" s="61">
        <v>45.4</v>
      </c>
      <c r="Y33" s="62">
        <f>IF(OR(W33="",X33="",W33="-",X33="-"),"-",W33-X33)</f>
        <v>-0.29999999999999716</v>
      </c>
      <c r="Z33" s="61">
        <v>44</v>
      </c>
      <c r="AA33" s="61">
        <v>46.9</v>
      </c>
      <c r="AB33" s="62">
        <f>IF(OR(Z33="",AA33="",Z33="-",AA33="-"),"-",Z33-AA33)</f>
        <v>-2.8999999999999986</v>
      </c>
      <c r="AC33" s="61">
        <v>46.4</v>
      </c>
      <c r="AD33" s="61">
        <v>48.3</v>
      </c>
      <c r="AE33" s="62">
        <f>IF(OR(AC33="",AD33="",AC33="-",AD33="-"),"-",AC33-AD33)</f>
        <v>-1.8999999999999986</v>
      </c>
      <c r="AF33" s="61">
        <v>48.2</v>
      </c>
      <c r="AG33" s="61">
        <v>47</v>
      </c>
      <c r="AH33" s="62">
        <f>IF(OR(AF33="",AG33="",AF33="-",AG33="-"),"-",AF33-AG33)</f>
        <v>1.2000000000000028</v>
      </c>
      <c r="AI33" s="61">
        <v>47.3</v>
      </c>
      <c r="AJ33" s="61">
        <v>50.3</v>
      </c>
      <c r="AK33" s="62">
        <f>IF(OR(AI33="",AJ33="",AI33="-",AJ33="-"),"-",AI33-AJ33)</f>
        <v>-3</v>
      </c>
      <c r="AL33" s="61">
        <v>50.3</v>
      </c>
      <c r="AM33" s="61">
        <v>51.5</v>
      </c>
      <c r="AN33" s="62">
        <f>IF(OR(AL33="",AM33="",AL33="-",AM33="-"),"-",AL33-AM33)</f>
        <v>-1.2000000000000028</v>
      </c>
      <c r="AO33" s="61">
        <v>52.5</v>
      </c>
      <c r="AP33" s="61">
        <v>52.1</v>
      </c>
      <c r="AQ33" s="62">
        <f>IF(OR(AO33="",AP33="",AO33="-",AP33="-"),"-",AO33-AP33)</f>
        <v>0.39999999999999858</v>
      </c>
      <c r="AR33" s="61">
        <v>51.8</v>
      </c>
      <c r="AS33" s="61">
        <v>50.9</v>
      </c>
      <c r="AT33" s="62">
        <f>IF(OR(AR33="",AS33="",AR33="-",AS33="-"),"-",AR33-AS33)</f>
        <v>0.89999999999999858</v>
      </c>
      <c r="AU33" s="63"/>
      <c r="AV33" s="61"/>
      <c r="AW33" s="62" t="str">
        <f>IF(OR(AU33="",AV33="",AU33="-",AV33="-"),"-",AU33-AV33)</f>
        <v>-</v>
      </c>
    </row>
    <row r="34" spans="1:49" x14ac:dyDescent="0.25">
      <c r="A34" s="60" t="s">
        <v>126</v>
      </c>
      <c r="B34" s="61"/>
      <c r="C34" s="61"/>
      <c r="D34" s="54" t="str">
        <f>IF(OR(B34="",C34="",B34="-",C34="-"),"-",B34-C34)</f>
        <v>-</v>
      </c>
      <c r="E34" s="61"/>
      <c r="F34" s="61"/>
      <c r="G34" s="54" t="str">
        <f>IF(OR(E34="",F34="",E34="-",F34="-"),"-",E34-F34)</f>
        <v>-</v>
      </c>
      <c r="H34" s="61">
        <v>54.3</v>
      </c>
      <c r="I34" s="61">
        <v>51.4</v>
      </c>
      <c r="J34" s="54">
        <f>IF(OR(H34="",I34="",H34="-",I34="-"),"-",H34-I34)</f>
        <v>2.8999999999999986</v>
      </c>
      <c r="K34" s="61"/>
      <c r="L34" s="61"/>
      <c r="M34" s="54" t="str">
        <f>IF(OR(K34="",L34="",K34="-",L34="-"),"-",K34-L34)</f>
        <v>-</v>
      </c>
      <c r="N34" s="61">
        <v>51.1</v>
      </c>
      <c r="O34" s="61">
        <v>54.2</v>
      </c>
      <c r="P34" s="54">
        <f>IF(OR(N34="",O34="",N34="-",O34="-"),"-",N34-O34)</f>
        <v>-3.1000000000000014</v>
      </c>
      <c r="Q34" s="61">
        <v>53.6</v>
      </c>
      <c r="R34" s="61">
        <v>51.8</v>
      </c>
      <c r="S34" s="54">
        <f>IF(OR(Q34="",R34="",Q34="-",R34="-"),"-",Q34-R34)</f>
        <v>1.8000000000000043</v>
      </c>
      <c r="T34" s="61">
        <v>51.2</v>
      </c>
      <c r="U34" s="61">
        <v>50.9</v>
      </c>
      <c r="V34" s="54">
        <f>IF(OR(T34="",U34="",T34="-",U34="-"),"-",T34-U34)</f>
        <v>0.30000000000000426</v>
      </c>
      <c r="W34" s="61">
        <v>50.9</v>
      </c>
      <c r="X34" s="61">
        <v>49</v>
      </c>
      <c r="Y34" s="54">
        <f>IF(OR(W34="",X34="",W34="-",X34="-"),"-",W34-X34)</f>
        <v>1.8999999999999986</v>
      </c>
      <c r="Z34" s="61">
        <v>53.2</v>
      </c>
      <c r="AA34" s="61">
        <v>51.2</v>
      </c>
      <c r="AB34" s="54">
        <f>IF(OR(Z34="",AA34="",Z34="-",AA34="-"),"-",Z34-AA34)</f>
        <v>2</v>
      </c>
      <c r="AC34" s="61">
        <v>51.1</v>
      </c>
      <c r="AD34" s="61">
        <v>50.8</v>
      </c>
      <c r="AE34" s="54">
        <f>IF(OR(AC34="",AD34="",AC34="-",AD34="-"),"-",AC34-AD34)</f>
        <v>0.30000000000000426</v>
      </c>
      <c r="AF34" s="61">
        <v>51.2</v>
      </c>
      <c r="AG34" s="61">
        <v>51.1</v>
      </c>
      <c r="AH34" s="54">
        <f>IF(OR(AF34="",AG34="",AF34="-",AG34="-"),"-",AF34-AG34)</f>
        <v>0.10000000000000142</v>
      </c>
      <c r="AI34" s="61">
        <v>51.4</v>
      </c>
      <c r="AJ34" s="61">
        <v>50.8</v>
      </c>
      <c r="AK34" s="54">
        <f>IF(OR(AI34="",AJ34="",AI34="-",AJ34="-"),"-",AI34-AJ34)</f>
        <v>0.60000000000000142</v>
      </c>
      <c r="AL34" s="61">
        <v>51.8</v>
      </c>
      <c r="AM34" s="61">
        <v>52.4</v>
      </c>
      <c r="AN34" s="54">
        <f>IF(OR(AL34="",AM34="",AL34="-",AM34="-"),"-",AL34-AM34)</f>
        <v>-0.60000000000000142</v>
      </c>
      <c r="AO34" s="61">
        <v>53.3</v>
      </c>
      <c r="AP34" s="61">
        <v>52.5</v>
      </c>
      <c r="AQ34" s="54">
        <f>IF(OR(AO34="",AP34="",AO34="-",AP34="-"),"-",AO34-AP34)</f>
        <v>0.79999999999999716</v>
      </c>
      <c r="AR34" s="61">
        <v>52.4</v>
      </c>
      <c r="AS34" s="61">
        <v>52.1</v>
      </c>
      <c r="AT34" s="54">
        <f>IF(OR(AR34="",AS34="",AR34="-",AS34="-"),"-",AR34-AS34)</f>
        <v>0.29999999999999716</v>
      </c>
      <c r="AU34" s="63"/>
      <c r="AV34" s="61"/>
      <c r="AW34" s="54" t="str">
        <f>IF(OR(AU34="",AV34="",AU34="-",AV34="-"),"-",AU34-AV34)</f>
        <v>-</v>
      </c>
    </row>
    <row r="35" spans="1:49" x14ac:dyDescent="0.25">
      <c r="A35" s="60" t="s">
        <v>127</v>
      </c>
      <c r="B35" s="61"/>
      <c r="C35" s="61"/>
      <c r="D35" s="54" t="str">
        <f>IF(OR(B35="",C35="",B35="-",C35="-"),"-",B35-C35)</f>
        <v>-</v>
      </c>
      <c r="E35" s="61"/>
      <c r="F35" s="61"/>
      <c r="G35" s="54" t="str">
        <f>IF(OR(E35="",F35="",E35="-",F35="-"),"-",E35-F35)</f>
        <v>-</v>
      </c>
      <c r="H35" s="61">
        <v>51.8</v>
      </c>
      <c r="I35" s="61">
        <v>51.6</v>
      </c>
      <c r="J35" s="54">
        <f>IF(OR(H35="",I35="",H35="-",I35="-"),"-",H35-I35)</f>
        <v>0.19999999999999574</v>
      </c>
      <c r="K35" s="61"/>
      <c r="L35" s="61"/>
      <c r="M35" s="54" t="str">
        <f>IF(OR(K35="",L35="",K35="-",L35="-"),"-",K35-L35)</f>
        <v>-</v>
      </c>
      <c r="N35" s="61">
        <v>46.2</v>
      </c>
      <c r="O35" s="61">
        <v>46.2</v>
      </c>
      <c r="P35" s="54">
        <f>IF(OR(N35="",O35="",N35="-",O35="-"),"-",N35-O35)</f>
        <v>0</v>
      </c>
      <c r="Q35" s="61">
        <v>47</v>
      </c>
      <c r="R35" s="61">
        <v>48</v>
      </c>
      <c r="S35" s="54">
        <f>IF(OR(Q35="",R35="",Q35="-",R35="-"),"-",Q35-R35)</f>
        <v>-1</v>
      </c>
      <c r="T35" s="61">
        <v>48</v>
      </c>
      <c r="U35" s="61">
        <v>48.2</v>
      </c>
      <c r="V35" s="54">
        <f>IF(OR(T35="",U35="",T35="-",U35="-"),"-",T35-U35)</f>
        <v>-0.20000000000000284</v>
      </c>
      <c r="W35" s="61">
        <v>46.4</v>
      </c>
      <c r="X35" s="61">
        <v>45.1</v>
      </c>
      <c r="Y35" s="54">
        <f>IF(OR(W35="",X35="",W35="-",X35="-"),"-",W35-X35)</f>
        <v>1.2999999999999972</v>
      </c>
      <c r="Z35" s="61">
        <v>45.4</v>
      </c>
      <c r="AA35" s="61">
        <v>44</v>
      </c>
      <c r="AB35" s="54">
        <f>IF(OR(Z35="",AA35="",Z35="-",AA35="-"),"-",Z35-AA35)</f>
        <v>1.3999999999999986</v>
      </c>
      <c r="AC35" s="61"/>
      <c r="AD35" s="61"/>
      <c r="AE35" s="54" t="str">
        <f>IF(OR(AC35="",AD35="",AC35="-",AD35="-"),"-",AC35-AD35)</f>
        <v>-</v>
      </c>
      <c r="AF35" s="61">
        <v>48.3</v>
      </c>
      <c r="AG35" s="61">
        <v>47.3</v>
      </c>
      <c r="AH35" s="54">
        <f>IF(OR(AF35="",AG35="",AF35="-",AG35="-"),"-",AF35-AG35)</f>
        <v>1</v>
      </c>
      <c r="AI35" s="61">
        <v>48</v>
      </c>
      <c r="AJ35" s="61">
        <v>48.6</v>
      </c>
      <c r="AK35" s="54">
        <f>IF(OR(AI35="",AJ35="",AI35="-",AJ35="-"),"-",AI35-AJ35)</f>
        <v>-0.60000000000000142</v>
      </c>
      <c r="AL35" s="61">
        <v>49.9</v>
      </c>
      <c r="AM35" s="61">
        <v>50.3</v>
      </c>
      <c r="AN35" s="54">
        <f>IF(OR(AL35="",AM35="",AL35="-",AM35="-"),"-",AL35-AM35)</f>
        <v>-0.39999999999999858</v>
      </c>
      <c r="AO35" s="61">
        <v>52.5</v>
      </c>
      <c r="AP35" s="61">
        <v>52.5</v>
      </c>
      <c r="AQ35" s="54">
        <f>IF(OR(AO35="",AP35="",AO35="-",AP35="-"),"-",AO35-AP35)</f>
        <v>0</v>
      </c>
      <c r="AR35" s="61">
        <v>52.1</v>
      </c>
      <c r="AS35" s="61">
        <v>51.8</v>
      </c>
      <c r="AT35" s="54">
        <f>IF(OR(AR35="",AS35="",AR35="-",AS35="-"),"-",AR35-AS35)</f>
        <v>0.30000000000000426</v>
      </c>
      <c r="AU35" s="63"/>
      <c r="AV35" s="61"/>
      <c r="AW35" s="54" t="str">
        <f>IF(OR(AU35="",AV35="",AU35="-",AV35="-"),"-",AU35-AV35)</f>
        <v>-</v>
      </c>
    </row>
    <row r="36" spans="1:49" x14ac:dyDescent="0.25">
      <c r="A36" s="60" t="s">
        <v>128</v>
      </c>
      <c r="B36" s="61"/>
      <c r="C36" s="61"/>
      <c r="D36" s="54" t="str">
        <f>IF(OR(B36="",C36="",B36="-",C36="-"),"-",B36-C36)</f>
        <v>-</v>
      </c>
      <c r="E36" s="61"/>
      <c r="F36" s="61"/>
      <c r="G36" s="54" t="str">
        <f>IF(OR(E36="",F36="",E36="-",F36="-"),"-",E36-F36)</f>
        <v>-</v>
      </c>
      <c r="H36" s="61">
        <v>54</v>
      </c>
      <c r="I36" s="61">
        <v>52.1</v>
      </c>
      <c r="J36" s="54">
        <f>IF(OR(H36="",I36="",H36="-",I36="-"),"-",H36-I36)</f>
        <v>1.8999999999999986</v>
      </c>
      <c r="K36" s="61"/>
      <c r="L36" s="61"/>
      <c r="M36" s="54" t="str">
        <f>IF(OR(K36="",L36="",K36="-",L36="-"),"-",K36-L36)</f>
        <v>-</v>
      </c>
      <c r="N36" s="61">
        <v>50.8</v>
      </c>
      <c r="O36" s="61">
        <v>51.9</v>
      </c>
      <c r="P36" s="54">
        <f>IF(OR(N36="",O36="",N36="-",O36="-"),"-",N36-O36)</f>
        <v>-1.1000000000000014</v>
      </c>
      <c r="Q36" s="61">
        <v>54.2</v>
      </c>
      <c r="R36" s="61">
        <v>53.6</v>
      </c>
      <c r="S36" s="54">
        <f>IF(OR(Q36="",R36="",Q36="-",R36="-"),"-",Q36-R36)</f>
        <v>0.60000000000000142</v>
      </c>
      <c r="T36" s="61">
        <v>51.8</v>
      </c>
      <c r="U36" s="61">
        <v>51.3</v>
      </c>
      <c r="V36" s="54">
        <f>IF(OR(T36="",U36="",T36="-",U36="-"),"-",T36-U36)</f>
        <v>0.5</v>
      </c>
      <c r="W36" s="61">
        <v>51.3</v>
      </c>
      <c r="X36" s="61">
        <v>49</v>
      </c>
      <c r="Y36" s="54">
        <f>IF(OR(W36="",X36="",W36="-",X36="-"),"-",W36-X36)</f>
        <v>2.2999999999999972</v>
      </c>
      <c r="Z36" s="61">
        <v>49</v>
      </c>
      <c r="AA36" s="61">
        <v>53.2</v>
      </c>
      <c r="AB36" s="54">
        <f>IF(OR(Z36="",AA36="",Z36="-",AA36="-"),"-",Z36-AA36)</f>
        <v>-4.2000000000000028</v>
      </c>
      <c r="AC36" s="61"/>
      <c r="AD36" s="61"/>
      <c r="AE36" s="54" t="str">
        <f>IF(OR(AC36="",AD36="",AC36="-",AD36="-"),"-",AC36-AD36)</f>
        <v>-</v>
      </c>
      <c r="AF36" s="61">
        <v>50.8</v>
      </c>
      <c r="AG36" s="61">
        <v>51.4</v>
      </c>
      <c r="AH36" s="54">
        <f>IF(OR(AF36="",AG36="",AF36="-",AG36="-"),"-",AF36-AG36)</f>
        <v>-0.60000000000000142</v>
      </c>
      <c r="AI36" s="61">
        <v>50.8</v>
      </c>
      <c r="AJ36" s="61">
        <v>50</v>
      </c>
      <c r="AK36" s="54">
        <f>IF(OR(AI36="",AJ36="",AI36="-",AJ36="-"),"-",AI36-AJ36)</f>
        <v>0.79999999999999716</v>
      </c>
      <c r="AL36" s="64">
        <v>52</v>
      </c>
      <c r="AM36" s="61">
        <v>52.8</v>
      </c>
      <c r="AN36" s="54">
        <f>IF(OR(AL36="",AM36="",AL36="-",AM36="-"),"-",AL36-AM36)</f>
        <v>-0.79999999999999716</v>
      </c>
      <c r="AO36" s="61">
        <v>53.7</v>
      </c>
      <c r="AP36" s="61">
        <v>53.3</v>
      </c>
      <c r="AQ36" s="54">
        <f>IF(OR(AO36="",AP36="",AO36="-",AP36="-"),"-",AO36-AP36)</f>
        <v>0.40000000000000568</v>
      </c>
      <c r="AR36" s="61">
        <v>52.1</v>
      </c>
      <c r="AS36" s="61">
        <v>51.2</v>
      </c>
      <c r="AT36" s="54">
        <f>IF(OR(AR36="",AS36="",AR36="-",AS36="-"),"-",AR36-AS36)</f>
        <v>0.89999999999999858</v>
      </c>
      <c r="AU36" s="63"/>
      <c r="AV36" s="61"/>
      <c r="AW36" s="54" t="str">
        <f>IF(OR(AU36="",AV36="",AU36="-",AV36="-"),"-",AU36-AV36)</f>
        <v>-</v>
      </c>
    </row>
    <row r="37" spans="1:49" x14ac:dyDescent="0.25">
      <c r="A37" s="38" t="s">
        <v>179</v>
      </c>
      <c r="B37" s="42"/>
      <c r="C37" s="42"/>
      <c r="D37" s="65" t="str">
        <f>IF(OR(B37="",C37="",B37="-",C37="-"),"-",B37-C37)</f>
        <v>-</v>
      </c>
      <c r="E37" s="42"/>
      <c r="F37" s="42"/>
      <c r="G37" s="65" t="str">
        <f>IF(OR(E37="",F37="",E37="-",F37="-"),"-",E37-F37)</f>
        <v>-</v>
      </c>
      <c r="H37" s="39">
        <v>2.1000000000000001E-2</v>
      </c>
      <c r="I37" s="39">
        <v>4.0000000000000001E-3</v>
      </c>
      <c r="J37" s="65">
        <f>IF(OR(H37="",I37="",H37="-",I37="-"),"-",H37-I37)</f>
        <v>1.7000000000000001E-2</v>
      </c>
      <c r="K37" s="42"/>
      <c r="L37" s="42"/>
      <c r="M37" s="65" t="str">
        <f>IF(OR(K37="",L37="",K37="-",L37="-"),"-",K37-L37)</f>
        <v>-</v>
      </c>
      <c r="N37" s="39">
        <v>7.0000000000000001E-3</v>
      </c>
      <c r="O37" s="39">
        <v>-1.0999999999999999E-2</v>
      </c>
      <c r="P37" s="65">
        <f>IF(OR(N37="",O37="",N37="-",O37="-"),"-",N37-O37)</f>
        <v>1.7999999999999999E-2</v>
      </c>
      <c r="Q37" s="39">
        <v>-1.2999999999999999E-2</v>
      </c>
      <c r="R37" s="40">
        <v>-0.01</v>
      </c>
      <c r="S37" s="65">
        <f>IF(OR(Q37="",R37="",Q37="-",R37="-"),"-",Q37-R37)</f>
        <v>-2.9999999999999992E-3</v>
      </c>
      <c r="T37" s="40">
        <v>-0.01</v>
      </c>
      <c r="U37" s="39">
        <v>-7.0000000000000001E-3</v>
      </c>
      <c r="V37" s="65">
        <f>IF(OR(T37="",U37="",T37="-",U37="-"),"-",T37-U37)</f>
        <v>-3.0000000000000001E-3</v>
      </c>
      <c r="W37" s="39">
        <v>-8.9999999999999993E-3</v>
      </c>
      <c r="X37" s="39">
        <v>2.4E-2</v>
      </c>
      <c r="Y37" s="65">
        <f>IF(OR(W37="",X37="",W37="-",X37="-"),"-",W37-X37)</f>
        <v>-3.3000000000000002E-2</v>
      </c>
      <c r="Z37" s="39">
        <v>2.1999999999999999E-2</v>
      </c>
      <c r="AA37" s="40">
        <v>-0.01</v>
      </c>
      <c r="AB37" s="65">
        <f>IF(OR(Z37="",AA37="",Z37="-",AA37="-"),"-",Z37-AA37)</f>
        <v>3.2000000000000001E-2</v>
      </c>
      <c r="AC37" s="39">
        <v>7.0000000000000001E-3</v>
      </c>
      <c r="AD37" s="39">
        <v>-3.0000000000000001E-3</v>
      </c>
      <c r="AE37" s="65">
        <f>IF(OR(AC37="",AD37="",AC37="-",AD37="-"),"-",AC37-AD37)</f>
        <v>0.01</v>
      </c>
      <c r="AF37" s="39">
        <v>-3.0000000000000001E-3</v>
      </c>
      <c r="AG37" s="39">
        <v>-6.0000000000000001E-3</v>
      </c>
      <c r="AH37" s="65">
        <f>IF(OR(AF37="",AG37="",AF37="-",AG37="-"),"-",AF37-AG37)</f>
        <v>3.0000000000000001E-3</v>
      </c>
      <c r="AI37" s="40">
        <v>-6.0000000000000001E-3</v>
      </c>
      <c r="AJ37" s="39">
        <v>1.2999999999999999E-2</v>
      </c>
      <c r="AK37" s="65">
        <f>IF(OR(AI37="",AJ37="",AI37="-",AJ37="-"),"-",AI37-AJ37)</f>
        <v>-1.9E-2</v>
      </c>
      <c r="AL37" s="39">
        <v>1.0999999999999999E-2</v>
      </c>
      <c r="AM37" s="39">
        <v>-1.2E-2</v>
      </c>
      <c r="AN37" s="65">
        <f>IF(OR(AL37="",AM37="",AL37="-",AM37="-"),"-",AL37-AM37)</f>
        <v>2.3E-2</v>
      </c>
      <c r="AO37" s="39">
        <v>-0.01</v>
      </c>
      <c r="AP37" s="39">
        <v>1.0999999999999999E-2</v>
      </c>
      <c r="AQ37" s="65">
        <f>IF(OR(AO37="",AP37="",AO37="-",AP37="-"),"-",AO37-AP37)</f>
        <v>-2.0999999999999998E-2</v>
      </c>
      <c r="AR37" s="39">
        <v>4.0000000000000001E-3</v>
      </c>
      <c r="AS37" s="39">
        <v>-1.6E-2</v>
      </c>
      <c r="AT37" s="65">
        <f>IF(OR(AR37="",AS37="",AR37="-",AS37="-"),"-",AR37-AS37)</f>
        <v>0.02</v>
      </c>
      <c r="AU37" s="48">
        <v>3.0000000000000001E-3</v>
      </c>
      <c r="AV37" s="39">
        <v>1.2E-2</v>
      </c>
      <c r="AW37" s="65">
        <f>IF(OR(AU37="",AV37="",AU37="-",AV37="-"),"-",AU37-AV37)</f>
        <v>-9.0000000000000011E-3</v>
      </c>
    </row>
    <row r="38" spans="1:49" x14ac:dyDescent="0.25">
      <c r="A38" s="38" t="s">
        <v>134</v>
      </c>
      <c r="B38" s="42"/>
      <c r="C38" s="42"/>
      <c r="D38" s="65" t="str">
        <f>IF(OR(B38="",C38="",B38="-",C38="-"),"-",B38-C38)</f>
        <v>-</v>
      </c>
      <c r="E38" s="42"/>
      <c r="F38" s="42"/>
      <c r="G38" s="65" t="str">
        <f>IF(OR(E38="",F38="",E38="-",F38="-"),"-",E38-F38)</f>
        <v>-</v>
      </c>
      <c r="H38" s="39">
        <v>1.0999999999999999E-2</v>
      </c>
      <c r="I38" s="39">
        <v>1.2999999999999999E-2</v>
      </c>
      <c r="J38" s="65">
        <f>IF(OR(H38="",I38="",H38="-",I38="-"),"-",H38-I38)</f>
        <v>-2E-3</v>
      </c>
      <c r="K38" s="42"/>
      <c r="L38" s="42"/>
      <c r="M38" s="65" t="str">
        <f>IF(OR(K38="",L38="",K38="-",L38="-"),"-",K38-L38)</f>
        <v>-</v>
      </c>
      <c r="N38" s="39">
        <v>4.0000000000000001E-3</v>
      </c>
      <c r="O38" s="39">
        <v>-4.0000000000000001E-3</v>
      </c>
      <c r="P38" s="65">
        <f>IF(OR(N38="",O38="",N38="-",O38="-"),"-",N38-O38)</f>
        <v>8.0000000000000002E-3</v>
      </c>
      <c r="Q38" s="39">
        <v>-8.9999999999999993E-3</v>
      </c>
      <c r="R38" s="39">
        <v>-1.2999999999999999E-2</v>
      </c>
      <c r="S38" s="65">
        <f>IF(OR(Q38="",R38="",Q38="-",R38="-"),"-",Q38-R38)</f>
        <v>4.0000000000000001E-3</v>
      </c>
      <c r="T38" s="39">
        <v>-8.9999999999999993E-3</v>
      </c>
      <c r="U38" s="39">
        <v>-6.0000000000000001E-3</v>
      </c>
      <c r="V38" s="65">
        <f>IF(OR(T38="",U38="",T38="-",U38="-"),"-",T38-U38)</f>
        <v>-2.9999999999999992E-3</v>
      </c>
      <c r="W38" s="39">
        <v>-6.0000000000000001E-3</v>
      </c>
      <c r="X38" s="39">
        <v>1.7000000000000001E-2</v>
      </c>
      <c r="Y38" s="65">
        <f>IF(OR(W38="",X38="",W38="-",X38="-"),"-",W38-X38)</f>
        <v>-2.3E-2</v>
      </c>
      <c r="Z38" s="39">
        <v>1.4999999999999999E-2</v>
      </c>
      <c r="AA38" s="39">
        <v>5.0000000000000001E-3</v>
      </c>
      <c r="AB38" s="65">
        <f>IF(OR(Z38="",AA38="",Z38="-",AA38="-"),"-",Z38-AA38)</f>
        <v>9.9999999999999985E-3</v>
      </c>
      <c r="AC38" s="39">
        <v>5.0000000000000001E-3</v>
      </c>
      <c r="AD38" s="39">
        <v>-5.0000000000000001E-3</v>
      </c>
      <c r="AE38" s="65">
        <f>IF(OR(AC38="",AD38="",AC38="-",AD38="-"),"-",AC38-AD38)</f>
        <v>0.01</v>
      </c>
      <c r="AF38" s="39">
        <v>-4.0000000000000001E-3</v>
      </c>
      <c r="AG38" s="39">
        <v>-6.0000000000000001E-3</v>
      </c>
      <c r="AH38" s="65">
        <f>IF(OR(AF38="",AG38="",AF38="-",AG38="-"),"-",AF38-AG38)</f>
        <v>2E-3</v>
      </c>
      <c r="AI38" s="39">
        <v>-6.0000000000000001E-3</v>
      </c>
      <c r="AJ38" s="39">
        <v>5.0000000000000001E-3</v>
      </c>
      <c r="AK38" s="65">
        <f>IF(OR(AI38="",AJ38="",AI38="-",AJ38="-"),"-",AI38-AJ38)</f>
        <v>-1.0999999999999999E-2</v>
      </c>
      <c r="AL38" s="39">
        <v>5.0000000000000001E-3</v>
      </c>
      <c r="AM38" s="39">
        <v>-7.0000000000000001E-3</v>
      </c>
      <c r="AN38" s="65">
        <f>IF(OR(AL38="",AM38="",AL38="-",AM38="-"),"-",AL38-AM38)</f>
        <v>1.2E-2</v>
      </c>
      <c r="AO38" s="39">
        <v>-8.0000000000000002E-3</v>
      </c>
      <c r="AP38" s="39">
        <v>8.0000000000000002E-3</v>
      </c>
      <c r="AQ38" s="65">
        <f>IF(OR(AO38="",AP38="",AO38="-",AP38="-"),"-",AO38-AP38)</f>
        <v>-1.6E-2</v>
      </c>
      <c r="AR38" s="39">
        <v>2E-3</v>
      </c>
      <c r="AS38" s="39">
        <v>-8.9999999999999993E-3</v>
      </c>
      <c r="AT38" s="65">
        <f>IF(OR(AR38="",AS38="",AR38="-",AS38="-"),"-",AR38-AS38)</f>
        <v>1.0999999999999999E-2</v>
      </c>
      <c r="AU38" s="48">
        <v>2E-3</v>
      </c>
      <c r="AV38" s="39">
        <v>0.01</v>
      </c>
      <c r="AW38" s="65">
        <f>IF(OR(AU38="",AV38="",AU38="-",AV38="-"),"-",AU38-AV38)</f>
        <v>-8.0000000000000002E-3</v>
      </c>
    </row>
    <row r="39" spans="1:49" x14ac:dyDescent="0.25">
      <c r="A39" s="38" t="s">
        <v>135</v>
      </c>
      <c r="B39" s="42"/>
      <c r="C39" s="42"/>
      <c r="D39" s="10" t="str">
        <f>IF(OR(B39="",C39="",B39="-",C39="-"),"-",B39-C39)</f>
        <v>-</v>
      </c>
      <c r="E39" s="42"/>
      <c r="F39" s="42"/>
      <c r="G39" s="10" t="str">
        <f>IF(OR(E39="",F39="",E39="-",F39="-"),"-",E39-F39)</f>
        <v>-</v>
      </c>
      <c r="H39" s="42">
        <v>-23.7</v>
      </c>
      <c r="I39" s="42">
        <v>-24.2</v>
      </c>
      <c r="J39" s="10">
        <f>IF(OR(H39="",I39="",H39="-",I39="-"),"-",H39-I39)</f>
        <v>0.5</v>
      </c>
      <c r="K39" s="42"/>
      <c r="L39" s="42"/>
      <c r="M39" s="10" t="str">
        <f>IF(OR(K39="",L39="",K39="-",L39="-"),"-",K39-L39)</f>
        <v>-</v>
      </c>
      <c r="N39" s="42">
        <v>-21.2</v>
      </c>
      <c r="O39" s="42">
        <v>-20.6</v>
      </c>
      <c r="P39" s="10">
        <f>IF(OR(N39="",O39="",N39="-",O39="-"),"-",N39-O39)</f>
        <v>-0.59999999999999787</v>
      </c>
      <c r="Q39" s="42">
        <v>-22.24</v>
      </c>
      <c r="R39" s="42">
        <v>-22.1</v>
      </c>
      <c r="S39" s="10">
        <f>IF(OR(Q39="",R39="",Q39="-",R39="-"),"-",Q39-R39)</f>
        <v>-0.13999999999999702</v>
      </c>
      <c r="T39" s="42">
        <v>-21.7</v>
      </c>
      <c r="U39" s="42">
        <v>-22.4</v>
      </c>
      <c r="V39" s="10">
        <f>IF(OR(T39="",U39="",T39="-",U39="-"),"-",T39-U39)</f>
        <v>0.69999999999999929</v>
      </c>
      <c r="W39" s="42">
        <v>-23.2</v>
      </c>
      <c r="X39" s="42">
        <v>-21</v>
      </c>
      <c r="Y39" s="10">
        <f>IF(OR(W39="",X39="",W39="-",X39="-"),"-",W39-X39)</f>
        <v>-2.1999999999999993</v>
      </c>
      <c r="Z39" s="42">
        <v>-20.8</v>
      </c>
      <c r="AA39" s="42">
        <v>-19.7</v>
      </c>
      <c r="AB39" s="10">
        <f>IF(OR(Z39="",AA39="",Z39="-",AA39="-"),"-",Z39-AA39)</f>
        <v>-1.1000000000000014</v>
      </c>
      <c r="AC39" s="42">
        <v>-17.399999999999999</v>
      </c>
      <c r="AD39" s="42">
        <v>-18.899999999999999</v>
      </c>
      <c r="AE39" s="10">
        <f>IF(OR(AC39="",AD39="",AC39="-",AD39="-"),"-",AC39-AD39)</f>
        <v>1.5</v>
      </c>
      <c r="AF39" s="42">
        <v>-19.3</v>
      </c>
      <c r="AG39" s="42">
        <v>-19.3</v>
      </c>
      <c r="AH39" s="10">
        <f>IF(OR(AF39="",AG39="",AF39="-",AG39="-"),"-",AF39-AG39)</f>
        <v>0</v>
      </c>
      <c r="AI39" s="42">
        <v>-19</v>
      </c>
      <c r="AJ39" s="42">
        <v>-15.2</v>
      </c>
      <c r="AK39" s="10">
        <f>IF(OR(AI39="",AJ39="",AI39="-",AJ39="-"),"-",AI39-AJ39)</f>
        <v>-3.8000000000000007</v>
      </c>
      <c r="AL39" s="42">
        <v>-15.1</v>
      </c>
      <c r="AM39" s="42">
        <v>-18.899999999999999</v>
      </c>
      <c r="AN39" s="10">
        <f>IF(OR(AL39="",AM39="",AL39="-",AM39="-"),"-",AL39-AM39)</f>
        <v>3.7999999999999989</v>
      </c>
      <c r="AO39" s="42">
        <v>-20</v>
      </c>
      <c r="AP39" s="42">
        <v>-18.899999999999999</v>
      </c>
      <c r="AQ39" s="10">
        <f>IF(OR(AO39="",AP39="",AO39="-",AP39="-"),"-",AO39-AP39)</f>
        <v>-1.1000000000000014</v>
      </c>
      <c r="AR39" s="42">
        <v>-17.899999999999999</v>
      </c>
      <c r="AS39" s="42">
        <v>-19.399999999999999</v>
      </c>
      <c r="AT39" s="10">
        <f>IF(OR(AR39="",AS39="",AR39="-",AS39="-"),"-",AR39-AS39)</f>
        <v>1.5</v>
      </c>
      <c r="AU39" s="41">
        <v>-14</v>
      </c>
      <c r="AV39" s="42">
        <v>-14.1</v>
      </c>
      <c r="AW39" s="10">
        <f>IF(OR(AU39="",AV39="",AU39="-",AV39="-"),"-",AU39-AV39)</f>
        <v>9.9999999999999645E-2</v>
      </c>
    </row>
    <row r="40" spans="1:49" x14ac:dyDescent="0.25">
      <c r="A40" s="38" t="s">
        <v>180</v>
      </c>
      <c r="B40" s="42"/>
      <c r="C40" s="42"/>
      <c r="D40" s="65" t="str">
        <f>IF(OR(B40="",C40="",B40="-",C40="-"),"-",B40-C40)</f>
        <v>-</v>
      </c>
      <c r="E40" s="42"/>
      <c r="F40" s="42"/>
      <c r="G40" s="65" t="str">
        <f>IF(OR(E40="",F40="",E40="-",F40="-"),"-",E40-F40)</f>
        <v>-</v>
      </c>
      <c r="H40" s="42"/>
      <c r="I40" s="42"/>
      <c r="J40" s="65" t="str">
        <f>IF(OR(H40="",I40="",H40="-",I40="-"),"-",H40-I40)</f>
        <v>-</v>
      </c>
      <c r="K40" s="42"/>
      <c r="L40" s="42"/>
      <c r="M40" s="65" t="str">
        <f>IF(OR(K40="",L40="",K40="-",L40="-"),"-",K40-L40)</f>
        <v>-</v>
      </c>
      <c r="N40" s="42"/>
      <c r="O40" s="42"/>
      <c r="P40" s="65" t="str">
        <f>IF(OR(N40="",O40="",N40="-",O40="-"),"-",N40-O40)</f>
        <v>-</v>
      </c>
      <c r="Q40" s="40">
        <v>-0.04</v>
      </c>
      <c r="R40" s="39">
        <v>3.9E-2</v>
      </c>
      <c r="S40" s="65">
        <f>IF(OR(Q40="",R40="",Q40="-",R40="-"),"-",Q40-R40)</f>
        <v>-7.9000000000000001E-2</v>
      </c>
      <c r="T40" s="42"/>
      <c r="U40" s="42"/>
      <c r="V40" s="65" t="str">
        <f>IF(OR(T40="",U40="",T40="-",U40="-"),"-",T40-U40)</f>
        <v>-</v>
      </c>
      <c r="W40" s="39">
        <v>5.8999999999999997E-2</v>
      </c>
      <c r="X40" s="39">
        <v>-1.9E-2</v>
      </c>
      <c r="Y40" s="65">
        <f>IF(OR(W40="",X40="",W40="-",X40="-"),"-",W40-X40)</f>
        <v>7.8E-2</v>
      </c>
      <c r="Z40" s="42"/>
      <c r="AA40" s="42"/>
      <c r="AB40" s="65" t="str">
        <f>IF(OR(Z40="",AA40="",Z40="-",AA40="-"),"-",Z40-AA40)</f>
        <v>-</v>
      </c>
      <c r="AC40" s="39">
        <v>-3.2000000000000001E-2</v>
      </c>
      <c r="AD40" s="39">
        <v>1.9E-2</v>
      </c>
      <c r="AE40" s="65">
        <f>IF(OR(AC40="",AD40="",AC40="-",AD40="-"),"-",AC40-AD40)</f>
        <v>-5.1000000000000004E-2</v>
      </c>
      <c r="AF40" s="42"/>
      <c r="AG40" s="42"/>
      <c r="AH40" s="65" t="str">
        <f>IF(OR(AF40="",AG40="",AF40="-",AG40="-"),"-",AF40-AG40)</f>
        <v>-</v>
      </c>
      <c r="AI40" s="39">
        <v>1.2E-2</v>
      </c>
      <c r="AJ40" s="39">
        <v>1.4E-2</v>
      </c>
      <c r="AK40" s="65">
        <f>IF(OR(AI40="",AJ40="",AI40="-",AJ40="-"),"-",AI40-AJ40)</f>
        <v>-2E-3</v>
      </c>
      <c r="AL40" s="42"/>
      <c r="AM40" s="42"/>
      <c r="AN40" s="65" t="str">
        <f>IF(OR(AL40="",AM40="",AL40="-",AM40="-"),"-",AL40-AM40)</f>
        <v>-</v>
      </c>
      <c r="AO40" s="39">
        <v>-1E-3</v>
      </c>
      <c r="AP40" s="39">
        <v>5.0000000000000001E-3</v>
      </c>
      <c r="AQ40" s="65">
        <f>IF(OR(AO40="",AP40="",AO40="-",AP40="-"),"-",AO40-AP40)</f>
        <v>-6.0000000000000001E-3</v>
      </c>
      <c r="AR40" s="42"/>
      <c r="AS40" s="42"/>
      <c r="AT40" s="65" t="str">
        <f>IF(OR(AR40="",AS40="",AR40="-",AS40="-"),"-",AR40-AS40)</f>
        <v>-</v>
      </c>
      <c r="AU40" s="48">
        <v>8.9999999999999993E-3</v>
      </c>
      <c r="AV40" s="39">
        <v>1.4E-2</v>
      </c>
      <c r="AW40" s="65">
        <f>IF(OR(AU40="",AV40="",AU40="-",AV40="-"),"-",AU40-AV40)</f>
        <v>-5.000000000000001E-3</v>
      </c>
    </row>
    <row r="41" spans="1:49" x14ac:dyDescent="0.25">
      <c r="A41" s="38" t="s">
        <v>181</v>
      </c>
      <c r="B41" s="42"/>
      <c r="C41" s="42"/>
      <c r="D41" s="65" t="str">
        <f>IF(OR(B41="",C41="",B41="-",C41="-"),"-",B41-C41)</f>
        <v>-</v>
      </c>
      <c r="E41" s="42"/>
      <c r="F41" s="42"/>
      <c r="G41" s="65" t="str">
        <f>IF(OR(E41="",F41="",E41="-",F41="-"),"-",E41-F41)</f>
        <v>-</v>
      </c>
      <c r="H41" s="39">
        <v>1.4999999999999999E-2</v>
      </c>
      <c r="I41" s="39">
        <v>-3.0000000000000001E-3</v>
      </c>
      <c r="J41" s="65">
        <f>IF(OR(H41="",I41="",H41="-",I41="-"),"-",H41-I41)</f>
        <v>1.7999999999999999E-2</v>
      </c>
      <c r="K41" s="42"/>
      <c r="L41" s="42"/>
      <c r="M41" s="65" t="str">
        <f>IF(OR(K41="",L41="",K41="-",L41="-"),"-",K41-L41)</f>
        <v>-</v>
      </c>
      <c r="N41" s="39">
        <v>-1.0999999999999999E-2</v>
      </c>
      <c r="O41" s="40">
        <v>-0.04</v>
      </c>
      <c r="P41" s="65">
        <f>IF(OR(N41="",O41="",N41="-",O41="-"),"-",N41-O41)</f>
        <v>2.9000000000000001E-2</v>
      </c>
      <c r="Q41" s="42"/>
      <c r="R41" s="42"/>
      <c r="S41" s="65" t="str">
        <f>IF(OR(Q41="",R41="",Q41="-",R41="-"),"-",Q41-R41)</f>
        <v>-</v>
      </c>
      <c r="T41" s="39">
        <v>3.9E-2</v>
      </c>
      <c r="U41" s="39">
        <v>5.8999999999999997E-2</v>
      </c>
      <c r="V41" s="65">
        <f>IF(OR(T41="",U41="",T41="-",U41="-"),"-",T41-U41)</f>
        <v>-1.9999999999999997E-2</v>
      </c>
      <c r="W41" s="42"/>
      <c r="X41" s="42"/>
      <c r="Y41" s="65" t="str">
        <f>IF(OR(W41="",X41="",W41="-",X41="-"),"-",W41-X41)</f>
        <v>-</v>
      </c>
      <c r="Z41" s="39">
        <v>-1.9E-2</v>
      </c>
      <c r="AA41" s="39">
        <v>-3.2000000000000001E-2</v>
      </c>
      <c r="AB41" s="65">
        <f>IF(OR(Z41="",AA41="",Z41="-",AA41="-"),"-",Z41-AA41)</f>
        <v>1.3000000000000001E-2</v>
      </c>
      <c r="AC41" s="42"/>
      <c r="AD41" s="42"/>
      <c r="AE41" s="65" t="str">
        <f>IF(OR(AC41="",AD41="",AC41="-",AD41="-"),"-",AC41-AD41)</f>
        <v>-</v>
      </c>
      <c r="AF41" s="39">
        <v>1.9E-2</v>
      </c>
      <c r="AG41" s="39">
        <v>1.2E-2</v>
      </c>
      <c r="AH41" s="65">
        <f>IF(OR(AF41="",AG41="",AF41="-",AG41="-"),"-",AF41-AG41)</f>
        <v>6.9999999999999993E-3</v>
      </c>
      <c r="AI41" s="42"/>
      <c r="AJ41" s="42"/>
      <c r="AK41" s="65" t="str">
        <f>IF(OR(AI41="",AJ41="",AI41="-",AJ41="-"),"-",AI41-AJ41)</f>
        <v>-</v>
      </c>
      <c r="AL41" s="39">
        <v>1.4E-2</v>
      </c>
      <c r="AM41" s="39">
        <v>-1E-3</v>
      </c>
      <c r="AN41" s="65">
        <f>IF(OR(AL41="",AM41="",AL41="-",AM41="-"),"-",AL41-AM41)</f>
        <v>1.4999999999999999E-2</v>
      </c>
      <c r="AO41" s="42"/>
      <c r="AP41" s="42"/>
      <c r="AQ41" s="65" t="str">
        <f>IF(OR(AO41="",AP41="",AO41="-",AP41="-"),"-",AO41-AP41)</f>
        <v>-</v>
      </c>
      <c r="AR41" s="39">
        <v>5.0000000000000001E-3</v>
      </c>
      <c r="AS41" s="39">
        <v>8.9999999999999993E-3</v>
      </c>
      <c r="AT41" s="65">
        <f>IF(OR(AR41="",AS41="",AR41="-",AS41="-"),"-",AR41-AS41)</f>
        <v>-3.9999999999999992E-3</v>
      </c>
      <c r="AU41" s="41"/>
      <c r="AV41" s="42"/>
      <c r="AW41" s="65" t="str">
        <f>IF(OR(AU41="",AV41="",AU41="-",AV41="-"),"-",AU41-AV41)</f>
        <v>-</v>
      </c>
    </row>
    <row r="42" spans="1:49" x14ac:dyDescent="0.25">
      <c r="A42" s="38" t="s">
        <v>182</v>
      </c>
      <c r="B42" s="42"/>
      <c r="C42" s="42"/>
      <c r="D42" s="10" t="str">
        <f>IF(OR(B42="",C42="",B42="-",C42="-"),"-",B42-C42)</f>
        <v>-</v>
      </c>
      <c r="E42" s="42"/>
      <c r="F42" s="42"/>
      <c r="G42" s="10" t="str">
        <f>IF(OR(E42="",F42="",E42="-",F42="-"),"-",E42-F42)</f>
        <v>-</v>
      </c>
      <c r="H42" s="42">
        <v>-30</v>
      </c>
      <c r="I42" s="42">
        <v>-32</v>
      </c>
      <c r="J42" s="10">
        <f>IF(OR(H42="",I42="",H42="-",I42="-"),"-",H42-I42)</f>
        <v>2</v>
      </c>
      <c r="K42" s="42"/>
      <c r="L42" s="42"/>
      <c r="M42" s="10" t="str">
        <f>IF(OR(K42="",L42="",K42="-",L42="-"),"-",K42-L42)</f>
        <v>-</v>
      </c>
      <c r="N42" s="42">
        <v>-38</v>
      </c>
      <c r="O42" s="42">
        <v>-33</v>
      </c>
      <c r="P42" s="10">
        <f>IF(OR(N42="",O42="",N42="-",O42="-"),"-",N42-O42)</f>
        <v>-5</v>
      </c>
      <c r="Q42" s="42">
        <v>-33</v>
      </c>
      <c r="R42" s="42">
        <v>-30</v>
      </c>
      <c r="S42" s="10">
        <f>IF(OR(Q42="",R42="",Q42="-",R42="-"),"-",Q42-R42)</f>
        <v>-3</v>
      </c>
      <c r="T42" s="42">
        <v>-30</v>
      </c>
      <c r="U42" s="42">
        <v>-30</v>
      </c>
      <c r="V42" s="10">
        <f>IF(OR(T42="",U42="",T42="-",U42="-"),"-",T42-U42)</f>
        <v>0</v>
      </c>
      <c r="W42" s="42">
        <v>-30</v>
      </c>
      <c r="X42" s="42">
        <v>-26</v>
      </c>
      <c r="Y42" s="10">
        <f>IF(OR(W42="",X42="",W42="-",X42="-"),"-",W42-X42)</f>
        <v>-4</v>
      </c>
      <c r="Z42" s="42">
        <v>-29</v>
      </c>
      <c r="AA42" s="42">
        <v>-28</v>
      </c>
      <c r="AB42" s="10">
        <f>IF(OR(Z42="",AA42="",Z42="-",AA42="-"),"-",Z42-AA42)</f>
        <v>-1</v>
      </c>
      <c r="AC42" s="42">
        <v>-28</v>
      </c>
      <c r="AD42" s="42">
        <v>-34</v>
      </c>
      <c r="AE42" s="10">
        <f>IF(OR(AC42="",AD42="",AC42="-",AD42="-"),"-",AC42-AD42)</f>
        <v>6</v>
      </c>
      <c r="AF42" s="42">
        <v>-34</v>
      </c>
      <c r="AG42" s="42">
        <v>-40</v>
      </c>
      <c r="AH42" s="10">
        <f>IF(OR(AF42="",AG42="",AF42="-",AG42="-"),"-",AF42-AG42)</f>
        <v>6</v>
      </c>
      <c r="AI42" s="42">
        <v>-40</v>
      </c>
      <c r="AJ42" s="42">
        <v>-27</v>
      </c>
      <c r="AK42" s="10">
        <f>IF(OR(AI42="",AJ42="",AI42="-",AJ42="-"),"-",AI42-AJ42)</f>
        <v>-13</v>
      </c>
      <c r="AL42" s="42">
        <v>-27</v>
      </c>
      <c r="AM42" s="42">
        <v>-35</v>
      </c>
      <c r="AN42" s="10">
        <f>IF(OR(AL42="",AM42="",AL42="-",AM42="-"),"-",AL42-AM42)</f>
        <v>8</v>
      </c>
      <c r="AO42" s="42">
        <v>-22</v>
      </c>
      <c r="AP42" s="42">
        <v>-32</v>
      </c>
      <c r="AQ42" s="10">
        <f>IF(OR(AO42="",AP42="",AO42="-",AP42="-"),"-",AO42-AP42)</f>
        <v>10</v>
      </c>
      <c r="AR42" s="42">
        <v>-32</v>
      </c>
      <c r="AS42" s="42">
        <v>-18</v>
      </c>
      <c r="AT42" s="10">
        <f>IF(OR(AR42="",AS42="",AR42="-",AS42="-"),"-",AR42-AS42)</f>
        <v>-14</v>
      </c>
      <c r="AU42" s="41"/>
      <c r="AV42" s="42"/>
      <c r="AW42" s="10" t="str">
        <f>IF(OR(AU42="",AV42="",AU42="-",AV42="-"),"-",AU42-AV42)</f>
        <v>-</v>
      </c>
    </row>
    <row r="43" spans="1:49" x14ac:dyDescent="0.25">
      <c r="A43" s="38" t="s">
        <v>183</v>
      </c>
      <c r="B43" s="42"/>
      <c r="C43" s="42"/>
      <c r="D43" s="66" t="str">
        <f>IF(OR(B43="",C43="",B43="-",C43="-"),"-",B43-C43)</f>
        <v>-</v>
      </c>
      <c r="E43" s="42"/>
      <c r="F43" s="42"/>
      <c r="G43" s="66" t="str">
        <f>IF(OR(E43="",F43="",E43="-",F43="-"),"-",E43-F43)</f>
        <v>-</v>
      </c>
      <c r="H43" s="39">
        <v>2E-3</v>
      </c>
      <c r="I43" s="39">
        <v>1E-3</v>
      </c>
      <c r="J43" s="66">
        <f>IF(OR(H43="",I43="",H43="-",I43="-"),"-",H43-I43)</f>
        <v>1E-3</v>
      </c>
      <c r="K43" s="42"/>
      <c r="L43" s="42"/>
      <c r="M43" s="66" t="str">
        <f>IF(OR(K43="",L43="",K43="-",L43="-"),"-",K43-L43)</f>
        <v>-</v>
      </c>
      <c r="N43" s="39">
        <v>4.0000000000000001E-3</v>
      </c>
      <c r="O43" s="39">
        <v>4.0000000000000001E-3</v>
      </c>
      <c r="P43" s="66">
        <f>IF(OR(N43="",O43="",N43="-",O43="-"),"-",N43-O43)</f>
        <v>0</v>
      </c>
      <c r="Q43" s="39">
        <v>4.0000000000000001E-3</v>
      </c>
      <c r="R43" s="39">
        <v>5.0000000000000001E-3</v>
      </c>
      <c r="S43" s="66">
        <f>IF(OR(Q43="",R43="",Q43="-",R43="-"),"-",Q43-R43)</f>
        <v>-1E-3</v>
      </c>
      <c r="T43" s="39">
        <v>4.0000000000000001E-3</v>
      </c>
      <c r="U43" s="39">
        <v>6.0000000000000001E-3</v>
      </c>
      <c r="V43" s="66">
        <f>IF(OR(T43="",U43="",T43="-",U43="-"),"-",T43-U43)</f>
        <v>-2E-3</v>
      </c>
      <c r="W43" s="39">
        <v>6.0000000000000001E-3</v>
      </c>
      <c r="X43" s="39">
        <v>6.0000000000000001E-3</v>
      </c>
      <c r="Y43" s="66">
        <f>IF(OR(W43="",X43="",W43="-",X43="-"),"-",W43-X43)</f>
        <v>0</v>
      </c>
      <c r="Z43" s="39">
        <v>6.0000000000000001E-3</v>
      </c>
      <c r="AA43" s="39">
        <v>4.0000000000000001E-3</v>
      </c>
      <c r="AB43" s="66">
        <f>IF(OR(Z43="",AA43="",Z43="-",AA43="-"),"-",Z43-AA43)</f>
        <v>2E-3</v>
      </c>
      <c r="AC43" s="39">
        <v>2E-3</v>
      </c>
      <c r="AD43" s="40">
        <v>0</v>
      </c>
      <c r="AE43" s="66">
        <f>IF(OR(AC43="",AD43="",AC43="-",AD43="-"),"-",AC43-AD43)</f>
        <v>2E-3</v>
      </c>
      <c r="AF43" s="42">
        <v>0</v>
      </c>
      <c r="AG43" s="42">
        <v>0</v>
      </c>
      <c r="AH43" s="66">
        <f>IF(OR(AF43="",AG43="",AF43="-",AG43="-"),"-",AF43-AG43)</f>
        <v>0</v>
      </c>
      <c r="AI43" s="39">
        <v>1E-3</v>
      </c>
      <c r="AJ43" s="39">
        <v>1E-3</v>
      </c>
      <c r="AK43" s="66">
        <f>IF(OR(AI43="",AJ43="",AI43="-",AJ43="-"),"-",AI43-AJ43)</f>
        <v>0</v>
      </c>
      <c r="AL43" s="39">
        <v>1E-3</v>
      </c>
      <c r="AM43" s="39">
        <v>4.0000000000000001E-3</v>
      </c>
      <c r="AN43" s="66">
        <f>IF(OR(AL43="",AM43="",AL43="-",AM43="-"),"-",AL43-AM43)</f>
        <v>-3.0000000000000001E-3</v>
      </c>
      <c r="AO43" s="39">
        <v>6.0000000000000001E-3</v>
      </c>
      <c r="AP43" s="39">
        <v>8.0000000000000002E-3</v>
      </c>
      <c r="AQ43" s="66">
        <f>IF(OR(AO43="",AP43="",AO43="-",AP43="-"),"-",AO43-AP43)</f>
        <v>-2E-3</v>
      </c>
      <c r="AR43" s="39">
        <v>1.0999999999999999E-2</v>
      </c>
      <c r="AS43" s="40">
        <v>0.01</v>
      </c>
      <c r="AT43" s="66">
        <f>IF(OR(AR43="",AS43="",AR43="-",AS43="-"),"-",AR43-AS43)</f>
        <v>9.9999999999999915E-4</v>
      </c>
      <c r="AU43" s="48">
        <v>7.0000000000000001E-3</v>
      </c>
      <c r="AV43" s="39">
        <v>3.0000000000000001E-3</v>
      </c>
      <c r="AW43" s="66">
        <f>IF(OR(AU43="",AV43="",AU43="-",AV43="-"),"-",AU43-AV43)</f>
        <v>4.0000000000000001E-3</v>
      </c>
    </row>
    <row r="44" spans="1:49" x14ac:dyDescent="0.25">
      <c r="A44" s="38"/>
      <c r="B44" s="42"/>
      <c r="C44" s="42"/>
      <c r="D44" s="20"/>
      <c r="E44" s="42"/>
      <c r="F44" s="42"/>
      <c r="G44" s="20"/>
      <c r="H44" s="42"/>
      <c r="I44" s="42"/>
      <c r="J44" s="20"/>
      <c r="K44" s="42"/>
      <c r="L44" s="42"/>
      <c r="M44" s="20"/>
      <c r="N44" s="42"/>
      <c r="O44" s="42"/>
      <c r="P44" s="20"/>
      <c r="Q44" s="42"/>
      <c r="R44" s="42"/>
      <c r="S44" s="20"/>
      <c r="T44" s="42"/>
      <c r="U44" s="42"/>
      <c r="V44" s="20"/>
      <c r="W44" s="42"/>
      <c r="X44" s="42"/>
      <c r="Y44" s="20"/>
      <c r="Z44" s="42"/>
      <c r="AA44" s="42"/>
      <c r="AB44" s="20"/>
      <c r="AC44" s="42"/>
      <c r="AD44" s="42"/>
      <c r="AE44" s="20"/>
      <c r="AF44" s="42"/>
      <c r="AG44" s="42"/>
      <c r="AH44" s="20"/>
      <c r="AI44" s="42"/>
      <c r="AJ44" s="42"/>
      <c r="AK44" s="20"/>
      <c r="AL44" s="42"/>
      <c r="AM44" s="42"/>
      <c r="AN44" s="20"/>
      <c r="AO44" s="42"/>
      <c r="AP44" s="42"/>
      <c r="AQ44" s="20"/>
      <c r="AR44" s="42"/>
      <c r="AS44" s="42"/>
      <c r="AT44" s="20"/>
      <c r="AU44" s="41"/>
      <c r="AV44" s="42"/>
      <c r="AW44" s="20"/>
    </row>
    <row r="45" spans="1:49" x14ac:dyDescent="0.25">
      <c r="A45" s="2" t="s">
        <v>146</v>
      </c>
      <c r="B45" s="316" t="str">
        <f>IF(AND(D46="-",D47="-",D48="-",D49="-",D50="-",D51="-",D52="-",D53="-",D54="-",D55="-"), "",
    IF(SUM(IF(D46="-", 0, IF(D46&lt;0, -2, IF(D46&gt;0, 2, 0))),
            IF(D47="-", 0, IF(D47&lt;0, -2, IF(D47&gt;0, 2, 0))),
            IF(D48="-", 0, IF(D48&lt;0, -2, IF(D48&gt;0, 2, 0))),
            IF(D49="-", 0, IF(D49&lt;0, -1, IF(D49&gt;0, 1, 0))),
            IF(D50="-", 0, IF(D50&lt;0, -1, IF(D50&gt;0, 1, 0))),
            IF(D51="-", 0, IF(D51&lt;0, -1, IF(D51&gt;0, 1, 0))),
            IF(D52="-", 0, IF(D52&lt;0, -1, IF(D52&gt;0, 1, 0))),
            IF(D53="-", 0, IF(D53&lt;0, -1, IF(D53&gt;0, 1, 0))),
            IF(D54="-", 0, IF(D54&lt;0, -1, IF(D54&gt;0, 1, 0))),
            IF(D55="-", 0, IF(D55&lt;0, -1, IF(D55&gt;0, 1, 0)))) / 13 &gt; 0.1, "BULLISH",
    IF(SUM(IF(D46="-", 0, IF(D46&lt;0, -2, IF(D46&gt;0, 2, 0))),
            IF(D47="-", 0, IF(D47&lt;0, -2, IF(D47&gt;0, 2, 0))),
            IF(D48="-", 0, IF(D48&lt;0, -2, IF(D48&gt;0, 2, 0))),
            IF(D49="-", 0, IF(D49&lt;0, -1, IF(D49&gt;0, 1, 0))),
            IF(D50="-", 0, IF(D50&lt;0, -1, IF(D50&gt;0, 1, 0))),
            IF(D51="-", 0, IF(D51&lt;0, -1, IF(D51&gt;0, 1, 0))),
            IF(D52="-", 0, IF(D52&lt;0, -1, IF(D52&gt;0, 1, 0))),
            IF(D53="-", 0, IF(D53&lt;0, -1, IF(D53&gt;0, 1, 0))),
            IF(D54="-", 0, IF(D54&lt;0, -1, IF(D54&gt;0, 1, 0))),
            IF(D55="-", 0, IF(D55&lt;0, -1, IF(D55&gt;0, 1, 0)))) / 13 &lt; -0.1, "BEARISH",
    IF(SUM(IF(D46="-", 0, IF(D46&lt;0, -2, IF(D46&gt;0, 2, 0))),
            IF(D47="-", 0, IF(D47&lt;0, -2, IF(D47&gt;0, 2, 0))),
            IF(D48="-", 0, IF(D48&lt;0, -2, IF(D48&gt;0, 2, 0))),
            IF(D49="-", 0, IF(D49&lt;0, -1, IF(D49&gt;0, 1, 0))),
            IF(D50="-", 0, IF(D50&lt;0, -1, IF(D50&gt;0, 1, 0))),
            IF(D51="-", 0, IF(D51&lt;0, -1, IF(D51&gt;0, 1, 0))),
            IF(D52="-", 0, IF(D52&lt;0, -1, IF(D52&gt;0, 1, 0))),
            IF(D53="-", 0, IF(D53&lt;0, -1, IF(D53&gt;0, 1, 0))),
            IF(D54="-", 0, IF(D54&lt;0, -1, IF(D54&gt;0, 1, 0))),
            IF(D55="-", 0, IF(D55&lt;0, -1, IF(D55&gt;0, 1, 0)))) / 13 &gt; -0.1, "NEUTRO",
    IF(SUM(IF(D46="-", 0, IF(D46&lt;0, -2, IF(D46&gt;0, 2, 0))),
            IF(D47="-", 0, IF(D47&lt;0, -2, IF(D47&gt;0, 2, 0))),
            IF(D48="-", 0, IF(D48&lt;0, -2, IF(D48&gt;0, 2, 0))),
            IF(D49="-", 0, IF(D49&lt;0, -1, IF(D49&gt;0, 1, 0))),
            IF(D50="-", 0, IF(D50&lt;0, -1, IF(D50&gt;0, 1, 0))),
            IF(D51="-", 0, IF(D51&lt;0, -1, IF(D51&gt;0, 1, 0))),
            IF(D52="-", 0, IF(D52&lt;0, -1, IF(D52&gt;0, 1, 0))),
            IF(D53="-", 0, IF(D53&lt;0, -1, IF(D53&gt;0, 1, 0))),
            IF(D54="-", 0, IF(D54&lt;0, -1, IF(D54&gt;0, 1, 0))),
            IF(D55="-", 0, IF(D55&lt;0, -1, IF(D55&gt;0, 1, 0)))) / 13 &lt; 0.1, "NEUTRO",
    "")))))</f>
        <v/>
      </c>
      <c r="C45" s="317"/>
      <c r="D45" s="318"/>
      <c r="E45" s="316" t="str">
        <f>IF(AND(G46="-",G47="-",G48="-",G49="-",G50="-",G51="-",G52="-",G53="-",G54="-",G55="-"), "",
    IF(SUM(IF(G46="-", 0, IF(G46&lt;0, -2, IF(G46&gt;0, 2, 0))),
            IF(G47="-", 0, IF(G47&lt;0, -2, IF(G47&gt;0, 2, 0))),
            IF(G48="-", 0, IF(G48&lt;0, -2, IF(G48&gt;0, 2, 0))),
            IF(G49="-", 0, IF(G49&lt;0, -1, IF(G49&gt;0, 1, 0))),
            IF(G50="-", 0, IF(G50&lt;0, -1, IF(G50&gt;0, 1, 0))),
            IF(G51="-", 0, IF(G51&lt;0, -1, IF(G51&gt;0, 1, 0))),
            IF(G52="-", 0, IF(G52&lt;0, -1, IF(G52&gt;0, 1, 0))),
            IF(G53="-", 0, IF(G53&lt;0, -1, IF(G53&gt;0, 1, 0))),
            IF(G54="-", 0, IF(G54&lt;0, -1, IF(G54&gt;0, 1, 0))),
            IF(G55="-", 0, IF(G55&lt;0, -1, IF(G55&gt;0, 1, 0)))) / 13 &gt; 0.1, "BULLISH",
    IF(SUM(IF(G46="-", 0, IF(G46&lt;0, -2, IF(G46&gt;0, 2, 0))),
            IF(G47="-", 0, IF(G47&lt;0, -2, IF(G47&gt;0, 2, 0))),
            IF(G48="-", 0, IF(G48&lt;0, -2, IF(G48&gt;0, 2, 0))),
            IF(G49="-", 0, IF(G49&lt;0, -1, IF(G49&gt;0, 1, 0))),
            IF(G50="-", 0, IF(G50&lt;0, -1, IF(G50&gt;0, 1, 0))),
            IF(G51="-", 0, IF(G51&lt;0, -1, IF(G51&gt;0, 1, 0))),
            IF(G52="-", 0, IF(G52&lt;0, -1, IF(G52&gt;0, 1, 0))),
            IF(G53="-", 0, IF(G53&lt;0, -1, IF(G53&gt;0, 1, 0))),
            IF(G54="-", 0, IF(G54&lt;0, -1, IF(G54&gt;0, 1, 0))),
            IF(G55="-", 0, IF(G55&lt;0, -1, IF(G55&gt;0, 1, 0)))) / 13 &lt; -0.1, "BEARISH",
    IF(SUM(IF(G46="-", 0, IF(G46&lt;0, -2, IF(G46&gt;0, 2, 0))),
            IF(G47="-", 0, IF(G47&lt;0, -2, IF(G47&gt;0, 2, 0))),
            IF(G48="-", 0, IF(G48&lt;0, -2, IF(G48&gt;0, 2, 0))),
            IF(G49="-", 0, IF(G49&lt;0, -1, IF(G49&gt;0, 1, 0))),
            IF(G50="-", 0, IF(G50&lt;0, -1, IF(G50&gt;0, 1, 0))),
            IF(G51="-", 0, IF(G51&lt;0, -1, IF(G51&gt;0, 1, 0))),
            IF(G52="-", 0, IF(G52&lt;0, -1, IF(G52&gt;0, 1, 0))),
            IF(G53="-", 0, IF(G53&lt;0, -1, IF(G53&gt;0, 1, 0))),
            IF(G54="-", 0, IF(G54&lt;0, -1, IF(G54&gt;0, 1, 0))),
            IF(G55="-", 0, IF(G55&lt;0, -1, IF(G55&gt;0, 1, 0)))) / 13 &gt; -0.1, "NEUTRO",
    IF(SUM(IF(G46="-", 0, IF(G46&lt;0, -2, IF(G46&gt;0, 2, 0))),
            IF(G47="-", 0, IF(G47&lt;0, -2, IF(G47&gt;0, 2, 0))),
            IF(G48="-", 0, IF(G48&lt;0, -2, IF(G48&gt;0, 2, 0))),
            IF(G49="-", 0, IF(G49&lt;0, -1, IF(G49&gt;0, 1, 0))),
            IF(G50="-", 0, IF(G50&lt;0, -1, IF(G50&gt;0, 1, 0))),
            IF(G51="-", 0, IF(G51&lt;0, -1, IF(G51&gt;0, 1, 0))),
            IF(G52="-", 0, IF(G52&lt;0, -1, IF(G52&gt;0, 1, 0))),
            IF(G53="-", 0, IF(G53&lt;0, -1, IF(G53&gt;0, 1, 0))),
            IF(G54="-", 0, IF(G54&lt;0, -1, IF(G54&gt;0, 1, 0))),
            IF(G55="-", 0, IF(G55&lt;0, -1, IF(G55&gt;0, 1, 0)))) / 13 &lt; 0.1, "NEUTRO",
    "")))))</f>
        <v>NEUTRO</v>
      </c>
      <c r="F45" s="317"/>
      <c r="G45" s="318"/>
      <c r="H45" s="316" t="str">
        <f>IF(AND(J46="-",J47="-",J48="-",J49="-",J50="-",J51="-",J52="-",J53="-",J54="-",J55="-"), "",
    IF(SUM(IF(J46="-", 0, IF(J46&lt;0, -2, IF(J46&gt;0, 2, 0))),
            IF(J47="-", 0, IF(J47&lt;0, -2, IF(J47&gt;0, 2, 0))),
            IF(J48="-", 0, IF(J48&lt;0, -2, IF(J48&gt;0, 2, 0))),
            IF(J49="-", 0, IF(J49&lt;0, -1, IF(J49&gt;0, 1, 0))),
            IF(J50="-", 0, IF(J50&lt;0, -1, IF(J50&gt;0, 1, 0))),
            IF(J51="-", 0, IF(J51&lt;0, -1, IF(J51&gt;0, 1, 0))),
            IF(J52="-", 0, IF(J52&lt;0, -1, IF(J52&gt;0, 1, 0))),
            IF(J53="-", 0, IF(J53&lt;0, -1, IF(J53&gt;0, 1, 0))),
            IF(J54="-", 0, IF(J54&lt;0, -1, IF(J54&gt;0, 1, 0))),
            IF(J55="-", 0, IF(J55&lt;0, -1, IF(J55&gt;0, 1, 0)))) / 13 &gt; 0.1, "BULLISH",
    IF(SUM(IF(J46="-", 0, IF(J46&lt;0, -2, IF(J46&gt;0, 2, 0))),
            IF(J47="-", 0, IF(J47&lt;0, -2, IF(J47&gt;0, 2, 0))),
            IF(J48="-", 0, IF(J48&lt;0, -2, IF(J48&gt;0, 2, 0))),
            IF(J49="-", 0, IF(J49&lt;0, -1, IF(J49&gt;0, 1, 0))),
            IF(J50="-", 0, IF(J50&lt;0, -1, IF(J50&gt;0, 1, 0))),
            IF(J51="-", 0, IF(J51&lt;0, -1, IF(J51&gt;0, 1, 0))),
            IF(J52="-", 0, IF(J52&lt;0, -1, IF(J52&gt;0, 1, 0))),
            IF(J53="-", 0, IF(J53&lt;0, -1, IF(J53&gt;0, 1, 0))),
            IF(J54="-", 0, IF(J54&lt;0, -1, IF(J54&gt;0, 1, 0))),
            IF(J55="-", 0, IF(J55&lt;0, -1, IF(J55&gt;0, 1, 0)))) / 13 &lt; -0.1, "BEARISH",
    IF(SUM(IF(J46="-", 0, IF(J46&lt;0, -2, IF(J46&gt;0, 2, 0))),
            IF(J47="-", 0, IF(J47&lt;0, -2, IF(J47&gt;0, 2, 0))),
            IF(J48="-", 0, IF(J48&lt;0, -2, IF(J48&gt;0, 2, 0))),
            IF(J49="-", 0, IF(J49&lt;0, -1, IF(J49&gt;0, 1, 0))),
            IF(J50="-", 0, IF(J50&lt;0, -1, IF(J50&gt;0, 1, 0))),
            IF(J51="-", 0, IF(J51&lt;0, -1, IF(J51&gt;0, 1, 0))),
            IF(J52="-", 0, IF(J52&lt;0, -1, IF(J52&gt;0, 1, 0))),
            IF(J53="-", 0, IF(J53&lt;0, -1, IF(J53&gt;0, 1, 0))),
            IF(J54="-", 0, IF(J54&lt;0, -1, IF(J54&gt;0, 1, 0))),
            IF(J55="-", 0, IF(J55&lt;0, -1, IF(J55&gt;0, 1, 0)))) / 13 &gt; -0.1, "NEUTRO",
    IF(SUM(IF(J46="-", 0, IF(J46&lt;0, -2, IF(J46&gt;0, 2, 0))),
            IF(J47="-", 0, IF(J47&lt;0, -2, IF(J47&gt;0, 2, 0))),
            IF(J48="-", 0, IF(J48&lt;0, -2, IF(J48&gt;0, 2, 0))),
            IF(J49="-", 0, IF(J49&lt;0, -1, IF(J49&gt;0, 1, 0))),
            IF(J50="-", 0, IF(J50&lt;0, -1, IF(J50&gt;0, 1, 0))),
            IF(J51="-", 0, IF(J51&lt;0, -1, IF(J51&gt;0, 1, 0))),
            IF(J52="-", 0, IF(J52&lt;0, -1, IF(J52&gt;0, 1, 0))),
            IF(J53="-", 0, IF(J53&lt;0, -1, IF(J53&gt;0, 1, 0))),
            IF(J54="-", 0, IF(J54&lt;0, -1, IF(J54&gt;0, 1, 0))),
            IF(J55="-", 0, IF(J55&lt;0, -1, IF(J55&gt;0, 1, 0)))) / 13 &lt; 0.1, "NEUTRO",
    "")))))</f>
        <v>BULLISH</v>
      </c>
      <c r="I45" s="317"/>
      <c r="J45" s="318"/>
      <c r="K45" s="316" t="str">
        <f>IF(AND(M46="-",M47="-",M48="-",M49="-",M50="-",M51="-",M52="-",M53="-",M54="-",M55="-"), "",
    IF(SUM(IF(M46="-", 0, IF(M46&lt;0, -2, IF(M46&gt;0, 2, 0))),
            IF(M47="-", 0, IF(M47&lt;0, -2, IF(M47&gt;0, 2, 0))),
            IF(M48="-", 0, IF(M48&lt;0, -2, IF(M48&gt;0, 2, 0))),
            IF(M49="-", 0, IF(M49&lt;0, -1, IF(M49&gt;0, 1, 0))),
            IF(M50="-", 0, IF(M50&lt;0, -1, IF(M50&gt;0, 1, 0))),
            IF(M51="-", 0, IF(M51&lt;0, -1, IF(M51&gt;0, 1, 0))),
            IF(M52="-", 0, IF(M52&lt;0, -1, IF(M52&gt;0, 1, 0))),
            IF(M53="-", 0, IF(M53&lt;0, -1, IF(M53&gt;0, 1, 0))),
            IF(M54="-", 0, IF(M54&lt;0, -1, IF(M54&gt;0, 1, 0))),
            IF(M55="-", 0, IF(M55&lt;0, -1, IF(M55&gt;0, 1, 0)))) / 13 &gt; 0.1, "BULLISH",
    IF(SUM(IF(M46="-", 0, IF(M46&lt;0, -2, IF(M46&gt;0, 2, 0))),
            IF(M47="-", 0, IF(M47&lt;0, -2, IF(M47&gt;0, 2, 0))),
            IF(M48="-", 0, IF(M48&lt;0, -2, IF(M48&gt;0, 2, 0))),
            IF(M49="-", 0, IF(M49&lt;0, -1, IF(M49&gt;0, 1, 0))),
            IF(M50="-", 0, IF(M50&lt;0, -1, IF(M50&gt;0, 1, 0))),
            IF(M51="-", 0, IF(M51&lt;0, -1, IF(M51&gt;0, 1, 0))),
            IF(M52="-", 0, IF(M52&lt;0, -1, IF(M52&gt;0, 1, 0))),
            IF(M53="-", 0, IF(M53&lt;0, -1, IF(M53&gt;0, 1, 0))),
            IF(M54="-", 0, IF(M54&lt;0, -1, IF(M54&gt;0, 1, 0))),
            IF(M55="-", 0, IF(M55&lt;0, -1, IF(M55&gt;0, 1, 0)))) / 13 &lt; -0.1, "BEARISH",
    IF(SUM(IF(M46="-", 0, IF(M46&lt;0, -2, IF(M46&gt;0, 2, 0))),
            IF(M47="-", 0, IF(M47&lt;0, -2, IF(M47&gt;0, 2, 0))),
            IF(M48="-", 0, IF(M48&lt;0, -2, IF(M48&gt;0, 2, 0))),
            IF(M49="-", 0, IF(M49&lt;0, -1, IF(M49&gt;0, 1, 0))),
            IF(M50="-", 0, IF(M50&lt;0, -1, IF(M50&gt;0, 1, 0))),
            IF(M51="-", 0, IF(M51&lt;0, -1, IF(M51&gt;0, 1, 0))),
            IF(M52="-", 0, IF(M52&lt;0, -1, IF(M52&gt;0, 1, 0))),
            IF(M53="-", 0, IF(M53&lt;0, -1, IF(M53&gt;0, 1, 0))),
            IF(M54="-", 0, IF(M54&lt;0, -1, IF(M54&gt;0, 1, 0))),
            IF(M55="-", 0, IF(M55&lt;0, -1, IF(M55&gt;0, 1, 0)))) / 13 &gt; -0.1, "NEUTRO",
    IF(SUM(IF(M46="-", 0, IF(M46&lt;0, -2, IF(M46&gt;0, 2, 0))),
            IF(M47="-", 0, IF(M47&lt;0, -2, IF(M47&gt;0, 2, 0))),
            IF(M48="-", 0, IF(M48&lt;0, -2, IF(M48&gt;0, 2, 0))),
            IF(M49="-", 0, IF(M49&lt;0, -1, IF(M49&gt;0, 1, 0))),
            IF(M50="-", 0, IF(M50&lt;0, -1, IF(M50&gt;0, 1, 0))),
            IF(M51="-", 0, IF(M51&lt;0, -1, IF(M51&gt;0, 1, 0))),
            IF(M52="-", 0, IF(M52&lt;0, -1, IF(M52&gt;0, 1, 0))),
            IF(M53="-", 0, IF(M53&lt;0, -1, IF(M53&gt;0, 1, 0))),
            IF(M54="-", 0, IF(M54&lt;0, -1, IF(M54&gt;0, 1, 0))),
            IF(M55="-", 0, IF(M55&lt;0, -1, IF(M55&gt;0, 1, 0)))) / 13 &lt; 0.1, "NEUTRO",
    "")))))</f>
        <v>NEUTRO</v>
      </c>
      <c r="L45" s="317"/>
      <c r="M45" s="318"/>
      <c r="N45" s="316" t="str">
        <f>IF(AND(P46="-",P47="-",P48="-",P49="-",P50="-",P51="-",P52="-",P53="-",P54="-",P55="-"), "",
    IF(SUM(IF(P46="-", 0, IF(P46&lt;0, -2, IF(P46&gt;0, 2, 0))),
            IF(P47="-", 0, IF(P47&lt;0, -2, IF(P47&gt;0, 2, 0))),
            IF(P48="-", 0, IF(P48&lt;0, -2, IF(P48&gt;0, 2, 0))),
            IF(P49="-", 0, IF(P49&lt;0, -1, IF(P49&gt;0, 1, 0))),
            IF(P50="-", 0, IF(P50&lt;0, -1, IF(P50&gt;0, 1, 0))),
            IF(P51="-", 0, IF(P51&lt;0, -1, IF(P51&gt;0, 1, 0))),
            IF(P52="-", 0, IF(P52&lt;0, -1, IF(P52&gt;0, 1, 0))),
            IF(P53="-", 0, IF(P53&lt;0, -1, IF(P53&gt;0, 1, 0))),
            IF(P54="-", 0, IF(P54&lt;0, -1, IF(P54&gt;0, 1, 0))),
            IF(P55="-", 0, IF(P55&lt;0, -1, IF(P55&gt;0, 1, 0)))) / 13 &gt; 0.1, "BULLISH",
    IF(SUM(IF(P46="-", 0, IF(P46&lt;0, -2, IF(P46&gt;0, 2, 0))),
            IF(P47="-", 0, IF(P47&lt;0, -2, IF(P47&gt;0, 2, 0))),
            IF(P48="-", 0, IF(P48&lt;0, -2, IF(P48&gt;0, 2, 0))),
            IF(P49="-", 0, IF(P49&lt;0, -1, IF(P49&gt;0, 1, 0))),
            IF(P50="-", 0, IF(P50&lt;0, -1, IF(P50&gt;0, 1, 0))),
            IF(P51="-", 0, IF(P51&lt;0, -1, IF(P51&gt;0, 1, 0))),
            IF(P52="-", 0, IF(P52&lt;0, -1, IF(P52&gt;0, 1, 0))),
            IF(P53="-", 0, IF(P53&lt;0, -1, IF(P53&gt;0, 1, 0))),
            IF(P54="-", 0, IF(P54&lt;0, -1, IF(P54&gt;0, 1, 0))),
            IF(P55="-", 0, IF(P55&lt;0, -1, IF(P55&gt;0, 1, 0)))) / 13 &lt; -0.1, "BEARISH",
    IF(SUM(IF(P46="-", 0, IF(P46&lt;0, -2, IF(P46&gt;0, 2, 0))),
            IF(P47="-", 0, IF(P47&lt;0, -2, IF(P47&gt;0, 2, 0))),
            IF(P48="-", 0, IF(P48&lt;0, -2, IF(P48&gt;0, 2, 0))),
            IF(P49="-", 0, IF(P49&lt;0, -1, IF(P49&gt;0, 1, 0))),
            IF(P50="-", 0, IF(P50&lt;0, -1, IF(P50&gt;0, 1, 0))),
            IF(P51="-", 0, IF(P51&lt;0, -1, IF(P51&gt;0, 1, 0))),
            IF(P52="-", 0, IF(P52&lt;0, -1, IF(P52&gt;0, 1, 0))),
            IF(P53="-", 0, IF(P53&lt;0, -1, IF(P53&gt;0, 1, 0))),
            IF(P54="-", 0, IF(P54&lt;0, -1, IF(P54&gt;0, 1, 0))),
            IF(P55="-", 0, IF(P55&lt;0, -1, IF(P55&gt;0, 1, 0)))) / 13 &gt; -0.1, "NEUTRO",
    IF(SUM(IF(P46="-", 0, IF(P46&lt;0, -2, IF(P46&gt;0, 2, 0))),
            IF(P47="-", 0, IF(P47&lt;0, -2, IF(P47&gt;0, 2, 0))),
            IF(P48="-", 0, IF(P48&lt;0, -2, IF(P48&gt;0, 2, 0))),
            IF(P49="-", 0, IF(P49&lt;0, -1, IF(P49&gt;0, 1, 0))),
            IF(P50="-", 0, IF(P50&lt;0, -1, IF(P50&gt;0, 1, 0))),
            IF(P51="-", 0, IF(P51&lt;0, -1, IF(P51&gt;0, 1, 0))),
            IF(P52="-", 0, IF(P52&lt;0, -1, IF(P52&gt;0, 1, 0))),
            IF(P53="-", 0, IF(P53&lt;0, -1, IF(P53&gt;0, 1, 0))),
            IF(P54="-", 0, IF(P54&lt;0, -1, IF(P54&gt;0, 1, 0))),
            IF(P55="-", 0, IF(P55&lt;0, -1, IF(P55&gt;0, 1, 0)))) / 13 &lt; 0.1, "NEUTRO",
    "")))))</f>
        <v>BEARISH</v>
      </c>
      <c r="O45" s="317"/>
      <c r="P45" s="318"/>
      <c r="Q45" s="316" t="str">
        <f>IF(AND(S46="-",S47="-",S48="-",S49="-",S50="-",S51="-",S52="-",S53="-",S54="-",S55="-"), "",
    IF(SUM(IF(S46="-", 0, IF(S46&lt;0, -2, IF(S46&gt;0, 2, 0))),
            IF(S47="-", 0, IF(S47&lt;0, -2, IF(S47&gt;0, 2, 0))),
            IF(S48="-", 0, IF(S48&lt;0, -2, IF(S48&gt;0, 2, 0))),
            IF(S49="-", 0, IF(S49&lt;0, -1, IF(S49&gt;0, 1, 0))),
            IF(S50="-", 0, IF(S50&lt;0, -1, IF(S50&gt;0, 1, 0))),
            IF(S51="-", 0, IF(S51&lt;0, -1, IF(S51&gt;0, 1, 0))),
            IF(S52="-", 0, IF(S52&lt;0, -1, IF(S52&gt;0, 1, 0))),
            IF(S53="-", 0, IF(S53&lt;0, -1, IF(S53&gt;0, 1, 0))),
            IF(S54="-", 0, IF(S54&lt;0, -1, IF(S54&gt;0, 1, 0))),
            IF(S55="-", 0, IF(S55&lt;0, -1, IF(S55&gt;0, 1, 0)))) / 13 &gt; 0.1, "BULLISH",
    IF(SUM(IF(S46="-", 0, IF(S46&lt;0, -2, IF(S46&gt;0, 2, 0))),
            IF(S47="-", 0, IF(S47&lt;0, -2, IF(S47&gt;0, 2, 0))),
            IF(S48="-", 0, IF(S48&lt;0, -2, IF(S48&gt;0, 2, 0))),
            IF(S49="-", 0, IF(S49&lt;0, -1, IF(S49&gt;0, 1, 0))),
            IF(S50="-", 0, IF(S50&lt;0, -1, IF(S50&gt;0, 1, 0))),
            IF(S51="-", 0, IF(S51&lt;0, -1, IF(S51&gt;0, 1, 0))),
            IF(S52="-", 0, IF(S52&lt;0, -1, IF(S52&gt;0, 1, 0))),
            IF(S53="-", 0, IF(S53&lt;0, -1, IF(S53&gt;0, 1, 0))),
            IF(S54="-", 0, IF(S54&lt;0, -1, IF(S54&gt;0, 1, 0))),
            IF(S55="-", 0, IF(S55&lt;0, -1, IF(S55&gt;0, 1, 0)))) / 13 &lt; -0.1, "BEARISH",
    IF(SUM(IF(S46="-", 0, IF(S46&lt;0, -2, IF(S46&gt;0, 2, 0))),
            IF(S47="-", 0, IF(S47&lt;0, -2, IF(S47&gt;0, 2, 0))),
            IF(S48="-", 0, IF(S48&lt;0, -2, IF(S48&gt;0, 2, 0))),
            IF(S49="-", 0, IF(S49&lt;0, -1, IF(S49&gt;0, 1, 0))),
            IF(S50="-", 0, IF(S50&lt;0, -1, IF(S50&gt;0, 1, 0))),
            IF(S51="-", 0, IF(S51&lt;0, -1, IF(S51&gt;0, 1, 0))),
            IF(S52="-", 0, IF(S52&lt;0, -1, IF(S52&gt;0, 1, 0))),
            IF(S53="-", 0, IF(S53&lt;0, -1, IF(S53&gt;0, 1, 0))),
            IF(S54="-", 0, IF(S54&lt;0, -1, IF(S54&gt;0, 1, 0))),
            IF(S55="-", 0, IF(S55&lt;0, -1, IF(S55&gt;0, 1, 0)))) / 13 &gt; -0.1, "NEUTRO",
    IF(SUM(IF(S46="-", 0, IF(S46&lt;0, -2, IF(S46&gt;0, 2, 0))),
            IF(S47="-", 0, IF(S47&lt;0, -2, IF(S47&gt;0, 2, 0))),
            IF(S48="-", 0, IF(S48&lt;0, -2, IF(S48&gt;0, 2, 0))),
            IF(S49="-", 0, IF(S49&lt;0, -1, IF(S49&gt;0, 1, 0))),
            IF(S50="-", 0, IF(S50&lt;0, -1, IF(S50&gt;0, 1, 0))),
            IF(S51="-", 0, IF(S51&lt;0, -1, IF(S51&gt;0, 1, 0))),
            IF(S52="-", 0, IF(S52&lt;0, -1, IF(S52&gt;0, 1, 0))),
            IF(S53="-", 0, IF(S53&lt;0, -1, IF(S53&gt;0, 1, 0))),
            IF(S54="-", 0, IF(S54&lt;0, -1, IF(S54&gt;0, 1, 0))),
            IF(S55="-", 0, IF(S55&lt;0, -1, IF(S55&gt;0, 1, 0)))) / 13 &lt; 0.1, "NEUTRO",
    "")))))</f>
        <v>BULLISH</v>
      </c>
      <c r="R45" s="317"/>
      <c r="S45" s="318"/>
      <c r="T45" s="316" t="str">
        <f>IF(AND(V46="-",V47="-",V48="-",V49="-",V50="-",V51="-",V52="-",V53="-",V54="-",V55="-"), "",
    IF(SUM(IF(V46="-", 0, IF(V46&lt;0, -2, IF(V46&gt;0, 2, 0))),
            IF(V47="-", 0, IF(V47&lt;0, -2, IF(V47&gt;0, 2, 0))),
            IF(V48="-", 0, IF(V48&lt;0, -2, IF(V48&gt;0, 2, 0))),
            IF(V49="-", 0, IF(V49&lt;0, -1, IF(V49&gt;0, 1, 0))),
            IF(V50="-", 0, IF(V50&lt;0, -1, IF(V50&gt;0, 1, 0))),
            IF(V51="-", 0, IF(V51&lt;0, -1, IF(V51&gt;0, 1, 0))),
            IF(V52="-", 0, IF(V52&lt;0, -1, IF(V52&gt;0, 1, 0))),
            IF(V53="-", 0, IF(V53&lt;0, -1, IF(V53&gt;0, 1, 0))),
            IF(V54="-", 0, IF(V54&lt;0, -1, IF(V54&gt;0, 1, 0))),
            IF(V55="-", 0, IF(V55&lt;0, -1, IF(V55&gt;0, 1, 0)))) / 13 &gt; 0.1, "BULLISH",
    IF(SUM(IF(V46="-", 0, IF(V46&lt;0, -2, IF(V46&gt;0, 2, 0))),
            IF(V47="-", 0, IF(V47&lt;0, -2, IF(V47&gt;0, 2, 0))),
            IF(V48="-", 0, IF(V48&lt;0, -2, IF(V48&gt;0, 2, 0))),
            IF(V49="-", 0, IF(V49&lt;0, -1, IF(V49&gt;0, 1, 0))),
            IF(V50="-", 0, IF(V50&lt;0, -1, IF(V50&gt;0, 1, 0))),
            IF(V51="-", 0, IF(V51&lt;0, -1, IF(V51&gt;0, 1, 0))),
            IF(V52="-", 0, IF(V52&lt;0, -1, IF(V52&gt;0, 1, 0))),
            IF(V53="-", 0, IF(V53&lt;0, -1, IF(V53&gt;0, 1, 0))),
            IF(V54="-", 0, IF(V54&lt;0, -1, IF(V54&gt;0, 1, 0))),
            IF(V55="-", 0, IF(V55&lt;0, -1, IF(V55&gt;0, 1, 0)))) / 13 &lt; -0.1, "BEARISH",
    IF(SUM(IF(V46="-", 0, IF(V46&lt;0, -2, IF(V46&gt;0, 2, 0))),
            IF(V47="-", 0, IF(V47&lt;0, -2, IF(V47&gt;0, 2, 0))),
            IF(V48="-", 0, IF(V48&lt;0, -2, IF(V48&gt;0, 2, 0))),
            IF(V49="-", 0, IF(V49&lt;0, -1, IF(V49&gt;0, 1, 0))),
            IF(V50="-", 0, IF(V50&lt;0, -1, IF(V50&gt;0, 1, 0))),
            IF(V51="-", 0, IF(V51&lt;0, -1, IF(V51&gt;0, 1, 0))),
            IF(V52="-", 0, IF(V52&lt;0, -1, IF(V52&gt;0, 1, 0))),
            IF(V53="-", 0, IF(V53&lt;0, -1, IF(V53&gt;0, 1, 0))),
            IF(V54="-", 0, IF(V54&lt;0, -1, IF(V54&gt;0, 1, 0))),
            IF(V55="-", 0, IF(V55&lt;0, -1, IF(V55&gt;0, 1, 0)))) / 13 &gt; -0.1, "NEUTRO",
    IF(SUM(IF(V46="-", 0, IF(V46&lt;0, -2, IF(V46&gt;0, 2, 0))),
            IF(V47="-", 0, IF(V47&lt;0, -2, IF(V47&gt;0, 2, 0))),
            IF(V48="-", 0, IF(V48&lt;0, -2, IF(V48&gt;0, 2, 0))),
            IF(V49="-", 0, IF(V49&lt;0, -1, IF(V49&gt;0, 1, 0))),
            IF(V50="-", 0, IF(V50&lt;0, -1, IF(V50&gt;0, 1, 0))),
            IF(V51="-", 0, IF(V51&lt;0, -1, IF(V51&gt;0, 1, 0))),
            IF(V52="-", 0, IF(V52&lt;0, -1, IF(V52&gt;0, 1, 0))),
            IF(V53="-", 0, IF(V53&lt;0, -1, IF(V53&gt;0, 1, 0))),
            IF(V54="-", 0, IF(V54&lt;0, -1, IF(V54&gt;0, 1, 0))),
            IF(V55="-", 0, IF(V55&lt;0, -1, IF(V55&gt;0, 1, 0)))) / 13 &lt; 0.1, "NEUTRO",
    "")))))</f>
        <v>NEUTRO</v>
      </c>
      <c r="U45" s="317"/>
      <c r="V45" s="318"/>
      <c r="W45" s="316" t="str">
        <f>IF(AND(Y46="-",Y47="-",Y48="-",Y49="-",Y50="-",Y51="-",Y52="-",Y53="-",Y54="-",Y55="-"), "",
    IF(SUM(IF(Y46="-", 0, IF(Y46&lt;0, -2, IF(Y46&gt;0, 2, 0))),
            IF(Y47="-", 0, IF(Y47&lt;0, -2, IF(Y47&gt;0, 2, 0))),
            IF(Y48="-", 0, IF(Y48&lt;0, -2, IF(Y48&gt;0, 2, 0))),
            IF(Y49="-", 0, IF(Y49&lt;0, -1, IF(Y49&gt;0, 1, 0))),
            IF(Y50="-", 0, IF(Y50&lt;0, -1, IF(Y50&gt;0, 1, 0))),
            IF(Y51="-", 0, IF(Y51&lt;0, -1, IF(Y51&gt;0, 1, 0))),
            IF(Y52="-", 0, IF(Y52&lt;0, -1, IF(Y52&gt;0, 1, 0))),
            IF(Y53="-", 0, IF(Y53&lt;0, -1, IF(Y53&gt;0, 1, 0))),
            IF(Y54="-", 0, IF(Y54&lt;0, -1, IF(Y54&gt;0, 1, 0))),
            IF(Y55="-", 0, IF(Y55&lt;0, -1, IF(Y55&gt;0, 1, 0)))) / 13 &gt; 0.1, "BULLISH",
    IF(SUM(IF(Y46="-", 0, IF(Y46&lt;0, -2, IF(Y46&gt;0, 2, 0))),
            IF(Y47="-", 0, IF(Y47&lt;0, -2, IF(Y47&gt;0, 2, 0))),
            IF(Y48="-", 0, IF(Y48&lt;0, -2, IF(Y48&gt;0, 2, 0))),
            IF(Y49="-", 0, IF(Y49&lt;0, -1, IF(Y49&gt;0, 1, 0))),
            IF(Y50="-", 0, IF(Y50&lt;0, -1, IF(Y50&gt;0, 1, 0))),
            IF(Y51="-", 0, IF(Y51&lt;0, -1, IF(Y51&gt;0, 1, 0))),
            IF(Y52="-", 0, IF(Y52&lt;0, -1, IF(Y52&gt;0, 1, 0))),
            IF(Y53="-", 0, IF(Y53&lt;0, -1, IF(Y53&gt;0, 1, 0))),
            IF(Y54="-", 0, IF(Y54&lt;0, -1, IF(Y54&gt;0, 1, 0))),
            IF(Y55="-", 0, IF(Y55&lt;0, -1, IF(Y55&gt;0, 1, 0)))) / 13 &lt; -0.1, "BEARISH",
    IF(SUM(IF(Y46="-", 0, IF(Y46&lt;0, -2, IF(Y46&gt;0, 2, 0))),
            IF(Y47="-", 0, IF(Y47&lt;0, -2, IF(Y47&gt;0, 2, 0))),
            IF(Y48="-", 0, IF(Y48&lt;0, -2, IF(Y48&gt;0, 2, 0))),
            IF(Y49="-", 0, IF(Y49&lt;0, -1, IF(Y49&gt;0, 1, 0))),
            IF(Y50="-", 0, IF(Y50&lt;0, -1, IF(Y50&gt;0, 1, 0))),
            IF(Y51="-", 0, IF(Y51&lt;0, -1, IF(Y51&gt;0, 1, 0))),
            IF(Y52="-", 0, IF(Y52&lt;0, -1, IF(Y52&gt;0, 1, 0))),
            IF(Y53="-", 0, IF(Y53&lt;0, -1, IF(Y53&gt;0, 1, 0))),
            IF(Y54="-", 0, IF(Y54&lt;0, -1, IF(Y54&gt;0, 1, 0))),
            IF(Y55="-", 0, IF(Y55&lt;0, -1, IF(Y55&gt;0, 1, 0)))) / 13 &gt; -0.1, "NEUTRO",
    IF(SUM(IF(Y46="-", 0, IF(Y46&lt;0, -2, IF(Y46&gt;0, 2, 0))),
            IF(Y47="-", 0, IF(Y47&lt;0, -2, IF(Y47&gt;0, 2, 0))),
            IF(Y48="-", 0, IF(Y48&lt;0, -2, IF(Y48&gt;0, 2, 0))),
            IF(Y49="-", 0, IF(Y49&lt;0, -1, IF(Y49&gt;0, 1, 0))),
            IF(Y50="-", 0, IF(Y50&lt;0, -1, IF(Y50&gt;0, 1, 0))),
            IF(Y51="-", 0, IF(Y51&lt;0, -1, IF(Y51&gt;0, 1, 0))),
            IF(Y52="-", 0, IF(Y52&lt;0, -1, IF(Y52&gt;0, 1, 0))),
            IF(Y53="-", 0, IF(Y53&lt;0, -1, IF(Y53&gt;0, 1, 0))),
            IF(Y54="-", 0, IF(Y54&lt;0, -1, IF(Y54&gt;0, 1, 0))),
            IF(Y55="-", 0, IF(Y55&lt;0, -1, IF(Y55&gt;0, 1, 0)))) / 13 &lt; 0.1, "NEUTRO",
    "")))))</f>
        <v>BEARISH</v>
      </c>
      <c r="X45" s="317"/>
      <c r="Y45" s="318"/>
      <c r="Z45" s="316" t="str">
        <f>IF(AND(AB46="-",AB47="-",AB48="-",AB49="-",AB50="-",AB51="-",AB52="-",AB53="-",AB54="-",AB55="-"), "",
    IF(SUM(IF(AB46="-", 0, IF(AB46&lt;0, -2, IF(AB46&gt;0, 2, 0))),
            IF(AB47="-", 0, IF(AB47&lt;0, -2, IF(AB47&gt;0, 2, 0))),
            IF(AB48="-", 0, IF(AB48&lt;0, -2, IF(AB48&gt;0, 2, 0))),
            IF(AB49="-", 0, IF(AB49&lt;0, -1, IF(AB49&gt;0, 1, 0))),
            IF(AB50="-", 0, IF(AB50&lt;0, -1, IF(AB50&gt;0, 1, 0))),
            IF(AB51="-", 0, IF(AB51&lt;0, -1, IF(AB51&gt;0, 1, 0))),
            IF(AB52="-", 0, IF(AB52&lt;0, -1, IF(AB52&gt;0, 1, 0))),
            IF(AB53="-", 0, IF(AB53&lt;0, -1, IF(AB53&gt;0, 1, 0))),
            IF(AB54="-", 0, IF(AB54&lt;0, -1, IF(AB54&gt;0, 1, 0))),
            IF(AB55="-", 0, IF(AB55&lt;0, -1, IF(AB55&gt;0, 1, 0)))) / 13 &gt; 0.1, "BULLISH",
    IF(SUM(IF(AB46="-", 0, IF(AB46&lt;0, -2, IF(AB46&gt;0, 2, 0))),
            IF(AB47="-", 0, IF(AB47&lt;0, -2, IF(AB47&gt;0, 2, 0))),
            IF(AB48="-", 0, IF(AB48&lt;0, -2, IF(AB48&gt;0, 2, 0))),
            IF(AB49="-", 0, IF(AB49&lt;0, -1, IF(AB49&gt;0, 1, 0))),
            IF(AB50="-", 0, IF(AB50&lt;0, -1, IF(AB50&gt;0, 1, 0))),
            IF(AB51="-", 0, IF(AB51&lt;0, -1, IF(AB51&gt;0, 1, 0))),
            IF(AB52="-", 0, IF(AB52&lt;0, -1, IF(AB52&gt;0, 1, 0))),
            IF(AB53="-", 0, IF(AB53&lt;0, -1, IF(AB53&gt;0, 1, 0))),
            IF(AB54="-", 0, IF(AB54&lt;0, -1, IF(AB54&gt;0, 1, 0))),
            IF(AB55="-", 0, IF(AB55&lt;0, -1, IF(AB55&gt;0, 1, 0)))) / 13 &lt; -0.1, "BEARISH",
    IF(SUM(IF(AB46="-", 0, IF(AB46&lt;0, -2, IF(AB46&gt;0, 2, 0))),
            IF(AB47="-", 0, IF(AB47&lt;0, -2, IF(AB47&gt;0, 2, 0))),
            IF(AB48="-", 0, IF(AB48&lt;0, -2, IF(AB48&gt;0, 2, 0))),
            IF(AB49="-", 0, IF(AB49&lt;0, -1, IF(AB49&gt;0, 1, 0))),
            IF(AB50="-", 0, IF(AB50&lt;0, -1, IF(AB50&gt;0, 1, 0))),
            IF(AB51="-", 0, IF(AB51&lt;0, -1, IF(AB51&gt;0, 1, 0))),
            IF(AB52="-", 0, IF(AB52&lt;0, -1, IF(AB52&gt;0, 1, 0))),
            IF(AB53="-", 0, IF(AB53&lt;0, -1, IF(AB53&gt;0, 1, 0))),
            IF(AB54="-", 0, IF(AB54&lt;0, -1, IF(AB54&gt;0, 1, 0))),
            IF(AB55="-", 0, IF(AB55&lt;0, -1, IF(AB55&gt;0, 1, 0)))) / 13 &gt; -0.1, "NEUTRO",
    IF(SUM(IF(AB46="-", 0, IF(AB46&lt;0, -2, IF(AB46&gt;0, 2, 0))),
            IF(AB47="-", 0, IF(AB47&lt;0, -2, IF(AB47&gt;0, 2, 0))),
            IF(AB48="-", 0, IF(AB48&lt;0, -2, IF(AB48&gt;0, 2, 0))),
            IF(AB49="-", 0, IF(AB49&lt;0, -1, IF(AB49&gt;0, 1, 0))),
            IF(AB50="-", 0, IF(AB50&lt;0, -1, IF(AB50&gt;0, 1, 0))),
            IF(AB51="-", 0, IF(AB51&lt;0, -1, IF(AB51&gt;0, 1, 0))),
            IF(AB52="-", 0, IF(AB52&lt;0, -1, IF(AB52&gt;0, 1, 0))),
            IF(AB53="-", 0, IF(AB53&lt;0, -1, IF(AB53&gt;0, 1, 0))),
            IF(AB54="-", 0, IF(AB54&lt;0, -1, IF(AB54&gt;0, 1, 0))),
            IF(AB55="-", 0, IF(AB55&lt;0, -1, IF(AB55&gt;0, 1, 0)))) / 13 &lt; 0.1, "NEUTRO",
    "")))))</f>
        <v>BULLISH</v>
      </c>
      <c r="AA45" s="317"/>
      <c r="AB45" s="318"/>
      <c r="AC45" s="316" t="str">
        <f>IF(AND(AE46="-",AE47="-",AE48="-",AE49="-",AE50="-",AE51="-",AE52="-",AE53="-",AE54="-",AE55="-"), "",
    IF(SUM(IF(AE46="-", 0, IF(AE46&lt;0, -2, IF(AE46&gt;0, 2, 0))),
            IF(AE47="-", 0, IF(AE47&lt;0, -2, IF(AE47&gt;0, 2, 0))),
            IF(AE48="-", 0, IF(AE48&lt;0, -2, IF(AE48&gt;0, 2, 0))),
            IF(AE49="-", 0, IF(AE49&lt;0, -1, IF(AE49&gt;0, 1, 0))),
            IF(AE50="-", 0, IF(AE50&lt;0, -1, IF(AE50&gt;0, 1, 0))),
            IF(AE51="-", 0, IF(AE51&lt;0, -1, IF(AE51&gt;0, 1, 0))),
            IF(AE52="-", 0, IF(AE52&lt;0, -1, IF(AE52&gt;0, 1, 0))),
            IF(AE53="-", 0, IF(AE53&lt;0, -1, IF(AE53&gt;0, 1, 0))),
            IF(AE54="-", 0, IF(AE54&lt;0, -1, IF(AE54&gt;0, 1, 0))),
            IF(AE55="-", 0, IF(AE55&lt;0, -1, IF(AE55&gt;0, 1, 0)))) / 13 &gt; 0.1, "BULLISH",
    IF(SUM(IF(AE46="-", 0, IF(AE46&lt;0, -2, IF(AE46&gt;0, 2, 0))),
            IF(AE47="-", 0, IF(AE47&lt;0, -2, IF(AE47&gt;0, 2, 0))),
            IF(AE48="-", 0, IF(AE48&lt;0, -2, IF(AE48&gt;0, 2, 0))),
            IF(AE49="-", 0, IF(AE49&lt;0, -1, IF(AE49&gt;0, 1, 0))),
            IF(AE50="-", 0, IF(AE50&lt;0, -1, IF(AE50&gt;0, 1, 0))),
            IF(AE51="-", 0, IF(AE51&lt;0, -1, IF(AE51&gt;0, 1, 0))),
            IF(AE52="-", 0, IF(AE52&lt;0, -1, IF(AE52&gt;0, 1, 0))),
            IF(AE53="-", 0, IF(AE53&lt;0, -1, IF(AE53&gt;0, 1, 0))),
            IF(AE54="-", 0, IF(AE54&lt;0, -1, IF(AE54&gt;0, 1, 0))),
            IF(AE55="-", 0, IF(AE55&lt;0, -1, IF(AE55&gt;0, 1, 0)))) / 13 &lt; -0.1, "BEARISH",
    IF(SUM(IF(AE46="-", 0, IF(AE46&lt;0, -2, IF(AE46&gt;0, 2, 0))),
            IF(AE47="-", 0, IF(AE47&lt;0, -2, IF(AE47&gt;0, 2, 0))),
            IF(AE48="-", 0, IF(AE48&lt;0, -2, IF(AE48&gt;0, 2, 0))),
            IF(AE49="-", 0, IF(AE49&lt;0, -1, IF(AE49&gt;0, 1, 0))),
            IF(AE50="-", 0, IF(AE50&lt;0, -1, IF(AE50&gt;0, 1, 0))),
            IF(AE51="-", 0, IF(AE51&lt;0, -1, IF(AE51&gt;0, 1, 0))),
            IF(AE52="-", 0, IF(AE52&lt;0, -1, IF(AE52&gt;0, 1, 0))),
            IF(AE53="-", 0, IF(AE53&lt;0, -1, IF(AE53&gt;0, 1, 0))),
            IF(AE54="-", 0, IF(AE54&lt;0, -1, IF(AE54&gt;0, 1, 0))),
            IF(AE55="-", 0, IF(AE55&lt;0, -1, IF(AE55&gt;0, 1, 0)))) / 13 &gt; -0.1, "NEUTRO",
    IF(SUM(IF(AE46="-", 0, IF(AE46&lt;0, -2, IF(AE46&gt;0, 2, 0))),
            IF(AE47="-", 0, IF(AE47&lt;0, -2, IF(AE47&gt;0, 2, 0))),
            IF(AE48="-", 0, IF(AE48&lt;0, -2, IF(AE48&gt;0, 2, 0))),
            IF(AE49="-", 0, IF(AE49&lt;0, -1, IF(AE49&gt;0, 1, 0))),
            IF(AE50="-", 0, IF(AE50&lt;0, -1, IF(AE50&gt;0, 1, 0))),
            IF(AE51="-", 0, IF(AE51&lt;0, -1, IF(AE51&gt;0, 1, 0))),
            IF(AE52="-", 0, IF(AE52&lt;0, -1, IF(AE52&gt;0, 1, 0))),
            IF(AE53="-", 0, IF(AE53&lt;0, -1, IF(AE53&gt;0, 1, 0))),
            IF(AE54="-", 0, IF(AE54&lt;0, -1, IF(AE54&gt;0, 1, 0))),
            IF(AE55="-", 0, IF(AE55&lt;0, -1, IF(AE55&gt;0, 1, 0)))) / 13 &lt; 0.1, "NEUTRO",
    "")))))</f>
        <v>NEUTRO</v>
      </c>
      <c r="AD45" s="317"/>
      <c r="AE45" s="318"/>
      <c r="AF45" s="316" t="str">
        <f>IF(AND(AH46="-",AH47="-",AH48="-",AH49="-",AH50="-",AH51="-",AH52="-",AH53="-",AH54="-",AH55="-"), "",
    IF(SUM(IF(AH46="-", 0, IF(AH46&lt;0, -2, IF(AH46&gt;0, 2, 0))),
            IF(AH47="-", 0, IF(AH47&lt;0, -2, IF(AH47&gt;0, 2, 0))),
            IF(AH48="-", 0, IF(AH48&lt;0, -2, IF(AH48&gt;0, 2, 0))),
            IF(AH49="-", 0, IF(AH49&lt;0, -1, IF(AH49&gt;0, 1, 0))),
            IF(AH50="-", 0, IF(AH50&lt;0, -1, IF(AH50&gt;0, 1, 0))),
            IF(AH51="-", 0, IF(AH51&lt;0, -1, IF(AH51&gt;0, 1, 0))),
            IF(AH52="-", 0, IF(AH52&lt;0, -1, IF(AH52&gt;0, 1, 0))),
            IF(AH53="-", 0, IF(AH53&lt;0, -1, IF(AH53&gt;0, 1, 0))),
            IF(AH54="-", 0, IF(AH54&lt;0, -1, IF(AH54&gt;0, 1, 0))),
            IF(AH55="-", 0, IF(AH55&lt;0, -1, IF(AH55&gt;0, 1, 0)))) / 13 &gt; 0.1, "BULLISH",
    IF(SUM(IF(AH46="-", 0, IF(AH46&lt;0, -2, IF(AH46&gt;0, 2, 0))),
            IF(AH47="-", 0, IF(AH47&lt;0, -2, IF(AH47&gt;0, 2, 0))),
            IF(AH48="-", 0, IF(AH48&lt;0, -2, IF(AH48&gt;0, 2, 0))),
            IF(AH49="-", 0, IF(AH49&lt;0, -1, IF(AH49&gt;0, 1, 0))),
            IF(AH50="-", 0, IF(AH50&lt;0, -1, IF(AH50&gt;0, 1, 0))),
            IF(AH51="-", 0, IF(AH51&lt;0, -1, IF(AH51&gt;0, 1, 0))),
            IF(AH52="-", 0, IF(AH52&lt;0, -1, IF(AH52&gt;0, 1, 0))),
            IF(AH53="-", 0, IF(AH53&lt;0, -1, IF(AH53&gt;0, 1, 0))),
            IF(AH54="-", 0, IF(AH54&lt;0, -1, IF(AH54&gt;0, 1, 0))),
            IF(AH55="-", 0, IF(AH55&lt;0, -1, IF(AH55&gt;0, 1, 0)))) / 13 &lt; -0.1, "BEARISH",
    IF(SUM(IF(AH46="-", 0, IF(AH46&lt;0, -2, IF(AH46&gt;0, 2, 0))),
            IF(AH47="-", 0, IF(AH47&lt;0, -2, IF(AH47&gt;0, 2, 0))),
            IF(AH48="-", 0, IF(AH48&lt;0, -2, IF(AH48&gt;0, 2, 0))),
            IF(AH49="-", 0, IF(AH49&lt;0, -1, IF(AH49&gt;0, 1, 0))),
            IF(AH50="-", 0, IF(AH50&lt;0, -1, IF(AH50&gt;0, 1, 0))),
            IF(AH51="-", 0, IF(AH51&lt;0, -1, IF(AH51&gt;0, 1, 0))),
            IF(AH52="-", 0, IF(AH52&lt;0, -1, IF(AH52&gt;0, 1, 0))),
            IF(AH53="-", 0, IF(AH53&lt;0, -1, IF(AH53&gt;0, 1, 0))),
            IF(AH54="-", 0, IF(AH54&lt;0, -1, IF(AH54&gt;0, 1, 0))),
            IF(AH55="-", 0, IF(AH55&lt;0, -1, IF(AH55&gt;0, 1, 0)))) / 13 &gt; -0.1, "NEUTRO",
    IF(SUM(IF(AH46="-", 0, IF(AH46&lt;0, -2, IF(AH46&gt;0, 2, 0))),
            IF(AH47="-", 0, IF(AH47&lt;0, -2, IF(AH47&gt;0, 2, 0))),
            IF(AH48="-", 0, IF(AH48&lt;0, -2, IF(AH48&gt;0, 2, 0))),
            IF(AH49="-", 0, IF(AH49&lt;0, -1, IF(AH49&gt;0, 1, 0))),
            IF(AH50="-", 0, IF(AH50&lt;0, -1, IF(AH50&gt;0, 1, 0))),
            IF(AH51="-", 0, IF(AH51&lt;0, -1, IF(AH51&gt;0, 1, 0))),
            IF(AH52="-", 0, IF(AH52&lt;0, -1, IF(AH52&gt;0, 1, 0))),
            IF(AH53="-", 0, IF(AH53&lt;0, -1, IF(AH53&gt;0, 1, 0))),
            IF(AH54="-", 0, IF(AH54&lt;0, -1, IF(AH54&gt;0, 1, 0))),
            IF(AH55="-", 0, IF(AH55&lt;0, -1, IF(AH55&gt;0, 1, 0)))) / 13 &lt; 0.1, "NEUTRO",
    "")))))</f>
        <v>BEARISH</v>
      </c>
      <c r="AG45" s="317"/>
      <c r="AH45" s="318"/>
      <c r="AI45" s="316" t="str">
        <f>IF(AND(AK46="-",AK47="-",AK48="-",AK49="-",AK50="-",AK51="-",AK52="-",AK53="-",AK54="-",AK55="-"), "",
    IF(SUM(IF(AK46="-", 0, IF(AK46&lt;0, -2, IF(AK46&gt;0, 2, 0))),
            IF(AK47="-", 0, IF(AK47&lt;0, -2, IF(AK47&gt;0, 2, 0))),
            IF(AK48="-", 0, IF(AK48&lt;0, -2, IF(AK48&gt;0, 2, 0))),
            IF(AK49="-", 0, IF(AK49&lt;0, -1, IF(AK49&gt;0, 1, 0))),
            IF(AK50="-", 0, IF(AK50&lt;0, -1, IF(AK50&gt;0, 1, 0))),
            IF(AK51="-", 0, IF(AK51&lt;0, -1, IF(AK51&gt;0, 1, 0))),
            IF(AK52="-", 0, IF(AK52&lt;0, -1, IF(AK52&gt;0, 1, 0))),
            IF(AK53="-", 0, IF(AK53&lt;0, -1, IF(AK53&gt;0, 1, 0))),
            IF(AK54="-", 0, IF(AK54&lt;0, -1, IF(AK54&gt;0, 1, 0))),
            IF(AK55="-", 0, IF(AK55&lt;0, -1, IF(AK55&gt;0, 1, 0)))) / 13 &gt; 0.1, "BULLISH",
    IF(SUM(IF(AK46="-", 0, IF(AK46&lt;0, -2, IF(AK46&gt;0, 2, 0))),
            IF(AK47="-", 0, IF(AK47&lt;0, -2, IF(AK47&gt;0, 2, 0))),
            IF(AK48="-", 0, IF(AK48&lt;0, -2, IF(AK48&gt;0, 2, 0))),
            IF(AK49="-", 0, IF(AK49&lt;0, -1, IF(AK49&gt;0, 1, 0))),
            IF(AK50="-", 0, IF(AK50&lt;0, -1, IF(AK50&gt;0, 1, 0))),
            IF(AK51="-", 0, IF(AK51&lt;0, -1, IF(AK51&gt;0, 1, 0))),
            IF(AK52="-", 0, IF(AK52&lt;0, -1, IF(AK52&gt;0, 1, 0))),
            IF(AK53="-", 0, IF(AK53&lt;0, -1, IF(AK53&gt;0, 1, 0))),
            IF(AK54="-", 0, IF(AK54&lt;0, -1, IF(AK54&gt;0, 1, 0))),
            IF(AK55="-", 0, IF(AK55&lt;0, -1, IF(AK55&gt;0, 1, 0)))) / 13 &lt; -0.1, "BEARISH",
    IF(SUM(IF(AK46="-", 0, IF(AK46&lt;0, -2, IF(AK46&gt;0, 2, 0))),
            IF(AK47="-", 0, IF(AK47&lt;0, -2, IF(AK47&gt;0, 2, 0))),
            IF(AK48="-", 0, IF(AK48&lt;0, -2, IF(AK48&gt;0, 2, 0))),
            IF(AK49="-", 0, IF(AK49&lt;0, -1, IF(AK49&gt;0, 1, 0))),
            IF(AK50="-", 0, IF(AK50&lt;0, -1, IF(AK50&gt;0, 1, 0))),
            IF(AK51="-", 0, IF(AK51&lt;0, -1, IF(AK51&gt;0, 1, 0))),
            IF(AK52="-", 0, IF(AK52&lt;0, -1, IF(AK52&gt;0, 1, 0))),
            IF(AK53="-", 0, IF(AK53&lt;0, -1, IF(AK53&gt;0, 1, 0))),
            IF(AK54="-", 0, IF(AK54&lt;0, -1, IF(AK54&gt;0, 1, 0))),
            IF(AK55="-", 0, IF(AK55&lt;0, -1, IF(AK55&gt;0, 1, 0)))) / 13 &gt; -0.1, "NEUTRO",
    IF(SUM(IF(AK46="-", 0, IF(AK46&lt;0, -2, IF(AK46&gt;0, 2, 0))),
            IF(AK47="-", 0, IF(AK47&lt;0, -2, IF(AK47&gt;0, 2, 0))),
            IF(AK48="-", 0, IF(AK48&lt;0, -2, IF(AK48&gt;0, 2, 0))),
            IF(AK49="-", 0, IF(AK49&lt;0, -1, IF(AK49&gt;0, 1, 0))),
            IF(AK50="-", 0, IF(AK50&lt;0, -1, IF(AK50&gt;0, 1, 0))),
            IF(AK51="-", 0, IF(AK51&lt;0, -1, IF(AK51&gt;0, 1, 0))),
            IF(AK52="-", 0, IF(AK52&lt;0, -1, IF(AK52&gt;0, 1, 0))),
            IF(AK53="-", 0, IF(AK53&lt;0, -1, IF(AK53&gt;0, 1, 0))),
            IF(AK54="-", 0, IF(AK54&lt;0, -1, IF(AK54&gt;0, 1, 0))),
            IF(AK55="-", 0, IF(AK55&lt;0, -1, IF(AK55&gt;0, 1, 0)))) / 13 &lt; 0.1, "NEUTRO",
    "")))))</f>
        <v>BULLISH</v>
      </c>
      <c r="AJ45" s="317"/>
      <c r="AK45" s="318"/>
      <c r="AL45" s="316" t="str">
        <f>IF(AND(AN46="-",AN47="-",AN48="-",AN49="-",AN50="-",AN51="-",AN52="-",AN53="-",AN54="-",AN55="-"), "",
    IF(SUM(IF(AN46="-", 0, IF(AN46&lt;0, -2, IF(AN46&gt;0, 2, 0))),
            IF(AN47="-", 0, IF(AN47&lt;0, -2, IF(AN47&gt;0, 2, 0))),
            IF(AN48="-", 0, IF(AN48&lt;0, -2, IF(AN48&gt;0, 2, 0))),
            IF(AN49="-", 0, IF(AN49&lt;0, -1, IF(AN49&gt;0, 1, 0))),
            IF(AN50="-", 0, IF(AN50&lt;0, -1, IF(AN50&gt;0, 1, 0))),
            IF(AN51="-", 0, IF(AN51&lt;0, -1, IF(AN51&gt;0, 1, 0))),
            IF(AN52="-", 0, IF(AN52&lt;0, -1, IF(AN52&gt;0, 1, 0))),
            IF(AN53="-", 0, IF(AN53&lt;0, -1, IF(AN53&gt;0, 1, 0))),
            IF(AN54="-", 0, IF(AN54&lt;0, -1, IF(AN54&gt;0, 1, 0))),
            IF(AN55="-", 0, IF(AN55&lt;0, -1, IF(AN55&gt;0, 1, 0)))) / 13 &gt; 0.1, "BULLISH",
    IF(SUM(IF(AN46="-", 0, IF(AN46&lt;0, -2, IF(AN46&gt;0, 2, 0))),
            IF(AN47="-", 0, IF(AN47&lt;0, -2, IF(AN47&gt;0, 2, 0))),
            IF(AN48="-", 0, IF(AN48&lt;0, -2, IF(AN48&gt;0, 2, 0))),
            IF(AN49="-", 0, IF(AN49&lt;0, -1, IF(AN49&gt;0, 1, 0))),
            IF(AN50="-", 0, IF(AN50&lt;0, -1, IF(AN50&gt;0, 1, 0))),
            IF(AN51="-", 0, IF(AN51&lt;0, -1, IF(AN51&gt;0, 1, 0))),
            IF(AN52="-", 0, IF(AN52&lt;0, -1, IF(AN52&gt;0, 1, 0))),
            IF(AN53="-", 0, IF(AN53&lt;0, -1, IF(AN53&gt;0, 1, 0))),
            IF(AN54="-", 0, IF(AN54&lt;0, -1, IF(AN54&gt;0, 1, 0))),
            IF(AN55="-", 0, IF(AN55&lt;0, -1, IF(AN55&gt;0, 1, 0)))) / 13 &lt; -0.1, "BEARISH",
    IF(SUM(IF(AN46="-", 0, IF(AN46&lt;0, -2, IF(AN46&gt;0, 2, 0))),
            IF(AN47="-", 0, IF(AN47&lt;0, -2, IF(AN47&gt;0, 2, 0))),
            IF(AN48="-", 0, IF(AN48&lt;0, -2, IF(AN48&gt;0, 2, 0))),
            IF(AN49="-", 0, IF(AN49&lt;0, -1, IF(AN49&gt;0, 1, 0))),
            IF(AN50="-", 0, IF(AN50&lt;0, -1, IF(AN50&gt;0, 1, 0))),
            IF(AN51="-", 0, IF(AN51&lt;0, -1, IF(AN51&gt;0, 1, 0))),
            IF(AN52="-", 0, IF(AN52&lt;0, -1, IF(AN52&gt;0, 1, 0))),
            IF(AN53="-", 0, IF(AN53&lt;0, -1, IF(AN53&gt;0, 1, 0))),
            IF(AN54="-", 0, IF(AN54&lt;0, -1, IF(AN54&gt;0, 1, 0))),
            IF(AN55="-", 0, IF(AN55&lt;0, -1, IF(AN55&gt;0, 1, 0)))) / 13 &gt; -0.1, "NEUTRO",
    IF(SUM(IF(AN46="-", 0, IF(AN46&lt;0, -2, IF(AN46&gt;0, 2, 0))),
            IF(AN47="-", 0, IF(AN47&lt;0, -2, IF(AN47&gt;0, 2, 0))),
            IF(AN48="-", 0, IF(AN48&lt;0, -2, IF(AN48&gt;0, 2, 0))),
            IF(AN49="-", 0, IF(AN49&lt;0, -1, IF(AN49&gt;0, 1, 0))),
            IF(AN50="-", 0, IF(AN50&lt;0, -1, IF(AN50&gt;0, 1, 0))),
            IF(AN51="-", 0, IF(AN51&lt;0, -1, IF(AN51&gt;0, 1, 0))),
            IF(AN52="-", 0, IF(AN52&lt;0, -1, IF(AN52&gt;0, 1, 0))),
            IF(AN53="-", 0, IF(AN53&lt;0, -1, IF(AN53&gt;0, 1, 0))),
            IF(AN54="-", 0, IF(AN54&lt;0, -1, IF(AN54&gt;0, 1, 0))),
            IF(AN55="-", 0, IF(AN55&lt;0, -1, IF(AN55&gt;0, 1, 0)))) / 13 &lt; 0.1, "NEUTRO",
    "")))))</f>
        <v>BULLISH</v>
      </c>
      <c r="AM45" s="317"/>
      <c r="AN45" s="318"/>
      <c r="AO45" s="316" t="str">
        <f>IF(AND(AQ46="-",AQ47="-",AQ48="-",AQ49="-",AQ50="-",AQ51="-",AQ52="-",AQ53="-",AQ54="-",AQ55="-"), "",
    IF(SUM(IF(AQ46="-", 0, IF(AQ46&lt;0, -2, IF(AQ46&gt;0, 2, 0))),
            IF(AQ47="-", 0, IF(AQ47&lt;0, -2, IF(AQ47&gt;0, 2, 0))),
            IF(AQ48="-", 0, IF(AQ48&lt;0, -2, IF(AQ48&gt;0, 2, 0))),
            IF(AQ49="-", 0, IF(AQ49&lt;0, -1, IF(AQ49&gt;0, 1, 0))),
            IF(AQ50="-", 0, IF(AQ50&lt;0, -1, IF(AQ50&gt;0, 1, 0))),
            IF(AQ51="-", 0, IF(AQ51&lt;0, -1, IF(AQ51&gt;0, 1, 0))),
            IF(AQ52="-", 0, IF(AQ52&lt;0, -1, IF(AQ52&gt;0, 1, 0))),
            IF(AQ53="-", 0, IF(AQ53&lt;0, -1, IF(AQ53&gt;0, 1, 0))),
            IF(AQ54="-", 0, IF(AQ54&lt;0, -1, IF(AQ54&gt;0, 1, 0))),
            IF(AQ55="-", 0, IF(AQ55&lt;0, -1, IF(AQ55&gt;0, 1, 0)))) / 13 &gt; 0.1, "BULLISH",
    IF(SUM(IF(AQ46="-", 0, IF(AQ46&lt;0, -2, IF(AQ46&gt;0, 2, 0))),
            IF(AQ47="-", 0, IF(AQ47&lt;0, -2, IF(AQ47&gt;0, 2, 0))),
            IF(AQ48="-", 0, IF(AQ48&lt;0, -2, IF(AQ48&gt;0, 2, 0))),
            IF(AQ49="-", 0, IF(AQ49&lt;0, -1, IF(AQ49&gt;0, 1, 0))),
            IF(AQ50="-", 0, IF(AQ50&lt;0, -1, IF(AQ50&gt;0, 1, 0))),
            IF(AQ51="-", 0, IF(AQ51&lt;0, -1, IF(AQ51&gt;0, 1, 0))),
            IF(AQ52="-", 0, IF(AQ52&lt;0, -1, IF(AQ52&gt;0, 1, 0))),
            IF(AQ53="-", 0, IF(AQ53&lt;0, -1, IF(AQ53&gt;0, 1, 0))),
            IF(AQ54="-", 0, IF(AQ54&lt;0, -1, IF(AQ54&gt;0, 1, 0))),
            IF(AQ55="-", 0, IF(AQ55&lt;0, -1, IF(AQ55&gt;0, 1, 0)))) / 13 &lt; -0.1, "BEARISH",
    IF(SUM(IF(AQ46="-", 0, IF(AQ46&lt;0, -2, IF(AQ46&gt;0, 2, 0))),
            IF(AQ47="-", 0, IF(AQ47&lt;0, -2, IF(AQ47&gt;0, 2, 0))),
            IF(AQ48="-", 0, IF(AQ48&lt;0, -2, IF(AQ48&gt;0, 2, 0))),
            IF(AQ49="-", 0, IF(AQ49&lt;0, -1, IF(AQ49&gt;0, 1, 0))),
            IF(AQ50="-", 0, IF(AQ50&lt;0, -1, IF(AQ50&gt;0, 1, 0))),
            IF(AQ51="-", 0, IF(AQ51&lt;0, -1, IF(AQ51&gt;0, 1, 0))),
            IF(AQ52="-", 0, IF(AQ52&lt;0, -1, IF(AQ52&gt;0, 1, 0))),
            IF(AQ53="-", 0, IF(AQ53&lt;0, -1, IF(AQ53&gt;0, 1, 0))),
            IF(AQ54="-", 0, IF(AQ54&lt;0, -1, IF(AQ54&gt;0, 1, 0))),
            IF(AQ55="-", 0, IF(AQ55&lt;0, -1, IF(AQ55&gt;0, 1, 0)))) / 13 &gt; -0.1, "NEUTRO",
    IF(SUM(IF(AQ46="-", 0, IF(AQ46&lt;0, -2, IF(AQ46&gt;0, 2, 0))),
            IF(AQ47="-", 0, IF(AQ47&lt;0, -2, IF(AQ47&gt;0, 2, 0))),
            IF(AQ48="-", 0, IF(AQ48&lt;0, -2, IF(AQ48&gt;0, 2, 0))),
            IF(AQ49="-", 0, IF(AQ49&lt;0, -1, IF(AQ49&gt;0, 1, 0))),
            IF(AQ50="-", 0, IF(AQ50&lt;0, -1, IF(AQ50&gt;0, 1, 0))),
            IF(AQ51="-", 0, IF(AQ51&lt;0, -1, IF(AQ51&gt;0, 1, 0))),
            IF(AQ52="-", 0, IF(AQ52&lt;0, -1, IF(AQ52&gt;0, 1, 0))),
            IF(AQ53="-", 0, IF(AQ53&lt;0, -1, IF(AQ53&gt;0, 1, 0))),
            IF(AQ54="-", 0, IF(AQ54&lt;0, -1, IF(AQ54&gt;0, 1, 0))),
            IF(AQ55="-", 0, IF(AQ55&lt;0, -1, IF(AQ55&gt;0, 1, 0)))) / 13 &lt; 0.1, "NEUTRO",
    "")))))</f>
        <v>BEARISH</v>
      </c>
      <c r="AP45" s="317"/>
      <c r="AQ45" s="318"/>
      <c r="AR45" s="316" t="str">
        <f>IF(AND(AT46="-",AT47="-",AT48="-",AT49="-",AT50="-",AT51="-",AT52="-",AT53="-",AT54="-",AT55="-"), "",
    IF(SUM(IF(AT46="-", 0, IF(AT46&lt;0, -2, IF(AT46&gt;0, 2, 0))),
            IF(AT47="-", 0, IF(AT47&lt;0, -2, IF(AT47&gt;0, 2, 0))),
            IF(AT48="-", 0, IF(AT48&lt;0, -2, IF(AT48&gt;0, 2, 0))),
            IF(AT49="-", 0, IF(AT49&lt;0, -1, IF(AT49&gt;0, 1, 0))),
            IF(AT50="-", 0, IF(AT50&lt;0, -1, IF(AT50&gt;0, 1, 0))),
            IF(AT51="-", 0, IF(AT51&lt;0, -1, IF(AT51&gt;0, 1, 0))),
            IF(AT52="-", 0, IF(AT52&lt;0, -1, IF(AT52&gt;0, 1, 0))),
            IF(AT53="-", 0, IF(AT53&lt;0, -1, IF(AT53&gt;0, 1, 0))),
            IF(AT54="-", 0, IF(AT54&lt;0, -1, IF(AT54&gt;0, 1, 0))),
            IF(AT55="-", 0, IF(AT55&lt;0, -1, IF(AT55&gt;0, 1, 0)))) / 13 &gt; 0.1, "BULLISH",
    IF(SUM(IF(AT46="-", 0, IF(AT46&lt;0, -2, IF(AT46&gt;0, 2, 0))),
            IF(AT47="-", 0, IF(AT47&lt;0, -2, IF(AT47&gt;0, 2, 0))),
            IF(AT48="-", 0, IF(AT48&lt;0, -2, IF(AT48&gt;0, 2, 0))),
            IF(AT49="-", 0, IF(AT49&lt;0, -1, IF(AT49&gt;0, 1, 0))),
            IF(AT50="-", 0, IF(AT50&lt;0, -1, IF(AT50&gt;0, 1, 0))),
            IF(AT51="-", 0, IF(AT51&lt;0, -1, IF(AT51&gt;0, 1, 0))),
            IF(AT52="-", 0, IF(AT52&lt;0, -1, IF(AT52&gt;0, 1, 0))),
            IF(AT53="-", 0, IF(AT53&lt;0, -1, IF(AT53&gt;0, 1, 0))),
            IF(AT54="-", 0, IF(AT54&lt;0, -1, IF(AT54&gt;0, 1, 0))),
            IF(AT55="-", 0, IF(AT55&lt;0, -1, IF(AT55&gt;0, 1, 0)))) / 13 &lt; -0.1, "BEARISH",
    IF(SUM(IF(AT46="-", 0, IF(AT46&lt;0, -2, IF(AT46&gt;0, 2, 0))),
            IF(AT47="-", 0, IF(AT47&lt;0, -2, IF(AT47&gt;0, 2, 0))),
            IF(AT48="-", 0, IF(AT48&lt;0, -2, IF(AT48&gt;0, 2, 0))),
            IF(AT49="-", 0, IF(AT49&lt;0, -1, IF(AT49&gt;0, 1, 0))),
            IF(AT50="-", 0, IF(AT50&lt;0, -1, IF(AT50&gt;0, 1, 0))),
            IF(AT51="-", 0, IF(AT51&lt;0, -1, IF(AT51&gt;0, 1, 0))),
            IF(AT52="-", 0, IF(AT52&lt;0, -1, IF(AT52&gt;0, 1, 0))),
            IF(AT53="-", 0, IF(AT53&lt;0, -1, IF(AT53&gt;0, 1, 0))),
            IF(AT54="-", 0, IF(AT54&lt;0, -1, IF(AT54&gt;0, 1, 0))),
            IF(AT55="-", 0, IF(AT55&lt;0, -1, IF(AT55&gt;0, 1, 0)))) / 13 &gt; -0.1, "NEUTRO",
    IF(SUM(IF(AT46="-", 0, IF(AT46&lt;0, -2, IF(AT46&gt;0, 2, 0))),
            IF(AT47="-", 0, IF(AT47&lt;0, -2, IF(AT47&gt;0, 2, 0))),
            IF(AT48="-", 0, IF(AT48&lt;0, -2, IF(AT48&gt;0, 2, 0))),
            IF(AT49="-", 0, IF(AT49&lt;0, -1, IF(AT49&gt;0, 1, 0))),
            IF(AT50="-", 0, IF(AT50&lt;0, -1, IF(AT50&gt;0, 1, 0))),
            IF(AT51="-", 0, IF(AT51&lt;0, -1, IF(AT51&gt;0, 1, 0))),
            IF(AT52="-", 0, IF(AT52&lt;0, -1, IF(AT52&gt;0, 1, 0))),
            IF(AT53="-", 0, IF(AT53&lt;0, -1, IF(AT53&gt;0, 1, 0))),
            IF(AT54="-", 0, IF(AT54&lt;0, -1, IF(AT54&gt;0, 1, 0))),
            IF(AT55="-", 0, IF(AT55&lt;0, -1, IF(AT55&gt;0, 1, 0)))) / 13 &lt; 0.1, "NEUTRO",
    "")))))</f>
        <v>NEUTRO</v>
      </c>
      <c r="AS45" s="317"/>
      <c r="AT45" s="318"/>
      <c r="AU45" s="316" t="str">
        <f>IF(AND(AW46="-",AW47="-",AW48="-",AW49="-",AW50="-",AW51="-",AW52="-",AW53="-",AW54="-",AW55="-"), "",
    IF(SUM(IF(AW46="-", 0, IF(AW46&lt;0, -2, IF(AW46&gt;0, 2, 0))),
            IF(AW47="-", 0, IF(AW47&lt;0, -2, IF(AW47&gt;0, 2, 0))),
            IF(AW48="-", 0, IF(AW48&lt;0, -2, IF(AW48&gt;0, 2, 0))),
            IF(AW49="-", 0, IF(AW49&lt;0, -1, IF(AW49&gt;0, 1, 0))),
            IF(AW50="-", 0, IF(AW50&lt;0, -1, IF(AW50&gt;0, 1, 0))),
            IF(AW51="-", 0, IF(AW51&lt;0, -1, IF(AW51&gt;0, 1, 0))),
            IF(AW52="-", 0, IF(AW52&lt;0, -1, IF(AW52&gt;0, 1, 0))),
            IF(AW53="-", 0, IF(AW53&lt;0, -1, IF(AW53&gt;0, 1, 0))),
            IF(AW54="-", 0, IF(AW54&lt;0, -1, IF(AW54&gt;0, 1, 0))),
            IF(AW55="-", 0, IF(AW55&lt;0, -1, IF(AW55&gt;0, 1, 0)))) / 13 &gt; 0.1, "BULLISH",
    IF(SUM(IF(AW46="-", 0, IF(AW46&lt;0, -2, IF(AW46&gt;0, 2, 0))),
            IF(AW47="-", 0, IF(AW47&lt;0, -2, IF(AW47&gt;0, 2, 0))),
            IF(AW48="-", 0, IF(AW48&lt;0, -2, IF(AW48&gt;0, 2, 0))),
            IF(AW49="-", 0, IF(AW49&lt;0, -1, IF(AW49&gt;0, 1, 0))),
            IF(AW50="-", 0, IF(AW50&lt;0, -1, IF(AW50&gt;0, 1, 0))),
            IF(AW51="-", 0, IF(AW51&lt;0, -1, IF(AW51&gt;0, 1, 0))),
            IF(AW52="-", 0, IF(AW52&lt;0, -1, IF(AW52&gt;0, 1, 0))),
            IF(AW53="-", 0, IF(AW53&lt;0, -1, IF(AW53&gt;0, 1, 0))),
            IF(AW54="-", 0, IF(AW54&lt;0, -1, IF(AW54&gt;0, 1, 0))),
            IF(AW55="-", 0, IF(AW55&lt;0, -1, IF(AW55&gt;0, 1, 0)))) / 13 &lt; -0.1, "BEARISH",
    IF(SUM(IF(AW46="-", 0, IF(AW46&lt;0, -2, IF(AW46&gt;0, 2, 0))),
            IF(AW47="-", 0, IF(AW47&lt;0, -2, IF(AW47&gt;0, 2, 0))),
            IF(AW48="-", 0, IF(AW48&lt;0, -2, IF(AW48&gt;0, 2, 0))),
            IF(AW49="-", 0, IF(AW49&lt;0, -1, IF(AW49&gt;0, 1, 0))),
            IF(AW50="-", 0, IF(AW50&lt;0, -1, IF(AW50&gt;0, 1, 0))),
            IF(AW51="-", 0, IF(AW51&lt;0, -1, IF(AW51&gt;0, 1, 0))),
            IF(AW52="-", 0, IF(AW52&lt;0, -1, IF(AW52&gt;0, 1, 0))),
            IF(AW53="-", 0, IF(AW53&lt;0, -1, IF(AW53&gt;0, 1, 0))),
            IF(AW54="-", 0, IF(AW54&lt;0, -1, IF(AW54&gt;0, 1, 0))),
            IF(AW55="-", 0, IF(AW55&lt;0, -1, IF(AW55&gt;0, 1, 0)))) / 13 &gt; -0.1, "NEUTRO",
    IF(SUM(IF(AW46="-", 0, IF(AW46&lt;0, -2, IF(AW46&gt;0, 2, 0))),
            IF(AW47="-", 0, IF(AW47&lt;0, -2, IF(AW47&gt;0, 2, 0))),
            IF(AW48="-", 0, IF(AW48&lt;0, -2, IF(AW48&gt;0, 2, 0))),
            IF(AW49="-", 0, IF(AW49&lt;0, -1, IF(AW49&gt;0, 1, 0))),
            IF(AW50="-", 0, IF(AW50&lt;0, -1, IF(AW50&gt;0, 1, 0))),
            IF(AW51="-", 0, IF(AW51&lt;0, -1, IF(AW51&gt;0, 1, 0))),
            IF(AW52="-", 0, IF(AW52&lt;0, -1, IF(AW52&gt;0, 1, 0))),
            IF(AW53="-", 0, IF(AW53&lt;0, -1, IF(AW53&gt;0, 1, 0))),
            IF(AW54="-", 0, IF(AW54&lt;0, -1, IF(AW54&gt;0, 1, 0))),
            IF(AW55="-", 0, IF(AW55&lt;0, -1, IF(AW55&gt;0, 1, 0)))) / 13 &lt; 0.1, "NEUTRO",
    "")))))</f>
        <v>NEUTRO</v>
      </c>
      <c r="AV45" s="317"/>
      <c r="AW45" s="318"/>
    </row>
    <row r="46" spans="1:49" x14ac:dyDescent="0.25">
      <c r="A46" s="67" t="s">
        <v>184</v>
      </c>
      <c r="B46" s="68"/>
      <c r="C46" s="68"/>
      <c r="D46" s="62" t="str">
        <f>IF(OR(B46="",C46="",B46="-",C46="-"),"-",B46-C46)</f>
        <v>-</v>
      </c>
      <c r="E46" s="68"/>
      <c r="F46" s="68"/>
      <c r="G46" s="62" t="str">
        <f>IF(OR(E46="",F46="",E46="-",F46="-"),"-",E46-F46)</f>
        <v>-</v>
      </c>
      <c r="H46" s="68">
        <v>46.4</v>
      </c>
      <c r="I46" s="68">
        <v>39.4</v>
      </c>
      <c r="J46" s="62">
        <f>IF(OR(H46="",I46="",H46="-",I46="-"),"-",H46-I46)</f>
        <v>7</v>
      </c>
      <c r="K46" s="68"/>
      <c r="L46" s="68"/>
      <c r="M46" s="62" t="str">
        <f>IF(OR(K46="",L46="",K46="-",L46="-"),"-",K46-L46)</f>
        <v>-</v>
      </c>
      <c r="N46" s="68">
        <v>46.2</v>
      </c>
      <c r="O46" s="68">
        <v>45.5</v>
      </c>
      <c r="P46" s="62">
        <f>IF(OR(N46="",O46="",N46="-",O46="-"),"-",N46-O46)</f>
        <v>0.70000000000000284</v>
      </c>
      <c r="Q46" s="68">
        <v>45.5</v>
      </c>
      <c r="R46" s="68">
        <v>44.3</v>
      </c>
      <c r="S46" s="62">
        <f>IF(OR(Q46="",R46="",Q46="-",R46="-"),"-",Q46-R46)</f>
        <v>1.2000000000000028</v>
      </c>
      <c r="T46" s="68">
        <v>44.3</v>
      </c>
      <c r="U46" s="68">
        <v>47.9</v>
      </c>
      <c r="V46" s="62">
        <f>IF(OR(T46="",U46="",T46="-",U46="-"),"-",T46-U46)</f>
        <v>-3.6000000000000014</v>
      </c>
      <c r="W46" s="68">
        <v>47.9</v>
      </c>
      <c r="X46" s="68">
        <v>46.6</v>
      </c>
      <c r="Y46" s="62">
        <f>IF(OR(W46="",X46="",W46="-",X46="-"),"-",W46-X46)</f>
        <v>1.2999999999999972</v>
      </c>
      <c r="Z46" s="68">
        <v>46.6</v>
      </c>
      <c r="AA46" s="68">
        <v>44.6</v>
      </c>
      <c r="AB46" s="62">
        <f>IF(OR(Z46="",AA46="",Z46="-",AA46="-"),"-",Z46-AA46)</f>
        <v>2</v>
      </c>
      <c r="AC46" s="68"/>
      <c r="AD46" s="68"/>
      <c r="AE46" s="62" t="str">
        <f>IF(OR(AC46="",AD46="",AC46="-",AD46="-"),"-",AC46-AD46)</f>
        <v>-</v>
      </c>
      <c r="AF46" s="68">
        <v>48.1</v>
      </c>
      <c r="AG46" s="68">
        <v>55.2</v>
      </c>
      <c r="AH46" s="62">
        <f>IF(OR(AF46="",AG46="",AF46="-",AG46="-"),"-",AF46-AG46)</f>
        <v>-7.1000000000000014</v>
      </c>
      <c r="AI46" s="68">
        <v>55.2</v>
      </c>
      <c r="AJ46" s="68">
        <v>54.3</v>
      </c>
      <c r="AK46" s="62">
        <f>IF(OR(AI46="",AJ46="",AI46="-",AJ46="-"),"-",AI46-AJ46)</f>
        <v>0.90000000000000568</v>
      </c>
      <c r="AL46" s="69">
        <v>54.3</v>
      </c>
      <c r="AM46" s="68">
        <v>53.6</v>
      </c>
      <c r="AN46" s="62">
        <f>IF(OR(AL46="",AM46="",AL46="-",AM46="-"),"-",AL46-AM46)</f>
        <v>0.69999999999999574</v>
      </c>
      <c r="AO46" s="68">
        <v>53.6</v>
      </c>
      <c r="AP46" s="68">
        <v>55.3</v>
      </c>
      <c r="AQ46" s="62">
        <f>IF(OR(AO46="",AP46="",AO46="-",AP46="-"),"-",AO46-AP46)</f>
        <v>-1.6999999999999957</v>
      </c>
      <c r="AR46" s="68">
        <v>52.2</v>
      </c>
      <c r="AS46" s="68">
        <v>54.7</v>
      </c>
      <c r="AT46" s="62">
        <f>IF(OR(AR46="",AS46="",AR46="-",AS46="-"),"-",AR46-AS46)</f>
        <v>-2.5</v>
      </c>
      <c r="AU46" s="70"/>
      <c r="AV46" s="68"/>
      <c r="AW46" s="62" t="str">
        <f>IF(OR(AU46="",AV46="",AU46="-",AV46="-"),"-",AU46-AV46)</f>
        <v>-</v>
      </c>
    </row>
    <row r="47" spans="1:49" x14ac:dyDescent="0.25">
      <c r="A47" s="67" t="s">
        <v>185</v>
      </c>
      <c r="B47" s="68"/>
      <c r="C47" s="68"/>
      <c r="D47" s="54" t="str">
        <f>IF(OR(B47="",C47="",B47="-",C47="-"),"-",B47-C47)</f>
        <v>-</v>
      </c>
      <c r="E47" s="68"/>
      <c r="F47" s="68"/>
      <c r="G47" s="54" t="str">
        <f>IF(OR(E47="",F47="",E47="-",F47="-"),"-",E47-F47)</f>
        <v>-</v>
      </c>
      <c r="H47" s="68">
        <v>61</v>
      </c>
      <c r="I47" s="68">
        <v>64</v>
      </c>
      <c r="J47" s="54">
        <f>IF(OR(H47="",I47="",H47="-",I47="-"),"-",H47-I47)</f>
        <v>-3</v>
      </c>
      <c r="K47" s="68"/>
      <c r="L47" s="68"/>
      <c r="M47" s="54" t="str">
        <f>IF(OR(K47="",L47="",K47="-",L47="-"),"-",K47-L47)</f>
        <v>-</v>
      </c>
      <c r="N47" s="68">
        <v>65</v>
      </c>
      <c r="O47" s="68">
        <v>65</v>
      </c>
      <c r="P47" s="54">
        <f>IF(OR(N47="",O47="",N47="-",O47="-"),"-",N47-O47)</f>
        <v>0</v>
      </c>
      <c r="Q47" s="68">
        <v>65</v>
      </c>
      <c r="R47" s="68">
        <v>64.569999999999993</v>
      </c>
      <c r="S47" s="54">
        <f>IF(OR(Q47="",R47="",Q47="-",R47="-"),"-",Q47-R47)</f>
        <v>0.43000000000000682</v>
      </c>
      <c r="T47" s="68">
        <v>64</v>
      </c>
      <c r="U47" s="68">
        <v>61</v>
      </c>
      <c r="V47" s="54">
        <f>IF(OR(T47="",U47="",T47="-",U47="-"),"-",T47-U47)</f>
        <v>3</v>
      </c>
      <c r="W47" s="68">
        <v>60</v>
      </c>
      <c r="X47" s="68">
        <v>64</v>
      </c>
      <c r="Y47" s="54">
        <f>IF(OR(W47="",X47="",W47="-",X47="-"),"-",W47-X47)</f>
        <v>-4</v>
      </c>
      <c r="Z47" s="68">
        <v>64</v>
      </c>
      <c r="AA47" s="68">
        <v>66</v>
      </c>
      <c r="AB47" s="54">
        <f>IF(OR(Z47="",AA47="",Z47="-",AA47="-"),"-",Z47-AA47)</f>
        <v>-2</v>
      </c>
      <c r="AC47" s="68"/>
      <c r="AD47" s="68"/>
      <c r="AE47" s="54" t="str">
        <f>IF(OR(AC47="",AD47="",AC47="-",AD47="-"),"-",AC47-AD47)</f>
        <v>-</v>
      </c>
      <c r="AF47" s="68">
        <v>67</v>
      </c>
      <c r="AG47" s="68">
        <v>68</v>
      </c>
      <c r="AH47" s="54">
        <f>IF(OR(AF47="",AG47="",AF47="-",AG47="-"),"-",AF47-AG47)</f>
        <v>-1</v>
      </c>
      <c r="AI47" s="68">
        <v>68</v>
      </c>
      <c r="AJ47" s="68">
        <v>66</v>
      </c>
      <c r="AK47" s="54">
        <f>IF(OR(AI47="",AJ47="",AI47="-",AJ47="-"),"-",AI47-AJ47)</f>
        <v>2</v>
      </c>
      <c r="AL47" s="68">
        <v>66</v>
      </c>
      <c r="AM47" s="68">
        <v>65</v>
      </c>
      <c r="AN47" s="54">
        <f>IF(OR(AL47="",AM47="",AL47="-",AM47="-"),"-",AL47-AM47)</f>
        <v>1</v>
      </c>
      <c r="AO47" s="68">
        <v>62</v>
      </c>
      <c r="AP47" s="68">
        <v>60</v>
      </c>
      <c r="AQ47" s="54">
        <f>IF(OR(AO47="",AP47="",AO47="-",AP47="-"),"-",AO47-AP47)</f>
        <v>2</v>
      </c>
      <c r="AR47" s="68">
        <v>60</v>
      </c>
      <c r="AS47" s="68">
        <v>60</v>
      </c>
      <c r="AT47" s="54">
        <f>IF(OR(AR47="",AS47="",AR47="-",AS47="-"),"-",AR47-AS47)</f>
        <v>0</v>
      </c>
      <c r="AU47" s="70"/>
      <c r="AV47" s="68"/>
      <c r="AW47" s="54" t="str">
        <f>IF(OR(AU47="",AV47="",AU47="-",AV47="-"),"-",AU47-AV47)</f>
        <v>-</v>
      </c>
    </row>
    <row r="48" spans="1:49" x14ac:dyDescent="0.25">
      <c r="A48" s="67" t="s">
        <v>186</v>
      </c>
      <c r="B48" s="68"/>
      <c r="C48" s="68"/>
      <c r="D48" s="34" t="str">
        <f>IF(OR(B48="",C48="",B48="-",C48="-"),"-",B48-C48)</f>
        <v>-</v>
      </c>
      <c r="E48" s="68"/>
      <c r="F48" s="68"/>
      <c r="G48" s="34" t="str">
        <f>IF(OR(E48="",F48="",E48="-",F48="-"),"-",E48-F48)</f>
        <v>-</v>
      </c>
      <c r="H48" s="71">
        <v>2.5000000000000001E-2</v>
      </c>
      <c r="I48" s="71">
        <v>1.9E-2</v>
      </c>
      <c r="J48" s="34">
        <f>IF(OR(H48="",I48="",H48="-",I48="-"),"-",H48-I48)</f>
        <v>6.0000000000000019E-3</v>
      </c>
      <c r="K48" s="68"/>
      <c r="L48" s="68"/>
      <c r="M48" s="34" t="str">
        <f>IF(OR(K48="",L48="",K48="-",L48="-"),"-",K48-L48)</f>
        <v>-</v>
      </c>
      <c r="N48" s="209">
        <v>0.03</v>
      </c>
      <c r="O48" s="71">
        <v>3.2000000000000001E-2</v>
      </c>
      <c r="P48" s="34">
        <f>IF(OR(N48="",O48="",N48="-",O48="-"),"-",N48-O48)</f>
        <v>-2.0000000000000018E-3</v>
      </c>
      <c r="Q48" s="71">
        <v>2.8000000000000001E-2</v>
      </c>
      <c r="R48" s="71">
        <v>2.7E-2</v>
      </c>
      <c r="S48" s="34">
        <f>IF(OR(Q48="",R48="",Q48="-",R48="-"),"-",Q48-R48)</f>
        <v>1.0000000000000009E-3</v>
      </c>
      <c r="T48" s="71">
        <v>3.9E-2</v>
      </c>
      <c r="U48" s="209">
        <v>0.36</v>
      </c>
      <c r="V48" s="34">
        <f>IF(OR(T48="",U48="",T48="-",U48="-"),"-",T48-U48)</f>
        <v>-0.32100000000000001</v>
      </c>
      <c r="W48" s="71">
        <v>3.5000000000000003E-2</v>
      </c>
      <c r="X48" s="71">
        <v>5.5E-2</v>
      </c>
      <c r="Y48" s="34">
        <f>IF(OR(W48="",X48="",W48="-",X48="-"),"-",W48-X48)</f>
        <v>-1.9999999999999997E-2</v>
      </c>
      <c r="Z48" s="71">
        <v>5.3999999999999999E-2</v>
      </c>
      <c r="AA48" s="71">
        <v>4.5999999999999999E-2</v>
      </c>
      <c r="AB48" s="34">
        <f>IF(OR(Z48="",AA48="",Z48="-",AA48="-"),"-",Z48-AA48)</f>
        <v>8.0000000000000002E-3</v>
      </c>
      <c r="AC48" s="71">
        <v>4.5999999999999999E-2</v>
      </c>
      <c r="AD48" s="71">
        <v>3.9E-2</v>
      </c>
      <c r="AE48" s="34">
        <f>IF(OR(AC48="",AD48="",AC48="-",AD48="-"),"-",AC48-AD48)</f>
        <v>6.9999999999999993E-3</v>
      </c>
      <c r="AF48" s="71">
        <v>3.3000000000000002E-2</v>
      </c>
      <c r="AG48" s="71">
        <v>3.4000000000000002E-2</v>
      </c>
      <c r="AH48" s="34">
        <f>IF(OR(AF48="",AG48="",AF48="-",AG48="-"),"-",AF48-AG48)</f>
        <v>-1.0000000000000009E-3</v>
      </c>
      <c r="AI48" s="71">
        <v>3.4000000000000002E-2</v>
      </c>
      <c r="AJ48" s="71">
        <v>2.7E-2</v>
      </c>
      <c r="AK48" s="34">
        <f>IF(OR(AI48="",AJ48="",AI48="-",AJ48="-"),"-",AI48-AJ48)</f>
        <v>7.0000000000000027E-3</v>
      </c>
      <c r="AL48" s="71">
        <v>2.8000000000000001E-2</v>
      </c>
      <c r="AM48" s="71">
        <v>1.7999999999999999E-2</v>
      </c>
      <c r="AN48" s="34">
        <f>IF(OR(AL48="",AM48="",AL48="-",AM48="-"),"-",AL48-AM48)</f>
        <v>1.0000000000000002E-2</v>
      </c>
      <c r="AO48" s="71">
        <v>2.1999999999999999E-2</v>
      </c>
      <c r="AP48" s="71">
        <v>2.7E-2</v>
      </c>
      <c r="AQ48" s="34">
        <f>IF(OR(AO48="",AP48="",AO48="-",AP48="-"),"-",AO48-AP48)</f>
        <v>-5.000000000000001E-3</v>
      </c>
      <c r="AR48" s="71">
        <v>2.1999999999999999E-2</v>
      </c>
      <c r="AS48" s="71">
        <v>1.2999999999999999E-2</v>
      </c>
      <c r="AT48" s="34">
        <f>IF(OR(AR48="",AS48="",AR48="-",AS48="-"),"-",AR48-AS48)</f>
        <v>8.9999999999999993E-3</v>
      </c>
      <c r="AU48" s="70"/>
      <c r="AV48" s="68"/>
      <c r="AW48" s="34" t="str">
        <f>IF(OR(AU48="",AV48="",AU48="-",AV48="-"),"-",AU48-AV48)</f>
        <v>-</v>
      </c>
    </row>
    <row r="49" spans="1:49" x14ac:dyDescent="0.25">
      <c r="A49" s="38" t="s">
        <v>187</v>
      </c>
      <c r="B49" s="42"/>
      <c r="C49" s="42"/>
      <c r="D49" s="65" t="str">
        <f>IF(OR(B49="",C49="",B49="-",C49="-"),"-",B49-C49)</f>
        <v>-</v>
      </c>
      <c r="E49" s="42">
        <v>0.7</v>
      </c>
      <c r="F49" s="42">
        <v>-0.5</v>
      </c>
      <c r="G49" s="65">
        <f>IF(OR(E49="",F49="",E49="-",F49="-"),"-",E49-F49)</f>
        <v>1.2</v>
      </c>
      <c r="H49" s="39">
        <v>-6.0000000000000001E-3</v>
      </c>
      <c r="I49" s="39">
        <v>-1E-3</v>
      </c>
      <c r="J49" s="65">
        <f>IF(OR(H49="",I49="",H49="-",I49="-"),"-",H49-I49)</f>
        <v>-5.0000000000000001E-3</v>
      </c>
      <c r="K49" s="42"/>
      <c r="L49" s="42"/>
      <c r="M49" s="65" t="str">
        <f>IF(OR(K49="",L49="",K49="-",L49="-"),"-",K49-L49)</f>
        <v>-</v>
      </c>
      <c r="N49" s="39">
        <v>-3.0000000000000001E-3</v>
      </c>
      <c r="O49" s="39">
        <v>3.0000000000000001E-3</v>
      </c>
      <c r="P49" s="65">
        <f>IF(OR(N49="",O49="",N49="-",O49="-"),"-",N49-O49)</f>
        <v>-6.0000000000000001E-3</v>
      </c>
      <c r="Q49" s="39">
        <v>3.0000000000000001E-3</v>
      </c>
      <c r="R49" s="39">
        <v>5.0000000000000001E-3</v>
      </c>
      <c r="S49" s="65">
        <f>IF(OR(Q49="",R49="",Q49="-",R49="-"),"-",Q49-R49)</f>
        <v>-2E-3</v>
      </c>
      <c r="T49" s="39">
        <v>4.0000000000000001E-3</v>
      </c>
      <c r="U49" s="39">
        <v>-3.0000000000000001E-3</v>
      </c>
      <c r="V49" s="65">
        <f>IF(OR(T49="",U49="",T49="-",U49="-"),"-",T49-U49)</f>
        <v>7.0000000000000001E-3</v>
      </c>
      <c r="W49" s="39">
        <v>-4.0000000000000001E-3</v>
      </c>
      <c r="X49" s="39">
        <v>3.0000000000000001E-3</v>
      </c>
      <c r="Y49" s="65">
        <f>IF(OR(W49="",X49="",W49="-",X49="-"),"-",W49-X49)</f>
        <v>-7.0000000000000001E-3</v>
      </c>
      <c r="Z49" s="39">
        <v>3.0000000000000001E-3</v>
      </c>
      <c r="AA49" s="39">
        <v>-2E-3</v>
      </c>
      <c r="AB49" s="65">
        <f>IF(OR(Z49="",AA49="",Z49="-",AA49="-"),"-",Z49-AA49)</f>
        <v>5.0000000000000001E-3</v>
      </c>
      <c r="AC49" s="39">
        <v>7.0000000000000001E-3</v>
      </c>
      <c r="AD49" s="39">
        <v>-2E-3</v>
      </c>
      <c r="AE49" s="65">
        <f>IF(OR(AC49="",AD49="",AC49="-",AD49="-"),"-",AC49-AD49)</f>
        <v>9.0000000000000011E-3</v>
      </c>
      <c r="AF49" s="39">
        <v>-2E-3</v>
      </c>
      <c r="AG49" s="39">
        <v>1.2E-2</v>
      </c>
      <c r="AH49" s="65">
        <f>IF(OR(AF49="",AG49="",AF49="-",AG49="-"),"-",AF49-AG49)</f>
        <v>-1.4E-2</v>
      </c>
      <c r="AI49" s="39">
        <v>1.2999999999999999E-2</v>
      </c>
      <c r="AJ49" s="39">
        <v>2E-3</v>
      </c>
      <c r="AK49" s="65">
        <f>IF(OR(AI49="",AJ49="",AI49="-",AJ49="-"),"-",AI49-AJ49)</f>
        <v>1.0999999999999999E-2</v>
      </c>
      <c r="AL49" s="72">
        <v>2E-3</v>
      </c>
      <c r="AM49" s="39">
        <v>3.0000000000000001E-3</v>
      </c>
      <c r="AN49" s="65">
        <f>IF(OR(AL49="",AM49="",AL49="-",AM49="-"),"-",AL49-AM49)</f>
        <v>-1E-3</v>
      </c>
      <c r="AO49" s="39">
        <v>3.0000000000000001E-3</v>
      </c>
      <c r="AP49" s="40">
        <v>8.9999999999999993E-3</v>
      </c>
      <c r="AQ49" s="65">
        <f>IF(OR(AO49="",AP49="",AO49="-",AP49="-"),"-",AO49-AP49)</f>
        <v>-5.9999999999999993E-3</v>
      </c>
      <c r="AR49" s="39">
        <v>-2E-3</v>
      </c>
      <c r="AS49" s="40">
        <v>0</v>
      </c>
      <c r="AT49" s="65">
        <f>IF(OR(AR49="",AS49="",AR49="-",AS49="-"),"-",AR49-AS49)</f>
        <v>-2E-3</v>
      </c>
      <c r="AU49" s="41"/>
      <c r="AV49" s="42"/>
      <c r="AW49" s="65" t="str">
        <f>IF(OR(AU49="",AV49="",AU49="-",AV49="-"),"-",AU49-AV49)</f>
        <v>-</v>
      </c>
    </row>
    <row r="50" spans="1:49" x14ac:dyDescent="0.25">
      <c r="A50" s="38" t="s">
        <v>188</v>
      </c>
      <c r="B50" s="42"/>
      <c r="C50" s="42"/>
      <c r="D50" s="65" t="str">
        <f>IF(OR(B50="",C50="",B50="-",C50="-"),"-",B50-C50)</f>
        <v>-</v>
      </c>
      <c r="E50" s="42"/>
      <c r="F50" s="42"/>
      <c r="G50" s="65" t="str">
        <f>IF(OR(E50="",F50="",E50="-",F50="-"),"-",E50-F50)</f>
        <v>-</v>
      </c>
      <c r="H50" s="39">
        <v>3.0000000000000001E-3</v>
      </c>
      <c r="I50" s="39">
        <v>3.0000000000000001E-3</v>
      </c>
      <c r="J50" s="65">
        <f>IF(OR(H50="",I50="",H50="-",I50="-"),"-",H50-I50)</f>
        <v>0</v>
      </c>
      <c r="K50" s="39">
        <v>3.0000000000000001E-3</v>
      </c>
      <c r="L50" s="39">
        <v>5.0000000000000001E-3</v>
      </c>
      <c r="M50" s="65">
        <f>IF(OR(K50="",L50="",K50="-",L50="-"),"-",K50-L50)</f>
        <v>-2E-3</v>
      </c>
      <c r="N50" s="39">
        <v>5.0000000000000001E-3</v>
      </c>
      <c r="O50" s="39">
        <v>-1E-3</v>
      </c>
      <c r="P50" s="65">
        <f>IF(OR(N50="",O50="",N50="-",O50="-"),"-",N50-O50)</f>
        <v>6.0000000000000001E-3</v>
      </c>
      <c r="Q50" s="42"/>
      <c r="R50" s="42"/>
      <c r="S50" s="65" t="str">
        <f>IF(OR(Q50="",R50="",Q50="-",R50="-"),"-",Q50-R50)</f>
        <v>-</v>
      </c>
      <c r="T50" s="39">
        <v>6.0000000000000001E-3</v>
      </c>
      <c r="U50" s="39">
        <v>-8.9999999999999993E-3</v>
      </c>
      <c r="V50" s="65">
        <f>IF(OR(T50="",U50="",T50="-",U50="-"),"-",T50-U50)</f>
        <v>1.4999999999999999E-2</v>
      </c>
      <c r="W50" s="39">
        <v>5.0000000000000001E-3</v>
      </c>
      <c r="X50" s="39">
        <v>-6.0000000000000001E-3</v>
      </c>
      <c r="Y50" s="65">
        <f>IF(OR(W50="",X50="",W50="-",X50="-"),"-",W50-X50)</f>
        <v>1.0999999999999999E-2</v>
      </c>
      <c r="Z50" s="39">
        <v>-6.0000000000000001E-3</v>
      </c>
      <c r="AA50" s="39">
        <v>0</v>
      </c>
      <c r="AB50" s="65">
        <f>IF(OR(Z50="",AA50="",Z50="-",AA50="-"),"-",Z50-AA50)</f>
        <v>-6.0000000000000001E-3</v>
      </c>
      <c r="AC50" s="39">
        <v>4.0000000000000001E-3</v>
      </c>
      <c r="AD50" s="39">
        <v>1E-3</v>
      </c>
      <c r="AE50" s="65">
        <f>IF(OR(AC50="",AD50="",AC50="-",AD50="-"),"-",AC50-AD50)</f>
        <v>3.0000000000000001E-3</v>
      </c>
      <c r="AF50" s="39">
        <v>1E-3</v>
      </c>
      <c r="AG50" s="39">
        <v>1.2E-2</v>
      </c>
      <c r="AH50" s="65">
        <f>IF(OR(AF50="",AG50="",AF50="-",AG50="-"),"-",AF50-AG50)</f>
        <v>-1.0999999999999999E-2</v>
      </c>
      <c r="AI50" s="39">
        <v>1.2E-2</v>
      </c>
      <c r="AJ50" s="39">
        <v>1E-3</v>
      </c>
      <c r="AK50" s="65">
        <f>IF(OR(AI50="",AJ50="",AI50="-",AJ50="-"),"-",AI50-AJ50)</f>
        <v>1.0999999999999999E-2</v>
      </c>
      <c r="AL50" s="39">
        <v>1E-3</v>
      </c>
      <c r="AM50" s="39">
        <v>6.0000000000000001E-3</v>
      </c>
      <c r="AN50" s="65">
        <f>IF(OR(AL50="",AM50="",AL50="-",AM50="-"),"-",AL50-AM50)</f>
        <v>-5.0000000000000001E-3</v>
      </c>
      <c r="AO50" s="39">
        <v>-2E-3</v>
      </c>
      <c r="AP50" s="39">
        <v>3.0000000000000001E-3</v>
      </c>
      <c r="AQ50" s="65">
        <f>IF(OR(AO50="",AP50="",AO50="-",AP50="-"),"-",AO50-AP50)</f>
        <v>-5.0000000000000001E-3</v>
      </c>
      <c r="AR50" s="39">
        <v>3.0000000000000001E-3</v>
      </c>
      <c r="AS50" s="39">
        <v>2E-3</v>
      </c>
      <c r="AT50" s="65">
        <f>IF(OR(AR50="",AS50="",AR50="-",AS50="-"),"-",AR50-AS50)</f>
        <v>1E-3</v>
      </c>
      <c r="AU50" s="41"/>
      <c r="AV50" s="42"/>
      <c r="AW50" s="65" t="str">
        <f>IF(OR(AU50="",AV50="",AU50="-",AV50="-"),"-",AU50-AV50)</f>
        <v>-</v>
      </c>
    </row>
    <row r="51" spans="1:49" x14ac:dyDescent="0.25">
      <c r="A51" s="38" t="s">
        <v>189</v>
      </c>
      <c r="B51" s="42"/>
      <c r="C51" s="42"/>
      <c r="D51" s="65" t="str">
        <f>IF(OR(B51="",C51="",B51="-",C51="-"),"-",B51-C51)</f>
        <v>-</v>
      </c>
      <c r="E51" s="42"/>
      <c r="F51" s="42"/>
      <c r="G51" s="65" t="str">
        <f>IF(OR(E51="",F51="",E51="-",F51="-"),"-",E51-F51)</f>
        <v>-</v>
      </c>
      <c r="H51" s="39">
        <v>2.8000000000000001E-2</v>
      </c>
      <c r="I51" s="39">
        <v>-1.7999999999999999E-2</v>
      </c>
      <c r="J51" s="65">
        <f>IF(OR(H51="",I51="",H51="-",I51="-"),"-",H51-I51)</f>
        <v>4.5999999999999999E-2</v>
      </c>
      <c r="K51" s="42"/>
      <c r="L51" s="42"/>
      <c r="M51" s="65" t="str">
        <f>IF(OR(K51="",L51="",K51="-",L51="-"),"-",K51-L51)</f>
        <v>-</v>
      </c>
      <c r="N51" s="39">
        <v>3.0000000000000001E-3</v>
      </c>
      <c r="O51" s="39">
        <v>4.0000000000000001E-3</v>
      </c>
      <c r="P51" s="65">
        <f>IF(OR(N51="",O51="",N51="-",O51="-"),"-",N51-O51)</f>
        <v>-1E-3</v>
      </c>
      <c r="Q51" s="39">
        <v>4.0000000000000001E-3</v>
      </c>
      <c r="R51" s="39">
        <v>-1.2E-2</v>
      </c>
      <c r="S51" s="65">
        <f>IF(OR(Q51="",R51="",Q51="-",R51="-"),"-",Q51-R51)</f>
        <v>1.6E-2</v>
      </c>
      <c r="T51" s="39">
        <v>-1.2E-2</v>
      </c>
      <c r="U51" s="39">
        <v>-3.0000000000000001E-3</v>
      </c>
      <c r="V51" s="65">
        <f>IF(OR(T51="",U51="",T51="-",U51="-"),"-",T51-U51)</f>
        <v>-9.0000000000000011E-3</v>
      </c>
      <c r="W51" s="39">
        <v>-3.0000000000000001E-3</v>
      </c>
      <c r="X51" s="39">
        <v>6.0000000000000001E-3</v>
      </c>
      <c r="Y51" s="65">
        <f>IF(OR(W51="",X51="",W51="-",X51="-"),"-",W51-X51)</f>
        <v>-9.0000000000000011E-3</v>
      </c>
      <c r="Z51" s="39">
        <v>1.4E-2</v>
      </c>
      <c r="AA51" s="39">
        <v>1.0999999999999999E-2</v>
      </c>
      <c r="AB51" s="65">
        <f>IF(OR(Z51="",AA51="",Z51="-",AA51="-"),"-",Z51-AA51)</f>
        <v>3.0000000000000009E-3</v>
      </c>
      <c r="AC51" s="39">
        <v>5.0000000000000001E-3</v>
      </c>
      <c r="AD51" s="39">
        <v>1.7000000000000001E-2</v>
      </c>
      <c r="AE51" s="65">
        <f>IF(OR(AC51="",AD51="",AC51="-",AD51="-"),"-",AC51-AD51)</f>
        <v>-1.2E-2</v>
      </c>
      <c r="AF51" s="39">
        <v>1.7000000000000001E-2</v>
      </c>
      <c r="AG51" s="39">
        <v>-1.7000000000000001E-2</v>
      </c>
      <c r="AH51" s="65">
        <f>IF(OR(AF51="",AG51="",AF51="-",AG51="-"),"-",AF51-AG51)</f>
        <v>3.4000000000000002E-2</v>
      </c>
      <c r="AI51" s="39">
        <v>-1.7000000000000001E-2</v>
      </c>
      <c r="AJ51" s="39">
        <v>3.0000000000000001E-3</v>
      </c>
      <c r="AK51" s="65">
        <f>IF(OR(AI51="",AJ51="",AI51="-",AJ51="-"),"-",AI51-AJ51)</f>
        <v>-0.02</v>
      </c>
      <c r="AL51" s="39">
        <v>3.0000000000000001E-3</v>
      </c>
      <c r="AM51" s="39">
        <v>8.0000000000000002E-3</v>
      </c>
      <c r="AN51" s="65">
        <f>IF(OR(AL51="",AM51="",AL51="-",AM51="-"),"-",AL51-AM51)</f>
        <v>-5.0000000000000001E-3</v>
      </c>
      <c r="AO51" s="39">
        <v>8.0000000000000002E-3</v>
      </c>
      <c r="AP51" s="39">
        <v>-1.4999999999999999E-2</v>
      </c>
      <c r="AQ51" s="65">
        <f>IF(OR(AO51="",AP51="",AO51="-",AP51="-"),"-",AO51-AP51)</f>
        <v>2.3E-2</v>
      </c>
      <c r="AR51" s="39">
        <v>-4.0000000000000001E-3</v>
      </c>
      <c r="AS51" s="42">
        <v>0</v>
      </c>
      <c r="AT51" s="65">
        <f>IF(OR(AR51="",AS51="",AR51="-",AS51="-"),"-",AR51-AS51)</f>
        <v>-4.0000000000000001E-3</v>
      </c>
      <c r="AU51" s="41"/>
      <c r="AV51" s="42"/>
      <c r="AW51" s="65" t="str">
        <f>IF(OR(AU51="",AV51="",AU51="-",AV51="-"),"-",AU51-AV51)</f>
        <v>-</v>
      </c>
    </row>
    <row r="52" spans="1:49" x14ac:dyDescent="0.25">
      <c r="A52" s="38" t="s">
        <v>190</v>
      </c>
      <c r="B52" s="42"/>
      <c r="C52" s="42"/>
      <c r="D52" s="65" t="str">
        <f>IF(OR(B52="",C52="",B52="-",C52="-"),"-",B52-C52)</f>
        <v>-</v>
      </c>
      <c r="E52" s="42"/>
      <c r="F52" s="42"/>
      <c r="G52" s="65" t="str">
        <f>IF(OR(E52="",F52="",E52="-",F52="-"),"-",E52-F52)</f>
        <v>-</v>
      </c>
      <c r="H52" s="39">
        <v>-1.2999999999999999E-2</v>
      </c>
      <c r="I52" s="39">
        <v>-1.2E-2</v>
      </c>
      <c r="J52" s="65">
        <f>IF(OR(H52="",I52="",H52="-",I52="-"),"-",H52-I52)</f>
        <v>-9.9999999999999915E-4</v>
      </c>
      <c r="K52" s="42"/>
      <c r="L52" s="42"/>
      <c r="M52" s="65" t="str">
        <f>IF(OR(K52="",L52="",K52="-",L52="-"),"-",K52-L52)</f>
        <v>-</v>
      </c>
      <c r="N52" s="39">
        <v>-3.0000000000000001E-3</v>
      </c>
      <c r="O52" s="39">
        <v>2E-3</v>
      </c>
      <c r="P52" s="65">
        <f>IF(OR(N52="",O52="",N52="-",O52="-"),"-",N52-O52)</f>
        <v>-5.0000000000000001E-3</v>
      </c>
      <c r="Q52" s="39">
        <v>2E-3</v>
      </c>
      <c r="R52" s="39">
        <v>-5.0000000000000001E-3</v>
      </c>
      <c r="S52" s="65">
        <f>IF(OR(Q52="",R52="",Q52="-",R52="-"),"-",Q52-R52)</f>
        <v>7.0000000000000001E-3</v>
      </c>
      <c r="T52" s="39">
        <v>-6.0000000000000001E-3</v>
      </c>
      <c r="U52" s="39">
        <v>8.0000000000000002E-3</v>
      </c>
      <c r="V52" s="65">
        <f>IF(OR(T52="",U52="",T52="-",U52="-"),"-",T52-U52)</f>
        <v>-1.4E-2</v>
      </c>
      <c r="W52" s="39">
        <v>8.9999999999999993E-3</v>
      </c>
      <c r="X52" s="39">
        <v>2E-3</v>
      </c>
      <c r="Y52" s="65">
        <f>IF(OR(W52="",X52="",W52="-",X52="-"),"-",W52-X52)</f>
        <v>6.9999999999999993E-3</v>
      </c>
      <c r="Z52" s="39">
        <v>4.0000000000000001E-3</v>
      </c>
      <c r="AA52" s="39">
        <v>-3.0000000000000001E-3</v>
      </c>
      <c r="AB52" s="65">
        <f>IF(OR(Z52="",AA52="",Z52="-",AA52="-"),"-",Z52-AA52)</f>
        <v>7.0000000000000001E-3</v>
      </c>
      <c r="AC52" s="39">
        <v>-2E-3</v>
      </c>
      <c r="AD52" s="39">
        <v>6.0000000000000001E-3</v>
      </c>
      <c r="AE52" s="65">
        <f>IF(OR(AC52="",AD52="",AC52="-",AD52="-"),"-",AC52-AD52)</f>
        <v>-8.0000000000000002E-3</v>
      </c>
      <c r="AF52" s="39">
        <v>4.0000000000000001E-3</v>
      </c>
      <c r="AG52" s="39">
        <v>-3.0000000000000001E-3</v>
      </c>
      <c r="AH52" s="65">
        <f>IF(OR(AF52="",AG52="",AF52="-",AG52="-"),"-",AF52-AG52)</f>
        <v>7.0000000000000001E-3</v>
      </c>
      <c r="AI52" s="39">
        <v>-4.0000000000000001E-3</v>
      </c>
      <c r="AJ52" s="39">
        <v>6.0000000000000001E-3</v>
      </c>
      <c r="AK52" s="65">
        <f>IF(OR(AI52="",AJ52="",AI52="-",AJ52="-"),"-",AI52-AJ52)</f>
        <v>-0.01</v>
      </c>
      <c r="AL52" s="39">
        <v>4.0000000000000001E-3</v>
      </c>
      <c r="AM52" s="39">
        <v>-4.0000000000000001E-3</v>
      </c>
      <c r="AN52" s="65">
        <f>IF(OR(AL52="",AM52="",AL52="-",AM52="-"),"-",AL52-AM52)</f>
        <v>8.0000000000000002E-3</v>
      </c>
      <c r="AO52" s="39">
        <v>-4.0000000000000001E-3</v>
      </c>
      <c r="AP52" s="39">
        <v>5.0000000000000001E-3</v>
      </c>
      <c r="AQ52" s="65">
        <f>IF(OR(AO52="",AP52="",AO52="-",AP52="-"),"-",AO52-AP52)</f>
        <v>-9.0000000000000011E-3</v>
      </c>
      <c r="AR52" s="39">
        <v>1.9E-2</v>
      </c>
      <c r="AS52" s="39">
        <v>-1.0999999999999999E-2</v>
      </c>
      <c r="AT52" s="65">
        <f>IF(OR(AR52="",AS52="",AR52="-",AS52="-"),"-",AR52-AS52)</f>
        <v>0.03</v>
      </c>
      <c r="AU52" s="48">
        <v>4.0000000000000001E-3</v>
      </c>
      <c r="AV52" s="39">
        <v>-0.02</v>
      </c>
      <c r="AW52" s="65">
        <f>IF(OR(AU52="",AV52="",AU52="-",AV52="-"),"-",AU52-AV52)</f>
        <v>2.4E-2</v>
      </c>
    </row>
    <row r="53" spans="1:49" x14ac:dyDescent="0.25">
      <c r="A53" s="38" t="s">
        <v>191</v>
      </c>
      <c r="B53" s="42"/>
      <c r="C53" s="42"/>
      <c r="D53" s="65" t="str">
        <f>IF(OR(B53="",C53="",B53="-",C53="-"),"-",B53-C53)</f>
        <v>-</v>
      </c>
      <c r="E53" s="42"/>
      <c r="F53" s="42"/>
      <c r="G53" s="65" t="str">
        <f>IF(OR(E53="",F53="",E53="-",F53="-"),"-",E53-F53)</f>
        <v>-</v>
      </c>
      <c r="H53" s="42"/>
      <c r="I53" s="42"/>
      <c r="J53" s="65" t="str">
        <f>IF(OR(H53="",I53="",H53="-",I53="-"),"-",H53-I53)</f>
        <v>-</v>
      </c>
      <c r="K53" s="42"/>
      <c r="L53" s="42"/>
      <c r="M53" s="65" t="str">
        <f>IF(OR(K53="",L53="",K53="-",L53="-"),"-",K53-L53)</f>
        <v>-</v>
      </c>
      <c r="N53" s="42"/>
      <c r="O53" s="42"/>
      <c r="P53" s="65" t="str">
        <f>IF(OR(N53="",O53="",N53="-",O53="-"),"-",N53-O53)</f>
        <v>-</v>
      </c>
      <c r="Q53" s="42"/>
      <c r="R53" s="42"/>
      <c r="S53" s="65" t="str">
        <f>IF(OR(Q53="",R53="",Q53="-",R53="-"),"-",Q53-R53)</f>
        <v>-</v>
      </c>
      <c r="T53" s="42"/>
      <c r="U53" s="42"/>
      <c r="V53" s="65" t="str">
        <f>IF(OR(T53="",U53="",T53="-",U53="-"),"-",T53-U53)</f>
        <v>-</v>
      </c>
      <c r="W53" s="42"/>
      <c r="X53" s="42"/>
      <c r="Y53" s="65" t="str">
        <f>IF(OR(W53="",X53="",W53="-",X53="-"),"-",W53-X53)</f>
        <v>-</v>
      </c>
      <c r="Z53" s="42"/>
      <c r="AA53" s="42"/>
      <c r="AB53" s="65" t="str">
        <f>IF(OR(Z53="",AA53="",Z53="-",AA53="-"),"-",Z53-AA53)</f>
        <v>-</v>
      </c>
      <c r="AC53" s="42"/>
      <c r="AD53" s="42"/>
      <c r="AE53" s="65" t="str">
        <f>IF(OR(AC53="",AD53="",AC53="-",AD53="-"),"-",AC53-AD53)</f>
        <v>-</v>
      </c>
      <c r="AF53" s="42"/>
      <c r="AG53" s="42"/>
      <c r="AH53" s="65" t="str">
        <f>IF(OR(AF53="",AG53="",AF53="-",AG53="-"),"-",AF53-AG53)</f>
        <v>-</v>
      </c>
      <c r="AI53" s="42"/>
      <c r="AJ53" s="42"/>
      <c r="AK53" s="65" t="str">
        <f>IF(OR(AI53="",AJ53="",AI53="-",AJ53="-"),"-",AI53-AJ53)</f>
        <v>-</v>
      </c>
      <c r="AL53" s="42"/>
      <c r="AM53" s="42"/>
      <c r="AN53" s="65" t="str">
        <f>IF(OR(AL53="",AM53="",AL53="-",AM53="-"),"-",AL53-AM53)</f>
        <v>-</v>
      </c>
      <c r="AO53" s="42"/>
      <c r="AP53" s="42"/>
      <c r="AQ53" s="65" t="str">
        <f>IF(OR(AO53="",AP53="",AO53="-",AP53="-"),"-",AO53-AP53)</f>
        <v>-</v>
      </c>
      <c r="AR53" s="42"/>
      <c r="AS53" s="42"/>
      <c r="AT53" s="65" t="str">
        <f>IF(OR(AR53="",AS53="",AR53="-",AS53="-"),"-",AR53-AS53)</f>
        <v>-</v>
      </c>
      <c r="AU53" s="41"/>
      <c r="AV53" s="42"/>
      <c r="AW53" s="65" t="str">
        <f>IF(OR(AU53="",AV53="",AU53="-",AV53="-"),"-",AU53-AV53)</f>
        <v>-</v>
      </c>
    </row>
    <row r="54" spans="1:49" x14ac:dyDescent="0.25">
      <c r="A54" s="38" t="s">
        <v>192</v>
      </c>
      <c r="B54" s="42"/>
      <c r="C54" s="42"/>
      <c r="D54" s="10" t="str">
        <f>IF(OR(B54="",C54="",B54="-",C54="-"),"-",B54-C54)</f>
        <v>-</v>
      </c>
      <c r="E54" s="42"/>
      <c r="F54" s="42"/>
      <c r="G54" s="10" t="str">
        <f>IF(OR(E54="",F54="",E54="-",F54="-"),"-",E54-F54)</f>
        <v>-</v>
      </c>
      <c r="H54" s="42">
        <v>-10.9</v>
      </c>
      <c r="I54" s="42">
        <v>-17.899999999999999</v>
      </c>
      <c r="J54" s="10">
        <f>IF(OR(H54="",I54="",H54="-",I54="-"),"-",H54-I54)</f>
        <v>6.9999999999999982</v>
      </c>
      <c r="K54" s="42"/>
      <c r="L54" s="42"/>
      <c r="M54" s="10" t="str">
        <f>IF(OR(K54="",L54="",K54="-",L54="-"),"-",K54-L54)</f>
        <v>-</v>
      </c>
      <c r="N54" s="42">
        <v>-16.100000000000001</v>
      </c>
      <c r="O54" s="42">
        <v>-4.9000000000000004</v>
      </c>
      <c r="P54" s="10">
        <f>IF(OR(N54="",O54="",N54="-",O54="-"),"-",N54-O54)</f>
        <v>-11.200000000000001</v>
      </c>
      <c r="Q54" s="42"/>
      <c r="R54" s="42"/>
      <c r="S54" s="10" t="str">
        <f>IF(OR(Q54="",R54="",Q54="-",R54="-"),"-",Q54-R54)</f>
        <v>-</v>
      </c>
      <c r="T54" s="42">
        <v>-3.3</v>
      </c>
      <c r="U54" s="42">
        <v>-13.5</v>
      </c>
      <c r="V54" s="10">
        <f>IF(OR(T54="",U54="",T54="-",U54="-"),"-",T54-U54)</f>
        <v>10.199999999999999</v>
      </c>
      <c r="W54" s="42"/>
      <c r="X54" s="42"/>
      <c r="Y54" s="10" t="str">
        <f>IF(OR(W54="",X54="",W54="-",X54="-"),"-",W54-X54)</f>
        <v>-</v>
      </c>
      <c r="Z54" s="42">
        <v>-13.4</v>
      </c>
      <c r="AA54" s="42">
        <v>-13.4</v>
      </c>
      <c r="AB54" s="10">
        <f>IF(OR(Z54="",AA54="",Z54="-",AA54="-"),"-",Z54-AA54)</f>
        <v>0</v>
      </c>
      <c r="AC54" s="42"/>
      <c r="AD54" s="42"/>
      <c r="AE54" s="10" t="str">
        <f>IF(OR(AC54="",AD54="",AC54="-",AD54="-"),"-",AC54-AD54)</f>
        <v>-</v>
      </c>
      <c r="AF54" s="42">
        <v>-12.5</v>
      </c>
      <c r="AG54" s="42">
        <v>-15.2</v>
      </c>
      <c r="AH54" s="10">
        <f>IF(OR(AF54="",AG54="",AF54="-",AG54="-"),"-",AF54-AG54)</f>
        <v>2.6999999999999993</v>
      </c>
      <c r="AI54" s="42"/>
      <c r="AJ54" s="42"/>
      <c r="AK54" s="10" t="str">
        <f>IF(OR(AI54="",AJ54="",AI54="-",AJ54="-"),"-",AI54-AJ54)</f>
        <v>-</v>
      </c>
      <c r="AL54" s="42">
        <v>-14.5</v>
      </c>
      <c r="AM54" s="42">
        <v>-23</v>
      </c>
      <c r="AN54" s="10">
        <f>IF(OR(AL54="",AM54="",AL54="-",AM54="-"),"-",AL54-AM54)</f>
        <v>8.5</v>
      </c>
      <c r="AO54" s="42"/>
      <c r="AP54" s="42"/>
      <c r="AQ54" s="10" t="str">
        <f>IF(OR(AO54="",AP54="",AO54="-",AP54="-"),"-",AO54-AP54)</f>
        <v>-</v>
      </c>
      <c r="AR54" s="42">
        <v>-23.9</v>
      </c>
      <c r="AS54" s="42">
        <v>-24.7</v>
      </c>
      <c r="AT54" s="10">
        <f>IF(OR(AR54="",AS54="",AR54="-",AS54="-"),"-",AR54-AS54)</f>
        <v>0.80000000000000071</v>
      </c>
      <c r="AU54" s="41"/>
      <c r="AV54" s="42"/>
      <c r="AW54" s="10" t="str">
        <f>IF(OR(AU54="",AV54="",AU54="-",AV54="-"),"-",AU54-AV54)</f>
        <v>-</v>
      </c>
    </row>
    <row r="55" spans="1:49" x14ac:dyDescent="0.25">
      <c r="A55" s="38" t="s">
        <v>193</v>
      </c>
      <c r="B55" s="42"/>
      <c r="C55" s="42"/>
      <c r="D55" s="65" t="str">
        <f>IF(OR(B55="",C55="",B55="-",C55="-"),"-",B55-C55)</f>
        <v>-</v>
      </c>
      <c r="E55" s="42"/>
      <c r="F55" s="42"/>
      <c r="G55" s="65" t="str">
        <f>IF(OR(E55="",F55="",E55="-",F55="-"),"-",E55-F55)</f>
        <v>-</v>
      </c>
      <c r="H55" s="40">
        <v>-0.14000000000000001</v>
      </c>
      <c r="I55" s="40">
        <v>-0.14000000000000001</v>
      </c>
      <c r="J55" s="65">
        <f>IF(OR(H55="",I55="",H55="-",I55="-"),"-",H55-I55)</f>
        <v>0</v>
      </c>
      <c r="K55" s="42"/>
      <c r="L55" s="42"/>
      <c r="M55" s="65" t="str">
        <f>IF(OR(K55="",L55="",K55="-",L55="-"),"-",K55-L55)</f>
        <v>-</v>
      </c>
      <c r="N55" s="40">
        <v>-0.15</v>
      </c>
      <c r="O55" s="40">
        <v>-0.18</v>
      </c>
      <c r="P55" s="65">
        <f>IF(OR(N55="",O55="",N55="-",O55="-"),"-",N55-O55)</f>
        <v>0.03</v>
      </c>
      <c r="Q55" s="40">
        <v>-0.19</v>
      </c>
      <c r="R55" s="40">
        <v>-7.0000000000000007E-2</v>
      </c>
      <c r="S55" s="65">
        <f>IF(OR(Q55="",R55="",Q55="-",R55="-"),"-",Q55-R55)</f>
        <v>-0.12</v>
      </c>
      <c r="T55" s="40">
        <v>-7.0000000000000007E-2</v>
      </c>
      <c r="U55" s="40">
        <v>-7.0000000000000007E-2</v>
      </c>
      <c r="V55" s="65">
        <f>IF(OR(T55="",U55="",T55="-",U55="-"),"-",T55-U55)</f>
        <v>0</v>
      </c>
      <c r="W55" s="40">
        <v>-0.08</v>
      </c>
      <c r="X55" s="40">
        <v>-0.03</v>
      </c>
      <c r="Y55" s="65">
        <f>IF(OR(W55="",X55="",W55="-",X55="-"),"-",W55-X55)</f>
        <v>-0.05</v>
      </c>
      <c r="Z55" s="40">
        <v>-0.03</v>
      </c>
      <c r="AA55" s="40">
        <v>0.11</v>
      </c>
      <c r="AB55" s="65">
        <f>IF(OR(Z55="",AA55="",Z55="-",AA55="-"),"-",Z55-AA55)</f>
        <v>-0.14000000000000001</v>
      </c>
      <c r="AC55" s="39">
        <v>0.22</v>
      </c>
      <c r="AD55" s="39">
        <v>0.26</v>
      </c>
      <c r="AE55" s="65">
        <f>IF(OR(AC55="",AD55="",AC55="-",AD55="-"),"-",AC55-AD55)</f>
        <v>-4.0000000000000008E-2</v>
      </c>
      <c r="AF55" s="40">
        <v>0.28000000000000003</v>
      </c>
      <c r="AG55" s="40">
        <v>0.24</v>
      </c>
      <c r="AH55" s="65">
        <f>IF(OR(AF55="",AG55="",AF55="-",AG55="-"),"-",AF55-AG55)</f>
        <v>4.0000000000000036E-2</v>
      </c>
      <c r="AI55" s="40">
        <v>0.25</v>
      </c>
      <c r="AJ55" s="40">
        <v>0.11</v>
      </c>
      <c r="AK55" s="65">
        <f>IF(OR(AI55="",AJ55="",AI55="-",AJ55="-"),"-",AI55-AJ55)</f>
        <v>0.14000000000000001</v>
      </c>
      <c r="AL55" s="39">
        <v>1.0999999999999999E-2</v>
      </c>
      <c r="AM55" s="42">
        <v>0</v>
      </c>
      <c r="AN55" s="65">
        <f>IF(OR(AL55="",AM55="",AL55="-",AM55="-"),"-",AL55-AM55)</f>
        <v>1.0999999999999999E-2</v>
      </c>
      <c r="AO55" s="40">
        <v>0.01</v>
      </c>
      <c r="AP55" s="40">
        <v>-0.18</v>
      </c>
      <c r="AQ55" s="65">
        <f>IF(OR(AO55="",AP55="",AO55="-",AP55="-"),"-",AO55-AP55)</f>
        <v>0.19</v>
      </c>
      <c r="AR55" s="40">
        <v>-0.17</v>
      </c>
      <c r="AS55" s="40">
        <v>-0.17</v>
      </c>
      <c r="AT55" s="65">
        <f>IF(OR(AR55="",AS55="",AR55="-",AS55="-"),"-",AR55-AS55)</f>
        <v>0</v>
      </c>
      <c r="AU55" s="41"/>
      <c r="AV55" s="42"/>
      <c r="AW55" s="65" t="str">
        <f>IF(OR(AU55="",AV55="",AU55="-",AV55="-"),"-",AU55-AV55)</f>
        <v>-</v>
      </c>
    </row>
    <row r="56" spans="1:49" x14ac:dyDescent="0.25">
      <c r="A56" s="38"/>
      <c r="B56" s="42"/>
      <c r="C56" s="42"/>
      <c r="D56" s="20"/>
      <c r="E56" s="42"/>
      <c r="F56" s="42"/>
      <c r="G56" s="20"/>
      <c r="H56" s="42"/>
      <c r="I56" s="42"/>
      <c r="J56" s="20"/>
      <c r="K56" s="42"/>
      <c r="L56" s="42"/>
      <c r="M56" s="20"/>
      <c r="N56" s="42"/>
      <c r="O56" s="42"/>
      <c r="P56" s="20"/>
      <c r="Q56" s="42"/>
      <c r="R56" s="42"/>
      <c r="S56" s="20"/>
      <c r="T56" s="42"/>
      <c r="U56" s="42"/>
      <c r="V56" s="20"/>
      <c r="W56" s="42"/>
      <c r="X56" s="42"/>
      <c r="Y56" s="20"/>
      <c r="Z56" s="42"/>
      <c r="AA56" s="42"/>
      <c r="AB56" s="20"/>
      <c r="AC56" s="42"/>
      <c r="AD56" s="42"/>
      <c r="AE56" s="20"/>
      <c r="AF56" s="42"/>
      <c r="AG56" s="42"/>
      <c r="AH56" s="20"/>
      <c r="AI56" s="42"/>
      <c r="AJ56" s="42"/>
      <c r="AK56" s="20"/>
      <c r="AL56" s="42"/>
      <c r="AM56" s="42"/>
      <c r="AN56" s="20"/>
      <c r="AO56" s="42"/>
      <c r="AP56" s="42"/>
      <c r="AQ56" s="20"/>
      <c r="AR56" s="42"/>
      <c r="AS56" s="42"/>
      <c r="AT56" s="20"/>
      <c r="AU56" s="41"/>
      <c r="AV56" s="42"/>
      <c r="AW56" s="20"/>
    </row>
    <row r="57" spans="1:49" x14ac:dyDescent="0.25">
      <c r="A57" s="2" t="s">
        <v>83</v>
      </c>
      <c r="B57" s="320" t="str">
        <f>IF(AND(D58="-",D59="-"), "",
    IF(SUM(IF(D58="-", 0, IF(D58&lt;0, -2, IF(D58&gt;0, 2, 0))),
            IF(D59="-", 0, IF(D59&lt;0, -2, IF(D59&gt;0, 2, 0)))) / 4 &gt; 0.1, "BULLISH",
    IF(SUM(IF(D58="-", 0, IF(D58&lt;0, -2, IF(D58&gt;0, 2, 0))),
            IF(D59="-", 0, IF(D59&lt;0, -2, IF(D59&gt;0, 2, 0)))) / 4 &lt; -0.1, "BEARISH",
    IF(SUM(IF(D58="-", 0, IF(D58&lt;0, -2, IF(D58&gt;0, 2, 0))),
            IF(D59="-", 0, IF(D59&lt;0, -2, IF(D59&gt;0, 2, 0)))) / 4 &gt; -0.1, "NEUTRO",
    IF(SUM(IF(D58="-", 0, IF(D58&lt;0, -2, IF(D58&gt;0, 2, 0))),
            IF(D59="-", 0, IF(D59&lt;0, -2, IF(D59&gt;0, 2, 0)))) / 4 &lt; 0.1, "NEUTRO",
    "")))))</f>
        <v/>
      </c>
      <c r="C57" s="321"/>
      <c r="D57" s="319"/>
      <c r="E57" s="320" t="str">
        <f>IF(AND(G58="-",G59="-"), "",
    IF(SUM(IF(G58="-", 0, IF(G58&lt;0, -2, IF(G58&gt;0, 2, 0))),
            IF(G59="-", 0, IF(G59&lt;0, -2, IF(G59&gt;0, 2, 0)))) / 4 &gt; 0.1, "BULLISH",
    IF(SUM(IF(G58="-", 0, IF(G58&lt;0, -2, IF(G58&gt;0, 2, 0))),
            IF(G59="-", 0, IF(G59&lt;0, -2, IF(G59&gt;0, 2, 0)))) / 4 &lt; -0.1, "BEARISH",
    IF(SUM(IF(G58="-", 0, IF(G58&lt;0, -2, IF(G58&gt;0, 2, 0))),
            IF(G59="-", 0, IF(G59&lt;0, -2, IF(G59&gt;0, 2, 0)))) / 4 &gt; -0.1, "NEUTRO",
    IF(SUM(IF(G58="-", 0, IF(G58&lt;0, -2, IF(G58&gt;0, 2, 0))),
            IF(G59="-", 0, IF(G59&lt;0, -2, IF(G59&gt;0, 2, 0)))) / 4 &lt; 0.1, "NEUTRO",
    "")))))</f>
        <v/>
      </c>
      <c r="F57" s="321"/>
      <c r="G57" s="319"/>
      <c r="H57" s="320" t="str">
        <f>IF(AND(J58="-",J59="-"), "",
    IF(SUM(IF(J58="-", 0, IF(J58&lt;0, -2, IF(J58&gt;0, 2, 0))),
            IF(J59="-", 0, IF(J59&lt;0, -2, IF(J59&gt;0, 2, 0)))) / 4 &gt; 0.1, "BULLISH",
    IF(SUM(IF(J58="-", 0, IF(J58&lt;0, -2, IF(J58&gt;0, 2, 0))),
            IF(J59="-", 0, IF(J59&lt;0, -2, IF(J59&gt;0, 2, 0)))) / 4 &lt; -0.1, "BEARISH",
    IF(SUM(IF(J58="-", 0, IF(J58&lt;0, -2, IF(J58&gt;0, 2, 0))),
            IF(J59="-", 0, IF(J59&lt;0, -2, IF(J59&gt;0, 2, 0)))) / 4 &gt; -0.1, "NEUTRO",
    IF(SUM(IF(J58="-", 0, IF(J58&lt;0, -2, IF(J58&gt;0, 2, 0))),
            IF(J59="-", 0, IF(J59&lt;0, -2, IF(J59&gt;0, 2, 0)))) / 4 &lt; 0.1, "NEUTRO",
    "")))))</f>
        <v/>
      </c>
      <c r="I57" s="321"/>
      <c r="J57" s="319"/>
      <c r="K57" s="320" t="str">
        <f>IF(AND(M58="-",M59="-"), "",
    IF(SUM(IF(M58="-", 0, IF(M58&lt;0, -2, IF(M58&gt;0, 2, 0))),
            IF(M59="-", 0, IF(M59&lt;0, -2, IF(M59&gt;0, 2, 0)))) / 4 &gt; 0.1, "BULLISH",
    IF(SUM(IF(M58="-", 0, IF(M58&lt;0, -2, IF(M58&gt;0, 2, 0))),
            IF(M59="-", 0, IF(M59&lt;0, -2, IF(M59&gt;0, 2, 0)))) / 4 &lt; -0.1, "BEARISH",
    IF(SUM(IF(M58="-", 0, IF(M58&lt;0, -2, IF(M58&gt;0, 2, 0))),
            IF(M59="-", 0, IF(M59&lt;0, -2, IF(M59&gt;0, 2, 0)))) / 4 &gt; -0.1, "NEUTRO",
    IF(SUM(IF(M58="-", 0, IF(M58&lt;0, -2, IF(M58&gt;0, 2, 0))),
            IF(M59="-", 0, IF(M59&lt;0, -2, IF(M59&gt;0, 2, 0)))) / 4 &lt; 0.1, "NEUTRO",
    "")))))</f>
        <v/>
      </c>
      <c r="L57" s="321"/>
      <c r="M57" s="319"/>
      <c r="N57" s="320" t="str">
        <f>IF(AND(P58="-",P59="-"), "",
    IF(SUM(IF(P58="-", 0, IF(P58&lt;0, -2, IF(P58&gt;0, 2, 0))),
            IF(P59="-", 0, IF(P59&lt;0, -2, IF(P59&gt;0, 2, 0)))) / 4 &gt; 0.1, "BULLISH",
    IF(SUM(IF(P58="-", 0, IF(P58&lt;0, -2, IF(P58&gt;0, 2, 0))),
            IF(P59="-", 0, IF(P59&lt;0, -2, IF(P59&gt;0, 2, 0)))) / 4 &lt; -0.1, "BEARISH",
    IF(SUM(IF(P58="-", 0, IF(P58&lt;0, -2, IF(P58&gt;0, 2, 0))),
            IF(P59="-", 0, IF(P59&lt;0, -2, IF(P59&gt;0, 2, 0)))) / 4 &gt; -0.1, "NEUTRO",
    IF(SUM(IF(P58="-", 0, IF(P58&lt;0, -2, IF(P58&gt;0, 2, 0))),
            IF(P59="-", 0, IF(P59&lt;0, -2, IF(P59&gt;0, 2, 0)))) / 4 &lt; 0.1, "NEUTRO",
    "")))))</f>
        <v/>
      </c>
      <c r="O57" s="321"/>
      <c r="P57" s="319"/>
      <c r="Q57" s="320" t="str">
        <f>IF(AND(S58="-",S59="-"), "",
    IF(SUM(IF(S58="-", 0, IF(S58&lt;0, -2, IF(S58&gt;0, 2, 0))),
            IF(S59="-", 0, IF(S59&lt;0, -2, IF(S59&gt;0, 2, 0)))) / 4 &gt; 0.1, "BULLISH",
    IF(SUM(IF(S58="-", 0, IF(S58&lt;0, -2, IF(S58&gt;0, 2, 0))),
            IF(S59="-", 0, IF(S59&lt;0, -2, IF(S59&gt;0, 2, 0)))) / 4 &lt; -0.1, "BEARISH",
    IF(SUM(IF(S58="-", 0, IF(S58&lt;0, -2, IF(S58&gt;0, 2, 0))),
            IF(S59="-", 0, IF(S59&lt;0, -2, IF(S59&gt;0, 2, 0)))) / 4 &gt; -0.1, "NEUTRO",
    IF(SUM(IF(S58="-", 0, IF(S58&lt;0, -2, IF(S58&gt;0, 2, 0))),
            IF(S59="-", 0, IF(S59&lt;0, -2, IF(S59&gt;0, 2, 0)))) / 4 &lt; 0.1, "NEUTRO",
    "")))))</f>
        <v>BULLISH</v>
      </c>
      <c r="R57" s="321"/>
      <c r="S57" s="319"/>
      <c r="T57" s="320" t="str">
        <f>IF(AND(V58="-",V59="-"), "",
    IF(SUM(IF(V58="-", 0, IF(V58&lt;0, -2, IF(V58&gt;0, 2, 0))),
            IF(V59="-", 0, IF(V59&lt;0, -2, IF(V59&gt;0, 2, 0)))) / 4 &gt; 0.1, "BULLISH",
    IF(SUM(IF(V58="-", 0, IF(V58&lt;0, -2, IF(V58&gt;0, 2, 0))),
            IF(V59="-", 0, IF(V59&lt;0, -2, IF(V59&gt;0, 2, 0)))) / 4 &lt; -0.1, "BEARISH",
    IF(SUM(IF(V58="-", 0, IF(V58&lt;0, -2, IF(V58&gt;0, 2, 0))),
            IF(V59="-", 0, IF(V59&lt;0, -2, IF(V59&gt;0, 2, 0)))) / 4 &gt; -0.1, "NEUTRO",
    IF(SUM(IF(V58="-", 0, IF(V58&lt;0, -2, IF(V58&gt;0, 2, 0))),
            IF(V59="-", 0, IF(V59&lt;0, -2, IF(V59&gt;0, 2, 0)))) / 4 &lt; 0.1, "NEUTRO",
    "")))))</f>
        <v>NEUTRO</v>
      </c>
      <c r="U57" s="321"/>
      <c r="V57" s="319"/>
      <c r="W57" s="320" t="str">
        <f>IF(AND(Y58="-",Y59="-"), "",
    IF(SUM(IF(Y58="-", 0, IF(Y58&lt;0, -2, IF(Y58&gt;0, 2, 0))),
            IF(Y59="-", 0, IF(Y59&lt;0, -2, IF(Y59&gt;0, 2, 0)))) / 4 &gt; 0.1, "BULLISH",
    IF(SUM(IF(Y58="-", 0, IF(Y58&lt;0, -2, IF(Y58&gt;0, 2, 0))),
            IF(Y59="-", 0, IF(Y59&lt;0, -2, IF(Y59&gt;0, 2, 0)))) / 4 &lt; -0.1, "BEARISH",
    IF(SUM(IF(Y58="-", 0, IF(Y58&lt;0, -2, IF(Y58&gt;0, 2, 0))),
            IF(Y59="-", 0, IF(Y59&lt;0, -2, IF(Y59&gt;0, 2, 0)))) / 4 &gt; -0.1, "NEUTRO",
    IF(SUM(IF(Y58="-", 0, IF(Y58&lt;0, -2, IF(Y58&gt;0, 2, 0))),
            IF(Y59="-", 0, IF(Y59&lt;0, -2, IF(Y59&gt;0, 2, 0)))) / 4 &lt; 0.1, "NEUTRO",
    "")))))</f>
        <v/>
      </c>
      <c r="X57" s="321"/>
      <c r="Y57" s="319"/>
      <c r="Z57" s="320" t="str">
        <f>IF(AND(AB58="-",AB59="-"), "",
    IF(SUM(IF(AB58="-", 0, IF(AB58&lt;0, -2, IF(AB58&gt;0, 2, 0))),
            IF(AB59="-", 0, IF(AB59&lt;0, -2, IF(AB59&gt;0, 2, 0)))) / 4 &gt; 0.1, "BULLISH",
    IF(SUM(IF(AB58="-", 0, IF(AB58&lt;0, -2, IF(AB58&gt;0, 2, 0))),
            IF(AB59="-", 0, IF(AB59&lt;0, -2, IF(AB59&gt;0, 2, 0)))) / 4 &lt; -0.1, "BEARISH",
    IF(SUM(IF(AB58="-", 0, IF(AB58&lt;0, -2, IF(AB58&gt;0, 2, 0))),
            IF(AB59="-", 0, IF(AB59&lt;0, -2, IF(AB59&gt;0, 2, 0)))) / 4 &gt; -0.1, "NEUTRO",
    IF(SUM(IF(AB58="-", 0, IF(AB58&lt;0, -2, IF(AB58&gt;0, 2, 0))),
            IF(AB59="-", 0, IF(AB59&lt;0, -2, IF(AB59&gt;0, 2, 0)))) / 4 &lt; 0.1, "NEUTRO",
    "")))))</f>
        <v>BEARISH</v>
      </c>
      <c r="AA57" s="321"/>
      <c r="AB57" s="319"/>
      <c r="AC57" s="320" t="str">
        <f>IF(AND(AE58="-",AE59="-"), "",
    IF(SUM(IF(AE58="-", 0, IF(AE58&lt;0, -2, IF(AE58&gt;0, 2, 0))),
            IF(AE59="-", 0, IF(AE59&lt;0, -2, IF(AE59&gt;0, 2, 0)))) / 4 &gt; 0.1, "BULLISH",
    IF(SUM(IF(AE58="-", 0, IF(AE58&lt;0, -2, IF(AE58&gt;0, 2, 0))),
            IF(AE59="-", 0, IF(AE59&lt;0, -2, IF(AE59&gt;0, 2, 0)))) / 4 &lt; -0.1, "BEARISH",
    IF(SUM(IF(AE58="-", 0, IF(AE58&lt;0, -2, IF(AE58&gt;0, 2, 0))),
            IF(AE59="-", 0, IF(AE59&lt;0, -2, IF(AE59&gt;0, 2, 0)))) / 4 &gt; -0.1, "NEUTRO",
    IF(SUM(IF(AE58="-", 0, IF(AE58&lt;0, -2, IF(AE58&gt;0, 2, 0))),
            IF(AE59="-", 0, IF(AE59&lt;0, -2, IF(AE59&gt;0, 2, 0)))) / 4 &lt; 0.1, "NEUTRO",
    "")))))</f>
        <v/>
      </c>
      <c r="AD57" s="321"/>
      <c r="AE57" s="319"/>
      <c r="AF57" s="320" t="str">
        <f>IF(AND(AH58="-",AH59="-"), "",
    IF(SUM(IF(AH58="-", 0, IF(AH58&lt;0, -2, IF(AH58&gt;0, 2, 0))),
            IF(AH59="-", 0, IF(AH59&lt;0, -2, IF(AH59&gt;0, 2, 0)))) / 4 &gt; 0.1, "BULLISH",
    IF(SUM(IF(AH58="-", 0, IF(AH58&lt;0, -2, IF(AH58&gt;0, 2, 0))),
            IF(AH59="-", 0, IF(AH59&lt;0, -2, IF(AH59&gt;0, 2, 0)))) / 4 &lt; -0.1, "BEARISH",
    IF(SUM(IF(AH58="-", 0, IF(AH58&lt;0, -2, IF(AH58&gt;0, 2, 0))),
            IF(AH59="-", 0, IF(AH59&lt;0, -2, IF(AH59&gt;0, 2, 0)))) / 4 &gt; -0.1, "NEUTRO",
    IF(SUM(IF(AH58="-", 0, IF(AH58&lt;0, -2, IF(AH58&gt;0, 2, 0))),
            IF(AH59="-", 0, IF(AH59&lt;0, -2, IF(AH59&gt;0, 2, 0)))) / 4 &lt; 0.1, "NEUTRO",
    "")))))</f>
        <v/>
      </c>
      <c r="AG57" s="321"/>
      <c r="AH57" s="319"/>
      <c r="AI57" s="320" t="str">
        <f>IF(AND(AK58="-",AK59="-"), "",
    IF(SUM(IF(AK58="-", 0, IF(AK58&lt;0, -2, IF(AK58&gt;0, 2, 0))),
            IF(AK59="-", 0, IF(AK59&lt;0, -2, IF(AK59&gt;0, 2, 0)))) / 4 &gt; 0.1, "BULLISH",
    IF(SUM(IF(AK58="-", 0, IF(AK58&lt;0, -2, IF(AK58&gt;0, 2, 0))),
            IF(AK59="-", 0, IF(AK59&lt;0, -2, IF(AK59&gt;0, 2, 0)))) / 4 &lt; -0.1, "BEARISH",
    IF(SUM(IF(AK58="-", 0, IF(AK58&lt;0, -2, IF(AK58&gt;0, 2, 0))),
            IF(AK59="-", 0, IF(AK59&lt;0, -2, IF(AK59&gt;0, 2, 0)))) / 4 &gt; -0.1, "NEUTRO",
    IF(SUM(IF(AK58="-", 0, IF(AK58&lt;0, -2, IF(AK58&gt;0, 2, 0))),
            IF(AK59="-", 0, IF(AK59&lt;0, -2, IF(AK59&gt;0, 2, 0)))) / 4 &lt; 0.1, "NEUTRO",
    "")))))</f>
        <v/>
      </c>
      <c r="AJ57" s="321"/>
      <c r="AK57" s="319"/>
      <c r="AL57" s="320" t="str">
        <f>IF(AND(AN58="-",AN59="-"), "",
    IF(SUM(IF(AN58="-", 0, IF(AN58&lt;0, -2, IF(AN58&gt;0, 2, 0))),
            IF(AN59="-", 0, IF(AN59&lt;0, -2, IF(AN59&gt;0, 2, 0)))) / 4 &gt; 0.1, "BULLISH",
    IF(SUM(IF(AN58="-", 0, IF(AN58&lt;0, -2, IF(AN58&gt;0, 2, 0))),
            IF(AN59="-", 0, IF(AN59&lt;0, -2, IF(AN59&gt;0, 2, 0)))) / 4 &lt; -0.1, "BEARISH",
    IF(SUM(IF(AN58="-", 0, IF(AN58&lt;0, -2, IF(AN58&gt;0, 2, 0))),
            IF(AN59="-", 0, IF(AN59&lt;0, -2, IF(AN59&gt;0, 2, 0)))) / 4 &gt; -0.1, "NEUTRO",
    IF(SUM(IF(AN58="-", 0, IF(AN58&lt;0, -2, IF(AN58&gt;0, 2, 0))),
            IF(AN59="-", 0, IF(AN59&lt;0, -2, IF(AN59&gt;0, 2, 0)))) / 4 &lt; 0.1, "NEUTRO",
    "")))))</f>
        <v/>
      </c>
      <c r="AM57" s="321"/>
      <c r="AN57" s="319"/>
      <c r="AO57" s="320" t="str">
        <f>IF(AND(AQ58="-",AQ59="-"), "",
    IF(SUM(IF(AQ58="-", 0, IF(AQ58&lt;0, -2, IF(AQ58&gt;0, 2, 0))),
            IF(AQ59="-", 0, IF(AQ59&lt;0, -2, IF(AQ59&gt;0, 2, 0)))) / 4 &gt; 0.1, "BULLISH",
    IF(SUM(IF(AQ58="-", 0, IF(AQ58&lt;0, -2, IF(AQ58&gt;0, 2, 0))),
            IF(AQ59="-", 0, IF(AQ59&lt;0, -2, IF(AQ59&gt;0, 2, 0)))) / 4 &lt; -0.1, "BEARISH",
    IF(SUM(IF(AQ58="-", 0, IF(AQ58&lt;0, -2, IF(AQ58&gt;0, 2, 0))),
            IF(AQ59="-", 0, IF(AQ59&lt;0, -2, IF(AQ59&gt;0, 2, 0)))) / 4 &gt; -0.1, "NEUTRO",
    IF(SUM(IF(AQ58="-", 0, IF(AQ58&lt;0, -2, IF(AQ58&gt;0, 2, 0))),
            IF(AQ59="-", 0, IF(AQ59&lt;0, -2, IF(AQ59&gt;0, 2, 0)))) / 4 &lt; 0.1, "NEUTRO",
    "")))))</f>
        <v/>
      </c>
      <c r="AP57" s="321"/>
      <c r="AQ57" s="319"/>
      <c r="AR57" s="320" t="str">
        <f>IF(AND(AT58="-",AT59="-"), "",
    IF(SUM(IF(AT58="-", 0, IF(AT58&lt;0, -2, IF(AT58&gt;0, 2, 0))),
            IF(AT59="-", 0, IF(AT59&lt;0, -2, IF(AT59&gt;0, 2, 0)))) / 4 &gt; 0.1, "BULLISH",
    IF(SUM(IF(AT58="-", 0, IF(AT58&lt;0, -2, IF(AT58&gt;0, 2, 0))),
            IF(AT59="-", 0, IF(AT59&lt;0, -2, IF(AT59&gt;0, 2, 0)))) / 4 &lt; -0.1, "BEARISH",
    IF(SUM(IF(AT58="-", 0, IF(AT58&lt;0, -2, IF(AT58&gt;0, 2, 0))),
            IF(AT59="-", 0, IF(AT59&lt;0, -2, IF(AT59&gt;0, 2, 0)))) / 4 &gt; -0.1, "NEUTRO",
    IF(SUM(IF(AT58="-", 0, IF(AT58&lt;0, -2, IF(AT58&gt;0, 2, 0))),
            IF(AT59="-", 0, IF(AT59&lt;0, -2, IF(AT59&gt;0, 2, 0)))) / 4 &lt; 0.1, "NEUTRO",
    "")))))</f>
        <v/>
      </c>
      <c r="AS57" s="321"/>
      <c r="AT57" s="319"/>
      <c r="AU57" s="320" t="str">
        <f>IF(AND(AW58="-",AW59="-"), "",
    IF(SUM(IF(AW58="-", 0, IF(AW58&lt;0, -2, IF(AW58&gt;0, 2, 0))),
            IF(AW59="-", 0, IF(AW59&lt;0, -2, IF(AW59&gt;0, 2, 0)))) / 4 &gt; 0.1, "BULLISH",
    IF(SUM(IF(AW58="-", 0, IF(AW58&lt;0, -2, IF(AW58&gt;0, 2, 0))),
            IF(AW59="-", 0, IF(AW59&lt;0, -2, IF(AW59&gt;0, 2, 0)))) / 4 &lt; -0.1, "BEARISH",
    IF(SUM(IF(AW58="-", 0, IF(AW58&lt;0, -2, IF(AW58&gt;0, 2, 0))),
            IF(AW59="-", 0, IF(AW59&lt;0, -2, IF(AW59&gt;0, 2, 0)))) / 4 &gt; -0.1, "NEUTRO",
    IF(SUM(IF(AW58="-", 0, IF(AW58&lt;0, -2, IF(AW58&gt;0, 2, 0))),
            IF(AW59="-", 0, IF(AW59&lt;0, -2, IF(AW59&gt;0, 2, 0)))) / 4 &lt; 0.1, "NEUTRO",
    "")))))</f>
        <v/>
      </c>
      <c r="AV57" s="321"/>
      <c r="AW57" s="319"/>
    </row>
    <row r="58" spans="1:49" x14ac:dyDescent="0.25">
      <c r="A58" s="73" t="s">
        <v>194</v>
      </c>
      <c r="B58" s="74"/>
      <c r="C58" s="74"/>
      <c r="D58" s="62" t="str">
        <f>IF(OR(B58="",C58="",B58="-",C58="-"),"-",B58-C58)</f>
        <v>-</v>
      </c>
      <c r="E58" s="74"/>
      <c r="F58" s="74"/>
      <c r="G58" s="62" t="str">
        <f>IF(OR(E58="",F58="",E58="-",F58="-"),"-",E58-F58)</f>
        <v>-</v>
      </c>
      <c r="H58" s="74"/>
      <c r="I58" s="74"/>
      <c r="J58" s="62" t="str">
        <f>IF(OR(H58="",I58="",H58="-",I58="-"),"-",H58-I58)</f>
        <v>-</v>
      </c>
      <c r="K58" s="74"/>
      <c r="L58" s="74"/>
      <c r="M58" s="62" t="str">
        <f>IF(OR(K58="",L58="",K58="-",L58="-"),"-",K58-L58)</f>
        <v>-</v>
      </c>
      <c r="N58" s="74"/>
      <c r="O58" s="74">
        <v>44</v>
      </c>
      <c r="P58" s="62" t="str">
        <f>IF(OR(N58="",O58="",N58="-",O58="-"),"-",N58-O58)</f>
        <v>-</v>
      </c>
      <c r="Q58" s="74">
        <v>44</v>
      </c>
      <c r="R58" s="74">
        <v>34</v>
      </c>
      <c r="S58" s="62">
        <f>IF(OR(Q58="",R58="",Q58="-",R58="-"),"-",Q58-R58)</f>
        <v>10</v>
      </c>
      <c r="T58" s="74">
        <v>9098</v>
      </c>
      <c r="U58" s="74">
        <v>8.8140000000000001</v>
      </c>
      <c r="V58" s="62">
        <f>IF(OR(T58="",U58="",T58="-",U58="-"),"-",T58-U58)</f>
        <v>9089.1859999999997</v>
      </c>
      <c r="W58" s="74"/>
      <c r="X58" s="74"/>
      <c r="Y58" s="62" t="str">
        <f>IF(OR(W58="",X58="",W58="-",X58="-"),"-",W58-X58)</f>
        <v>-</v>
      </c>
      <c r="Z58" s="74"/>
      <c r="AA58" s="74"/>
      <c r="AB58" s="62" t="str">
        <f>IF(OR(Z58="",AA58="",Z58="-",AA58="-"),"-",Z58-AA58)</f>
        <v>-</v>
      </c>
      <c r="AC58" s="74"/>
      <c r="AD58" s="74"/>
      <c r="AE58" s="62" t="str">
        <f>IF(OR(AC58="",AD58="",AC58="-",AD58="-"),"-",AC58-AD58)</f>
        <v>-</v>
      </c>
      <c r="AF58" s="74"/>
      <c r="AG58" s="74"/>
      <c r="AH58" s="62" t="str">
        <f>IF(OR(AF58="",AG58="",AF58="-",AG58="-"),"-",AF58-AG58)</f>
        <v>-</v>
      </c>
      <c r="AI58" s="74"/>
      <c r="AJ58" s="74"/>
      <c r="AK58" s="62" t="str">
        <f>IF(OR(AI58="",AJ58="",AI58="-",AJ58="-"),"-",AI58-AJ58)</f>
        <v>-</v>
      </c>
      <c r="AL58" s="74"/>
      <c r="AM58" s="74"/>
      <c r="AN58" s="62" t="str">
        <f>IF(OR(AL58="",AM58="",AL58="-",AM58="-"),"-",AL58-AM58)</f>
        <v>-</v>
      </c>
      <c r="AO58" s="74"/>
      <c r="AP58" s="74"/>
      <c r="AQ58" s="62" t="str">
        <f>IF(OR(AO58="",AP58="",AO58="-",AP58="-"),"-",AO58-AP58)</f>
        <v>-</v>
      </c>
      <c r="AR58" s="74"/>
      <c r="AS58" s="74"/>
      <c r="AT58" s="62" t="str">
        <f>IF(OR(AR58="",AS58="",AR58="-",AS58="-"),"-",AR58-AS58)</f>
        <v>-</v>
      </c>
      <c r="AU58" s="74"/>
      <c r="AV58" s="75"/>
      <c r="AW58" s="62" t="str">
        <f>IF(OR(AU58="",AV58="",AU58="-",AV58="-"),"-",AU58-AV58)</f>
        <v>-</v>
      </c>
    </row>
    <row r="59" spans="1:49" x14ac:dyDescent="0.25">
      <c r="A59" s="76" t="s">
        <v>195</v>
      </c>
      <c r="B59" s="77"/>
      <c r="C59" s="77"/>
      <c r="D59" s="78" t="str">
        <f>IF(OR(B59="",C59="",B59="-",C59="-"),"-",B59-C59)</f>
        <v>-</v>
      </c>
      <c r="E59" s="77"/>
      <c r="F59" s="77"/>
      <c r="G59" s="78" t="str">
        <f>IF(OR(E59="",F59="",E59="-",F59="-"),"-",E59-F59)</f>
        <v>-</v>
      </c>
      <c r="H59" s="77"/>
      <c r="I59" s="77"/>
      <c r="J59" s="78" t="str">
        <f>IF(OR(H59="",I59="",H59="-",I59="-"),"-",H59-I59)</f>
        <v>-</v>
      </c>
      <c r="K59" s="77"/>
      <c r="L59" s="77"/>
      <c r="M59" s="78" t="str">
        <f>IF(OR(K59="",L59="",K59="-",L59="-"),"-",K59-L59)</f>
        <v>-</v>
      </c>
      <c r="N59" s="77"/>
      <c r="O59" s="77"/>
      <c r="P59" s="78" t="str">
        <f>IF(OR(N59="",O59="",N59="-",O59="-"),"-",N59-O59)</f>
        <v>-</v>
      </c>
      <c r="Q59" s="77"/>
      <c r="R59" s="77"/>
      <c r="S59" s="78" t="str">
        <f>IF(OR(Q59="",R59="",Q59="-",R59="-"),"-",Q59-R59)</f>
        <v>-</v>
      </c>
      <c r="T59" s="77">
        <v>92560</v>
      </c>
      <c r="U59" s="77">
        <v>92646</v>
      </c>
      <c r="V59" s="78">
        <f>IF(OR(T59="",U59="",T59="-",U59="-"),"-",T59-U59)</f>
        <v>-86</v>
      </c>
      <c r="W59" s="77"/>
      <c r="X59" s="77">
        <v>4.6399999999999997</v>
      </c>
      <c r="Y59" s="78" t="str">
        <f>IF(OR(W59="",X59="",W59="-",X59="-"),"-",W59-X59)</f>
        <v>-</v>
      </c>
      <c r="Z59" s="77">
        <v>4.6399999999999997</v>
      </c>
      <c r="AA59" s="77">
        <v>4.68</v>
      </c>
      <c r="AB59" s="78">
        <f>IF(OR(Z59="",AA59="",Z59="-",AA59="-"),"-",Z59-AA59)</f>
        <v>-4.0000000000000036E-2</v>
      </c>
      <c r="AC59" s="77"/>
      <c r="AD59" s="77"/>
      <c r="AE59" s="78" t="str">
        <f>IF(OR(AC59="",AD59="",AC59="-",AD59="-"),"-",AC59-AD59)</f>
        <v>-</v>
      </c>
      <c r="AF59" s="77"/>
      <c r="AG59" s="77"/>
      <c r="AH59" s="78" t="str">
        <f>IF(OR(AF59="",AG59="",AF59="-",AG59="-"),"-",AF59-AG59)</f>
        <v>-</v>
      </c>
      <c r="AI59" s="77"/>
      <c r="AJ59" s="77"/>
      <c r="AK59" s="78" t="str">
        <f>IF(OR(AI59="",AJ59="",AI59="-",AJ59="-"),"-",AI59-AJ59)</f>
        <v>-</v>
      </c>
      <c r="AL59" s="77"/>
      <c r="AM59" s="77"/>
      <c r="AN59" s="78" t="str">
        <f>IF(OR(AL59="",AM59="",AL59="-",AM59="-"),"-",AL59-AM59)</f>
        <v>-</v>
      </c>
      <c r="AO59" s="77"/>
      <c r="AP59" s="77"/>
      <c r="AQ59" s="78" t="str">
        <f>IF(OR(AO59="",AP59="",AO59="-",AP59="-"),"-",AO59-AP59)</f>
        <v>-</v>
      </c>
      <c r="AR59" s="77"/>
      <c r="AS59" s="77"/>
      <c r="AT59" s="78" t="str">
        <f>IF(OR(AR59="",AS59="",AR59="-",AS59="-"),"-",AR59-AS59)</f>
        <v>-</v>
      </c>
      <c r="AU59" s="77"/>
      <c r="AV59" s="79"/>
      <c r="AW59" s="78" t="str">
        <f>IF(OR(AU59="",AV59="",AU59="-",AV59="-"),"-",AU59-AV59)</f>
        <v>-</v>
      </c>
    </row>
  </sheetData>
  <mergeCells count="127">
    <mergeCell ref="E1:F1"/>
    <mergeCell ref="B2:D2"/>
    <mergeCell ref="B12:D12"/>
    <mergeCell ref="B18:D18"/>
    <mergeCell ref="B23:D23"/>
    <mergeCell ref="B32:D32"/>
    <mergeCell ref="B45:D45"/>
    <mergeCell ref="B57:D57"/>
    <mergeCell ref="B1:C1"/>
    <mergeCell ref="E45:G45"/>
    <mergeCell ref="E57:G57"/>
    <mergeCell ref="E2:G2"/>
    <mergeCell ref="E12:G12"/>
    <mergeCell ref="E18:G18"/>
    <mergeCell ref="E23:G23"/>
    <mergeCell ref="E32:G32"/>
    <mergeCell ref="Q57:S57"/>
    <mergeCell ref="T57:V57"/>
    <mergeCell ref="W57:Y57"/>
    <mergeCell ref="T18:V18"/>
    <mergeCell ref="W18:Y18"/>
    <mergeCell ref="T23:V23"/>
    <mergeCell ref="W23:Y23"/>
    <mergeCell ref="AL32:AN32"/>
    <mergeCell ref="AO32:AQ32"/>
    <mergeCell ref="AF23:AH23"/>
    <mergeCell ref="AI23:AK23"/>
    <mergeCell ref="AO18:AQ18"/>
    <mergeCell ref="AL23:AN23"/>
    <mergeCell ref="Z18:AB18"/>
    <mergeCell ref="AC32:AE32"/>
    <mergeCell ref="AC18:AE18"/>
    <mergeCell ref="Z23:AB23"/>
    <mergeCell ref="AC23:AE23"/>
    <mergeCell ref="Z57:AB57"/>
    <mergeCell ref="AC57:AE57"/>
    <mergeCell ref="AF57:AH57"/>
    <mergeCell ref="AI57:AK57"/>
    <mergeCell ref="AL57:AN57"/>
    <mergeCell ref="AU32:AW32"/>
    <mergeCell ref="AO23:AQ23"/>
    <mergeCell ref="AO57:AQ57"/>
    <mergeCell ref="AR57:AT57"/>
    <mergeCell ref="Z45:AB45"/>
    <mergeCell ref="AC45:AE45"/>
    <mergeCell ref="AF45:AH45"/>
    <mergeCell ref="AI45:AK45"/>
    <mergeCell ref="AL45:AN45"/>
    <mergeCell ref="AO45:AQ45"/>
    <mergeCell ref="AU57:AW57"/>
    <mergeCell ref="AF32:AH32"/>
    <mergeCell ref="AI32:AK32"/>
    <mergeCell ref="Z32:AB32"/>
    <mergeCell ref="AR45:AT45"/>
    <mergeCell ref="AR23:AT23"/>
    <mergeCell ref="AR32:AT32"/>
    <mergeCell ref="AU2:AW2"/>
    <mergeCell ref="Z1:AA1"/>
    <mergeCell ref="AF1:AG1"/>
    <mergeCell ref="AL1:AM1"/>
    <mergeCell ref="AO1:AP1"/>
    <mergeCell ref="AR1:AS1"/>
    <mergeCell ref="AU1:AV1"/>
    <mergeCell ref="AC1:AD1"/>
    <mergeCell ref="AF2:AH2"/>
    <mergeCell ref="AI2:AK2"/>
    <mergeCell ref="AL2:AN2"/>
    <mergeCell ref="AO2:AQ2"/>
    <mergeCell ref="AR2:AT2"/>
    <mergeCell ref="Z2:AB2"/>
    <mergeCell ref="AC2:AE2"/>
    <mergeCell ref="AU23:AW23"/>
    <mergeCell ref="AL12:AN12"/>
    <mergeCell ref="AO12:AQ12"/>
    <mergeCell ref="AR12:AT12"/>
    <mergeCell ref="AU12:AW12"/>
    <mergeCell ref="AF18:AH18"/>
    <mergeCell ref="AI18:AK18"/>
    <mergeCell ref="AL18:AN18"/>
    <mergeCell ref="Q45:S45"/>
    <mergeCell ref="T45:V45"/>
    <mergeCell ref="W45:Y45"/>
    <mergeCell ref="AU18:AW18"/>
    <mergeCell ref="AF12:AH12"/>
    <mergeCell ref="AI12:AK12"/>
    <mergeCell ref="AU45:AW45"/>
    <mergeCell ref="Z12:AB12"/>
    <mergeCell ref="AC12:AE12"/>
    <mergeCell ref="AR18:AT18"/>
    <mergeCell ref="T1:U1"/>
    <mergeCell ref="W1:X1"/>
    <mergeCell ref="Q2:S2"/>
    <mergeCell ref="T2:V2"/>
    <mergeCell ref="W2:Y2"/>
    <mergeCell ref="Q12:S12"/>
    <mergeCell ref="T32:V32"/>
    <mergeCell ref="W32:Y32"/>
    <mergeCell ref="Q18:S18"/>
    <mergeCell ref="Q23:S23"/>
    <mergeCell ref="Q32:S32"/>
    <mergeCell ref="Q1:R1"/>
    <mergeCell ref="T12:V12"/>
    <mergeCell ref="W12:Y12"/>
    <mergeCell ref="H2:J2"/>
    <mergeCell ref="H12:J12"/>
    <mergeCell ref="H18:J18"/>
    <mergeCell ref="H23:J23"/>
    <mergeCell ref="H32:J32"/>
    <mergeCell ref="H45:J45"/>
    <mergeCell ref="H57:J57"/>
    <mergeCell ref="N1:O1"/>
    <mergeCell ref="N45:P45"/>
    <mergeCell ref="N57:P57"/>
    <mergeCell ref="N2:P2"/>
    <mergeCell ref="N12:P12"/>
    <mergeCell ref="N18:P18"/>
    <mergeCell ref="N23:P23"/>
    <mergeCell ref="N32:P32"/>
    <mergeCell ref="K1:L1"/>
    <mergeCell ref="K45:M45"/>
    <mergeCell ref="K57:M57"/>
    <mergeCell ref="K2:M2"/>
    <mergeCell ref="K12:M12"/>
    <mergeCell ref="K18:M18"/>
    <mergeCell ref="K23:M23"/>
    <mergeCell ref="K32:M32"/>
    <mergeCell ref="H1:I1"/>
  </mergeCells>
  <conditionalFormatting sqref="A2">
    <cfRule type="containsBlanks" dxfId="8309" priority="2856">
      <formula>LEN(TRIM(A2))=0</formula>
    </cfRule>
    <cfRule type="containsText" dxfId="8308" priority="2857" operator="containsText" text="NEUTRO">
      <formula>NOT(ISERROR(SEARCH("NEUTRO",A2)))</formula>
    </cfRule>
    <cfRule type="containsText" dxfId="8307" priority="2858" operator="containsText" text="BULLISH">
      <formula>NOT(ISERROR(SEARCH("BULLISH",A2)))</formula>
    </cfRule>
    <cfRule type="containsText" dxfId="8306" priority="2859" operator="containsText" text="BEARISH">
      <formula>NOT(ISERROR(SEARCH("BEARISH",A2)))</formula>
    </cfRule>
  </conditionalFormatting>
  <conditionalFormatting sqref="A12">
    <cfRule type="containsBlanks" dxfId="8305" priority="2852">
      <formula>LEN(TRIM(A12))=0</formula>
    </cfRule>
    <cfRule type="containsText" dxfId="8304" priority="2853" operator="containsText" text="NEUTRO">
      <formula>NOT(ISERROR(SEARCH("NEUTRO",A12)))</formula>
    </cfRule>
    <cfRule type="containsText" dxfId="8303" priority="2854" operator="containsText" text="BULLISH">
      <formula>NOT(ISERROR(SEARCH("BULLISH",A12)))</formula>
    </cfRule>
    <cfRule type="containsText" dxfId="8302" priority="2855" operator="containsText" text="BEARISH">
      <formula>NOT(ISERROR(SEARCH("BEARISH",A12)))</formula>
    </cfRule>
  </conditionalFormatting>
  <conditionalFormatting sqref="A18">
    <cfRule type="containsBlanks" dxfId="8301" priority="2848">
      <formula>LEN(TRIM(A18))=0</formula>
    </cfRule>
    <cfRule type="containsText" dxfId="8300" priority="2849" operator="containsText" text="NEUTRO">
      <formula>NOT(ISERROR(SEARCH("NEUTRO",A18)))</formula>
    </cfRule>
    <cfRule type="containsText" dxfId="8299" priority="2850" operator="containsText" text="BULLISH">
      <formula>NOT(ISERROR(SEARCH("BULLISH",A18)))</formula>
    </cfRule>
    <cfRule type="containsText" dxfId="8298" priority="2851" operator="containsText" text="BEARISH">
      <formula>NOT(ISERROR(SEARCH("BEARISH",A18)))</formula>
    </cfRule>
  </conditionalFormatting>
  <conditionalFormatting sqref="A23">
    <cfRule type="containsBlanks" dxfId="8297" priority="2844">
      <formula>LEN(TRIM(A23))=0</formula>
    </cfRule>
    <cfRule type="containsText" dxfId="8296" priority="2845" operator="containsText" text="NEUTRO">
      <formula>NOT(ISERROR(SEARCH("NEUTRO",A23)))</formula>
    </cfRule>
    <cfRule type="containsText" dxfId="8295" priority="2846" operator="containsText" text="BULLISH">
      <formula>NOT(ISERROR(SEARCH("BULLISH",A23)))</formula>
    </cfRule>
    <cfRule type="containsText" dxfId="8294" priority="2847" operator="containsText" text="BEARISH">
      <formula>NOT(ISERROR(SEARCH("BEARISH",A23)))</formula>
    </cfRule>
  </conditionalFormatting>
  <conditionalFormatting sqref="A32">
    <cfRule type="containsBlanks" dxfId="8293" priority="2840">
      <formula>LEN(TRIM(A32))=0</formula>
    </cfRule>
    <cfRule type="containsText" dxfId="8292" priority="2841" operator="containsText" text="NEUTRO">
      <formula>NOT(ISERROR(SEARCH("NEUTRO",A32)))</formula>
    </cfRule>
    <cfRule type="containsText" dxfId="8291" priority="2842" operator="containsText" text="BULLISH">
      <formula>NOT(ISERROR(SEARCH("BULLISH",A32)))</formula>
    </cfRule>
    <cfRule type="containsText" dxfId="8290" priority="2843" operator="containsText" text="BEARISH">
      <formula>NOT(ISERROR(SEARCH("BEARISH",A32)))</formula>
    </cfRule>
  </conditionalFormatting>
  <conditionalFormatting sqref="A45">
    <cfRule type="containsBlanks" dxfId="8289" priority="2836">
      <formula>LEN(TRIM(A45))=0</formula>
    </cfRule>
    <cfRule type="containsText" dxfId="8288" priority="2837" operator="containsText" text="NEUTRO">
      <formula>NOT(ISERROR(SEARCH("NEUTRO",A45)))</formula>
    </cfRule>
    <cfRule type="containsText" dxfId="8287" priority="2838" operator="containsText" text="BULLISH">
      <formula>NOT(ISERROR(SEARCH("BULLISH",A45)))</formula>
    </cfRule>
    <cfRule type="containsText" dxfId="8286" priority="2839" operator="containsText" text="BEARISH">
      <formula>NOT(ISERROR(SEARCH("BEARISH",A45)))</formula>
    </cfRule>
  </conditionalFormatting>
  <conditionalFormatting sqref="A57">
    <cfRule type="containsBlanks" dxfId="8285" priority="2832">
      <formula>LEN(TRIM(A57))=0</formula>
    </cfRule>
    <cfRule type="containsText" dxfId="8284" priority="2833" operator="containsText" text="NEUTRO">
      <formula>NOT(ISERROR(SEARCH("NEUTRO",A57)))</formula>
    </cfRule>
    <cfRule type="containsText" dxfId="8283" priority="2834" operator="containsText" text="BULLISH">
      <formula>NOT(ISERROR(SEARCH("BULLISH",A57)))</formula>
    </cfRule>
    <cfRule type="containsText" dxfId="8282" priority="2835" operator="containsText" text="BEARISH">
      <formula>NOT(ISERROR(SEARCH("BEARISH",A57)))</formula>
    </cfRule>
  </conditionalFormatting>
  <conditionalFormatting sqref="AW59">
    <cfRule type="cellIs" dxfId="8281" priority="2686" operator="equal">
      <formula>"-"</formula>
    </cfRule>
    <cfRule type="cellIs" dxfId="8280" priority="2687" operator="lessThan">
      <formula>0</formula>
    </cfRule>
    <cfRule type="cellIs" dxfId="8279" priority="2688" operator="greaterThan">
      <formula>0</formula>
    </cfRule>
  </conditionalFormatting>
  <conditionalFormatting sqref="AU18:AW18">
    <cfRule type="containsText" dxfId="8278" priority="2828" operator="containsText" text="NEUTRO">
      <formula>NOT(ISERROR(SEARCH("NEUTRO",AU18)))</formula>
    </cfRule>
    <cfRule type="containsText" dxfId="8277" priority="2829" operator="containsText" text="BULLISH">
      <formula>NOT(ISERROR(SEARCH("BULLISH",AU18)))</formula>
    </cfRule>
    <cfRule type="containsText" dxfId="8276" priority="2830" operator="containsText" text="BEARISH">
      <formula>NOT(ISERROR(SEARCH("BEARISH",AU18)))</formula>
    </cfRule>
    <cfRule type="containsBlanks" dxfId="8275" priority="2831">
      <formula>LEN(TRIM(AU18))=0</formula>
    </cfRule>
  </conditionalFormatting>
  <conditionalFormatting sqref="AN60:AN629">
    <cfRule type="colorScale" priority="2827">
      <colorScale>
        <cfvo type="formula" val="-0.0001"/>
        <cfvo type="formula" val="0"/>
        <cfvo type="formula" val="0.00001"/>
        <color rgb="FFF8696B"/>
        <color rgb="FFCCCCCC"/>
        <color rgb="FF57BB8A"/>
      </colorScale>
    </cfRule>
  </conditionalFormatting>
  <conditionalFormatting sqref="AW7:AW10">
    <cfRule type="cellIs" dxfId="8274" priority="2823" operator="equal">
      <formula>"-"</formula>
    </cfRule>
    <cfRule type="cellIs" dxfId="8273" priority="2824" operator="lessThan">
      <formula>0</formula>
    </cfRule>
    <cfRule type="cellIs" dxfId="8272" priority="2825" operator="greaterThan">
      <formula>0</formula>
    </cfRule>
  </conditionalFormatting>
  <conditionalFormatting sqref="AW11">
    <cfRule type="colorScale" priority="2826">
      <colorScale>
        <cfvo type="formula" val="-0.0001"/>
        <cfvo type="formula" val="0"/>
        <cfvo type="formula" val="0.00001"/>
        <color rgb="FFF8696B"/>
        <color rgb="FFCCCCCC"/>
        <color rgb="FF57BB8A"/>
      </colorScale>
    </cfRule>
  </conditionalFormatting>
  <conditionalFormatting sqref="AW16">
    <cfRule type="cellIs" dxfId="8271" priority="2820" operator="equal">
      <formula>"-"</formula>
    </cfRule>
    <cfRule type="cellIs" dxfId="8270" priority="2821" operator="lessThan">
      <formula>0</formula>
    </cfRule>
    <cfRule type="cellIs" dxfId="8269" priority="2822" operator="greaterThan">
      <formula>0</formula>
    </cfRule>
  </conditionalFormatting>
  <conditionalFormatting sqref="AW22">
    <cfRule type="cellIs" dxfId="8268" priority="2817" operator="equal">
      <formula>"-"</formula>
    </cfRule>
    <cfRule type="cellIs" dxfId="8267" priority="2818" operator="lessThan">
      <formula>0</formula>
    </cfRule>
    <cfRule type="cellIs" dxfId="8266" priority="2819" operator="greaterThan">
      <formula>0</formula>
    </cfRule>
  </conditionalFormatting>
  <conditionalFormatting sqref="AW21">
    <cfRule type="cellIs" dxfId="8265" priority="2814" operator="equal">
      <formula>"-"</formula>
    </cfRule>
    <cfRule type="cellIs" dxfId="8264" priority="2815" operator="lessThan">
      <formula>0</formula>
    </cfRule>
    <cfRule type="cellIs" dxfId="8263" priority="2816" operator="greaterThan">
      <formula>0</formula>
    </cfRule>
  </conditionalFormatting>
  <conditionalFormatting sqref="AW26">
    <cfRule type="cellIs" dxfId="8262" priority="2804" operator="equal">
      <formula>"-"</formula>
    </cfRule>
    <cfRule type="cellIs" dxfId="8261" priority="2805" operator="lessThan">
      <formula>0</formula>
    </cfRule>
    <cfRule type="cellIs" dxfId="8260" priority="2806" operator="greaterThan">
      <formula>0</formula>
    </cfRule>
  </conditionalFormatting>
  <conditionalFormatting sqref="AW27">
    <cfRule type="cellIs" dxfId="8259" priority="2810" operator="equal">
      <formula>"-"</formula>
    </cfRule>
    <cfRule type="cellIs" dxfId="8258" priority="2811" operator="lessThan">
      <formula>0</formula>
    </cfRule>
    <cfRule type="cellIs" dxfId="8257" priority="2812" operator="greaterThan">
      <formula>0</formula>
    </cfRule>
  </conditionalFormatting>
  <conditionalFormatting sqref="AW28">
    <cfRule type="cellIs" dxfId="8256" priority="2807" operator="equal">
      <formula>"-"</formula>
    </cfRule>
    <cfRule type="cellIs" dxfId="8255" priority="2808" operator="lessThan">
      <formula>0</formula>
    </cfRule>
    <cfRule type="cellIs" dxfId="8254" priority="2809" operator="greaterThan">
      <formula>0</formula>
    </cfRule>
  </conditionalFormatting>
  <conditionalFormatting sqref="AW29">
    <cfRule type="cellIs" dxfId="8253" priority="2801" operator="equal">
      <formula>"-"</formula>
    </cfRule>
    <cfRule type="cellIs" dxfId="8252" priority="2802" operator="lessThan">
      <formula>0</formula>
    </cfRule>
    <cfRule type="cellIs" dxfId="8251" priority="2803" operator="greaterThan">
      <formula>0</formula>
    </cfRule>
  </conditionalFormatting>
  <conditionalFormatting sqref="AW30">
    <cfRule type="cellIs" dxfId="8250" priority="2798" operator="equal">
      <formula>"-"</formula>
    </cfRule>
    <cfRule type="cellIs" dxfId="8249" priority="2799" operator="lessThan">
      <formula>0</formula>
    </cfRule>
    <cfRule type="cellIs" dxfId="8248" priority="2800" operator="greaterThan">
      <formula>0</formula>
    </cfRule>
  </conditionalFormatting>
  <conditionalFormatting sqref="AW31">
    <cfRule type="colorScale" priority="2813">
      <colorScale>
        <cfvo type="formula" val="-0.0001"/>
        <cfvo type="formula" val="0"/>
        <cfvo type="formula" val="0.00001"/>
        <color rgb="FFF8696B"/>
        <color rgb="FFCCCCCC"/>
        <color rgb="FF57BB8A"/>
      </colorScale>
    </cfRule>
  </conditionalFormatting>
  <conditionalFormatting sqref="AW37">
    <cfRule type="cellIs" dxfId="8247" priority="2788" operator="equal">
      <formula>"-"</formula>
    </cfRule>
    <cfRule type="cellIs" dxfId="8246" priority="2789" operator="lessThan">
      <formula>0</formula>
    </cfRule>
    <cfRule type="cellIs" dxfId="8245" priority="2790" operator="greaterThan">
      <formula>0</formula>
    </cfRule>
  </conditionalFormatting>
  <conditionalFormatting sqref="AW38">
    <cfRule type="cellIs" dxfId="8244" priority="2785" operator="equal">
      <formula>"-"</formula>
    </cfRule>
    <cfRule type="cellIs" dxfId="8243" priority="2786" operator="lessThan">
      <formula>0</formula>
    </cfRule>
    <cfRule type="cellIs" dxfId="8242" priority="2787" operator="greaterThan">
      <formula>0</formula>
    </cfRule>
  </conditionalFormatting>
  <conditionalFormatting sqref="AW39">
    <cfRule type="cellIs" dxfId="8241" priority="2794" operator="equal">
      <formula>"-"</formula>
    </cfRule>
    <cfRule type="cellIs" dxfId="8240" priority="2795" operator="lessThan">
      <formula>0</formula>
    </cfRule>
    <cfRule type="cellIs" dxfId="8239" priority="2796" operator="greaterThan">
      <formula>0</formula>
    </cfRule>
  </conditionalFormatting>
  <conditionalFormatting sqref="AW40">
    <cfRule type="cellIs" dxfId="8238" priority="2782" operator="equal">
      <formula>"-"</formula>
    </cfRule>
    <cfRule type="cellIs" dxfId="8237" priority="2783" operator="lessThan">
      <formula>0</formula>
    </cfRule>
    <cfRule type="cellIs" dxfId="8236" priority="2784" operator="greaterThan">
      <formula>0</formula>
    </cfRule>
  </conditionalFormatting>
  <conditionalFormatting sqref="AW41">
    <cfRule type="cellIs" dxfId="8235" priority="2779" operator="equal">
      <formula>"-"</formula>
    </cfRule>
    <cfRule type="cellIs" dxfId="8234" priority="2780" operator="lessThan">
      <formula>0</formula>
    </cfRule>
    <cfRule type="cellIs" dxfId="8233" priority="2781" operator="greaterThan">
      <formula>0</formula>
    </cfRule>
  </conditionalFormatting>
  <conditionalFormatting sqref="AW42">
    <cfRule type="cellIs" dxfId="8232" priority="2791" operator="equal">
      <formula>"-"</formula>
    </cfRule>
    <cfRule type="cellIs" dxfId="8231" priority="2792" operator="lessThan">
      <formula>0</formula>
    </cfRule>
    <cfRule type="cellIs" dxfId="8230" priority="2793" operator="greaterThan">
      <formula>0</formula>
    </cfRule>
  </conditionalFormatting>
  <conditionalFormatting sqref="AW43">
    <cfRule type="cellIs" dxfId="8229" priority="2776" operator="equal">
      <formula>"-"</formula>
    </cfRule>
    <cfRule type="cellIs" dxfId="8228" priority="2777" operator="lessThan">
      <formula>0</formula>
    </cfRule>
    <cfRule type="cellIs" dxfId="8227" priority="2778" operator="greaterThan">
      <formula>0</formula>
    </cfRule>
  </conditionalFormatting>
  <conditionalFormatting sqref="AW44">
    <cfRule type="colorScale" priority="2797">
      <colorScale>
        <cfvo type="formula" val="-0.0001"/>
        <cfvo type="formula" val="0"/>
        <cfvo type="formula" val="0.00001"/>
        <color rgb="FFF8696B"/>
        <color rgb="FFCCCCCC"/>
        <color rgb="FF57BB8A"/>
      </colorScale>
    </cfRule>
  </conditionalFormatting>
  <conditionalFormatting sqref="AW49">
    <cfRule type="cellIs" dxfId="8226" priority="2773" operator="equal">
      <formula>"-"</formula>
    </cfRule>
    <cfRule type="cellIs" dxfId="8225" priority="2774" operator="lessThan">
      <formula>0</formula>
    </cfRule>
    <cfRule type="cellIs" dxfId="8224" priority="2775" operator="greaterThan">
      <formula>0</formula>
    </cfRule>
  </conditionalFormatting>
  <conditionalFormatting sqref="AW50">
    <cfRule type="cellIs" dxfId="8223" priority="2770" operator="equal">
      <formula>"-"</formula>
    </cfRule>
    <cfRule type="cellIs" dxfId="8222" priority="2771" operator="lessThan">
      <formula>0</formula>
    </cfRule>
    <cfRule type="cellIs" dxfId="8221" priority="2772" operator="greaterThan">
      <formula>0</formula>
    </cfRule>
  </conditionalFormatting>
  <conditionalFormatting sqref="AW51">
    <cfRule type="cellIs" dxfId="8220" priority="2767" operator="equal">
      <formula>"-"</formula>
    </cfRule>
    <cfRule type="cellIs" dxfId="8219" priority="2768" operator="lessThan">
      <formula>0</formula>
    </cfRule>
    <cfRule type="cellIs" dxfId="8218" priority="2769" operator="greaterThan">
      <formula>0</formula>
    </cfRule>
  </conditionalFormatting>
  <conditionalFormatting sqref="AW52">
    <cfRule type="cellIs" dxfId="8217" priority="2764" operator="equal">
      <formula>"-"</formula>
    </cfRule>
    <cfRule type="cellIs" dxfId="8216" priority="2765" operator="lessThan">
      <formula>0</formula>
    </cfRule>
    <cfRule type="cellIs" dxfId="8215" priority="2766" operator="greaterThan">
      <formula>0</formula>
    </cfRule>
  </conditionalFormatting>
  <conditionalFormatting sqref="AW53">
    <cfRule type="cellIs" dxfId="8214" priority="2761" operator="equal">
      <formula>"-"</formula>
    </cfRule>
    <cfRule type="cellIs" dxfId="8213" priority="2762" operator="lessThan">
      <formula>0</formula>
    </cfRule>
    <cfRule type="cellIs" dxfId="8212" priority="2763" operator="greaterThan">
      <formula>0</formula>
    </cfRule>
  </conditionalFormatting>
  <conditionalFormatting sqref="AW54">
    <cfRule type="cellIs" dxfId="8211" priority="2755" operator="equal">
      <formula>"-"</formula>
    </cfRule>
    <cfRule type="cellIs" dxfId="8210" priority="2756" operator="lessThan">
      <formula>0</formula>
    </cfRule>
    <cfRule type="cellIs" dxfId="8209" priority="2757" operator="greaterThan">
      <formula>0</formula>
    </cfRule>
  </conditionalFormatting>
  <conditionalFormatting sqref="AW55">
    <cfRule type="cellIs" dxfId="8208" priority="2758" operator="equal">
      <formula>"-"</formula>
    </cfRule>
    <cfRule type="cellIs" dxfId="8207" priority="2759" operator="lessThan">
      <formula>0</formula>
    </cfRule>
    <cfRule type="cellIs" dxfId="8206" priority="2760" operator="greaterThan">
      <formula>0</formula>
    </cfRule>
  </conditionalFormatting>
  <conditionalFormatting sqref="AU2">
    <cfRule type="containsText" dxfId="8205" priority="2751" operator="containsText" text="NEUTRO">
      <formula>NOT(ISERROR(SEARCH("NEUTRO",AU2)))</formula>
    </cfRule>
    <cfRule type="containsText" dxfId="8204" priority="2752" operator="containsText" text="BULLISH">
      <formula>NOT(ISERROR(SEARCH("BULLISH",AU2)))</formula>
    </cfRule>
    <cfRule type="containsText" dxfId="8203" priority="2753" operator="containsText" text="BEARISH">
      <formula>NOT(ISERROR(SEARCH("BEARISH",AU2)))</formula>
    </cfRule>
    <cfRule type="containsBlanks" dxfId="8202" priority="2754">
      <formula>LEN(TRIM(AU2))=0</formula>
    </cfRule>
  </conditionalFormatting>
  <conditionalFormatting sqref="AU12">
    <cfRule type="containsText" dxfId="8201" priority="2747" operator="containsText" text="NEUTRO">
      <formula>NOT(ISERROR(SEARCH("NEUTRO",AU12)))</formula>
    </cfRule>
    <cfRule type="containsText" dxfId="8200" priority="2748" operator="containsText" text="BULLISH">
      <formula>NOT(ISERROR(SEARCH("BULLISH",AU12)))</formula>
    </cfRule>
    <cfRule type="containsText" dxfId="8199" priority="2749" operator="containsText" text="BEARISH">
      <formula>NOT(ISERROR(SEARCH("BEARISH",AU12)))</formula>
    </cfRule>
    <cfRule type="containsBlanks" dxfId="8198" priority="2750">
      <formula>LEN(TRIM(AU12))=0</formula>
    </cfRule>
  </conditionalFormatting>
  <conditionalFormatting sqref="AU23">
    <cfRule type="containsText" dxfId="8197" priority="2743" operator="containsText" text="NEUTRO">
      <formula>NOT(ISERROR(SEARCH("NEUTRO",AU23)))</formula>
    </cfRule>
    <cfRule type="containsText" dxfId="8196" priority="2744" operator="containsText" text="BULLISH">
      <formula>NOT(ISERROR(SEARCH("BULLISH",AU23)))</formula>
    </cfRule>
    <cfRule type="containsText" dxfId="8195" priority="2745" operator="containsText" text="BEARISH">
      <formula>NOT(ISERROR(SEARCH("BEARISH",AU23)))</formula>
    </cfRule>
    <cfRule type="containsBlanks" dxfId="8194" priority="2746">
      <formula>LEN(TRIM(AU23))=0</formula>
    </cfRule>
  </conditionalFormatting>
  <conditionalFormatting sqref="AU32">
    <cfRule type="containsText" dxfId="8193" priority="2739" operator="containsText" text="NEUTRO">
      <formula>NOT(ISERROR(SEARCH("NEUTRO",AU32)))</formula>
    </cfRule>
    <cfRule type="containsText" dxfId="8192" priority="2740" operator="containsText" text="BULLISH">
      <formula>NOT(ISERROR(SEARCH("BULLISH",AU32)))</formula>
    </cfRule>
    <cfRule type="containsText" dxfId="8191" priority="2741" operator="containsText" text="BEARISH">
      <formula>NOT(ISERROR(SEARCH("BEARISH",AU32)))</formula>
    </cfRule>
    <cfRule type="containsBlanks" dxfId="8190" priority="2742">
      <formula>LEN(TRIM(AU32))=0</formula>
    </cfRule>
  </conditionalFormatting>
  <conditionalFormatting sqref="AU45">
    <cfRule type="containsText" dxfId="8189" priority="2735" operator="containsText" text="NEUTRO">
      <formula>NOT(ISERROR(SEARCH("NEUTRO",AU45)))</formula>
    </cfRule>
    <cfRule type="containsText" dxfId="8188" priority="2736" operator="containsText" text="BULLISH">
      <formula>NOT(ISERROR(SEARCH("BULLISH",AU45)))</formula>
    </cfRule>
    <cfRule type="containsText" dxfId="8187" priority="2737" operator="containsText" text="BEARISH">
      <formula>NOT(ISERROR(SEARCH("BEARISH",AU45)))</formula>
    </cfRule>
    <cfRule type="containsBlanks" dxfId="8186" priority="2738">
      <formula>LEN(TRIM(AU45))=0</formula>
    </cfRule>
  </conditionalFormatting>
  <conditionalFormatting sqref="AU57">
    <cfRule type="containsText" dxfId="8185" priority="2731" operator="containsText" text="NEUTRO">
      <formula>NOT(ISERROR(SEARCH("NEUTRO",AU57)))</formula>
    </cfRule>
    <cfRule type="containsText" dxfId="8184" priority="2732" operator="containsText" text="BULLISH">
      <formula>NOT(ISERROR(SEARCH("BULLISH",AU57)))</formula>
    </cfRule>
    <cfRule type="containsText" dxfId="8183" priority="2733" operator="containsText" text="BEARISH">
      <formula>NOT(ISERROR(SEARCH("BEARISH",AU57)))</formula>
    </cfRule>
    <cfRule type="containsBlanks" dxfId="8182" priority="2734">
      <formula>LEN(TRIM(AU57))=0</formula>
    </cfRule>
  </conditionalFormatting>
  <conditionalFormatting sqref="AW3:AW6">
    <cfRule type="cellIs" dxfId="8181" priority="2728" operator="equal">
      <formula>"-"</formula>
    </cfRule>
    <cfRule type="cellIs" dxfId="8180" priority="2729" operator="lessThan">
      <formula>0</formula>
    </cfRule>
    <cfRule type="cellIs" dxfId="8179" priority="2730" operator="greaterThan">
      <formula>0</formula>
    </cfRule>
  </conditionalFormatting>
  <conditionalFormatting sqref="AW13:AW15">
    <cfRule type="cellIs" dxfId="8178" priority="2725" operator="equal">
      <formula>"-"</formula>
    </cfRule>
    <cfRule type="cellIs" dxfId="8177" priority="2726" operator="lessThan">
      <formula>0</formula>
    </cfRule>
    <cfRule type="cellIs" dxfId="8176" priority="2727" operator="greaterThan">
      <formula>0</formula>
    </cfRule>
  </conditionalFormatting>
  <conditionalFormatting sqref="AW19">
    <cfRule type="cellIs" dxfId="8175" priority="2722" operator="equal">
      <formula>"-"</formula>
    </cfRule>
    <cfRule type="cellIs" dxfId="8174" priority="2723" operator="lessThan">
      <formula>0</formula>
    </cfRule>
    <cfRule type="cellIs" dxfId="8173" priority="2724" operator="greaterThan">
      <formula>0</formula>
    </cfRule>
  </conditionalFormatting>
  <conditionalFormatting sqref="AW20">
    <cfRule type="cellIs" dxfId="8172" priority="2720" operator="lessThan">
      <formula>0</formula>
    </cfRule>
    <cfRule type="cellIs" dxfId="8171" priority="2721" operator="greaterThan">
      <formula>0</formula>
    </cfRule>
  </conditionalFormatting>
  <conditionalFormatting sqref="AW20">
    <cfRule type="cellIs" dxfId="8170" priority="2719" operator="equal">
      <formula>"-"</formula>
    </cfRule>
  </conditionalFormatting>
  <conditionalFormatting sqref="AW24">
    <cfRule type="cellIs" dxfId="8169" priority="2716" operator="equal">
      <formula>"-"</formula>
    </cfRule>
    <cfRule type="cellIs" dxfId="8168" priority="2717" operator="lessThan">
      <formula>0</formula>
    </cfRule>
    <cfRule type="cellIs" dxfId="8167" priority="2718" operator="greaterThan">
      <formula>0</formula>
    </cfRule>
  </conditionalFormatting>
  <conditionalFormatting sqref="AW25">
    <cfRule type="cellIs" dxfId="8166" priority="2713" operator="equal">
      <formula>"-"</formula>
    </cfRule>
    <cfRule type="cellIs" dxfId="8165" priority="2714" operator="lessThan">
      <formula>0</formula>
    </cfRule>
    <cfRule type="cellIs" dxfId="8164" priority="2715" operator="greaterThan">
      <formula>0</formula>
    </cfRule>
  </conditionalFormatting>
  <conditionalFormatting sqref="AW33">
    <cfRule type="cellIs" dxfId="8163" priority="2710" operator="equal">
      <formula>"-"</formula>
    </cfRule>
    <cfRule type="cellIs" dxfId="8162" priority="2711" operator="lessThan">
      <formula>0</formula>
    </cfRule>
    <cfRule type="cellIs" dxfId="8161" priority="2712" operator="greaterThan">
      <formula>0</formula>
    </cfRule>
  </conditionalFormatting>
  <conditionalFormatting sqref="AW34">
    <cfRule type="cellIs" dxfId="8160" priority="2707" operator="equal">
      <formula>"-"</formula>
    </cfRule>
    <cfRule type="cellIs" dxfId="8159" priority="2708" operator="lessThan">
      <formula>0</formula>
    </cfRule>
    <cfRule type="cellIs" dxfId="8158" priority="2709" operator="greaterThan">
      <formula>0</formula>
    </cfRule>
  </conditionalFormatting>
  <conditionalFormatting sqref="AW36">
    <cfRule type="cellIs" dxfId="8157" priority="2704" operator="equal">
      <formula>"-"</formula>
    </cfRule>
    <cfRule type="cellIs" dxfId="8156" priority="2705" operator="lessThan">
      <formula>0</formula>
    </cfRule>
    <cfRule type="cellIs" dxfId="8155" priority="2706" operator="greaterThan">
      <formula>0</formula>
    </cfRule>
  </conditionalFormatting>
  <conditionalFormatting sqref="AW35">
    <cfRule type="cellIs" dxfId="8154" priority="2701" operator="equal">
      <formula>"-"</formula>
    </cfRule>
    <cfRule type="cellIs" dxfId="8153" priority="2702" operator="lessThan">
      <formula>0</formula>
    </cfRule>
    <cfRule type="cellIs" dxfId="8152" priority="2703" operator="greaterThan">
      <formula>0</formula>
    </cfRule>
  </conditionalFormatting>
  <conditionalFormatting sqref="AW46">
    <cfRule type="cellIs" dxfId="8151" priority="2698" operator="equal">
      <formula>"-"</formula>
    </cfRule>
    <cfRule type="cellIs" dxfId="8150" priority="2699" operator="lessThan">
      <formula>0</formula>
    </cfRule>
    <cfRule type="cellIs" dxfId="8149" priority="2700" operator="greaterThan">
      <formula>0</formula>
    </cfRule>
  </conditionalFormatting>
  <conditionalFormatting sqref="AW47">
    <cfRule type="cellIs" dxfId="8148" priority="2695" operator="equal">
      <formula>"-"</formula>
    </cfRule>
    <cfRule type="cellIs" dxfId="8147" priority="2696" operator="lessThan">
      <formula>0</formula>
    </cfRule>
    <cfRule type="cellIs" dxfId="8146" priority="2697" operator="greaterThan">
      <formula>0</formula>
    </cfRule>
  </conditionalFormatting>
  <conditionalFormatting sqref="AW48">
    <cfRule type="cellIs" dxfId="8145" priority="2692" operator="equal">
      <formula>"-"</formula>
    </cfRule>
    <cfRule type="cellIs" dxfId="8144" priority="2693" operator="lessThan">
      <formula>0</formula>
    </cfRule>
    <cfRule type="cellIs" dxfId="8143" priority="2694" operator="greaterThan">
      <formula>0</formula>
    </cfRule>
  </conditionalFormatting>
  <conditionalFormatting sqref="AW58">
    <cfRule type="cellIs" dxfId="8142" priority="2689" operator="equal">
      <formula>"-"</formula>
    </cfRule>
    <cfRule type="cellIs" dxfId="8141" priority="2690" operator="lessThan">
      <formula>0</formula>
    </cfRule>
    <cfRule type="cellIs" dxfId="8140" priority="2691" operator="greaterThan">
      <formula>0</formula>
    </cfRule>
  </conditionalFormatting>
  <conditionalFormatting sqref="AT59">
    <cfRule type="cellIs" dxfId="8139" priority="2568" operator="equal">
      <formula>"-"</formula>
    </cfRule>
    <cfRule type="cellIs" dxfId="8138" priority="2569" operator="lessThan">
      <formula>0</formula>
    </cfRule>
    <cfRule type="cellIs" dxfId="8137" priority="2570" operator="greaterThan">
      <formula>0</formula>
    </cfRule>
  </conditionalFormatting>
  <conditionalFormatting sqref="AK60:AK629">
    <cfRule type="colorScale" priority="2685">
      <colorScale>
        <cfvo type="formula" val="-0.0001"/>
        <cfvo type="formula" val="0"/>
        <cfvo type="formula" val="0.00001"/>
        <color rgb="FFF8696B"/>
        <color rgb="FFCCCCCC"/>
        <color rgb="FF57BB8A"/>
      </colorScale>
    </cfRule>
  </conditionalFormatting>
  <conditionalFormatting sqref="AT7:AT10">
    <cfRule type="cellIs" dxfId="8136" priority="2681" operator="equal">
      <formula>"-"</formula>
    </cfRule>
    <cfRule type="cellIs" dxfId="8135" priority="2682" operator="lessThan">
      <formula>0</formula>
    </cfRule>
    <cfRule type="cellIs" dxfId="8134" priority="2683" operator="greaterThan">
      <formula>0</formula>
    </cfRule>
  </conditionalFormatting>
  <conditionalFormatting sqref="AT11">
    <cfRule type="colorScale" priority="2684">
      <colorScale>
        <cfvo type="formula" val="-0.0001"/>
        <cfvo type="formula" val="0"/>
        <cfvo type="formula" val="0.00001"/>
        <color rgb="FFF8696B"/>
        <color rgb="FFCCCCCC"/>
        <color rgb="FF57BB8A"/>
      </colorScale>
    </cfRule>
  </conditionalFormatting>
  <conditionalFormatting sqref="AT16">
    <cfRule type="cellIs" dxfId="8133" priority="2678" operator="equal">
      <formula>"-"</formula>
    </cfRule>
    <cfRule type="cellIs" dxfId="8132" priority="2679" operator="lessThan">
      <formula>0</formula>
    </cfRule>
    <cfRule type="cellIs" dxfId="8131" priority="2680" operator="greaterThan">
      <formula>0</formula>
    </cfRule>
  </conditionalFormatting>
  <conditionalFormatting sqref="AT22">
    <cfRule type="cellIs" dxfId="8130" priority="2675" operator="equal">
      <formula>"-"</formula>
    </cfRule>
    <cfRule type="cellIs" dxfId="8129" priority="2676" operator="lessThan">
      <formula>0</formula>
    </cfRule>
    <cfRule type="cellIs" dxfId="8128" priority="2677" operator="greaterThan">
      <formula>0</formula>
    </cfRule>
  </conditionalFormatting>
  <conditionalFormatting sqref="AT21">
    <cfRule type="cellIs" dxfId="8127" priority="2672" operator="equal">
      <formula>"-"</formula>
    </cfRule>
    <cfRule type="cellIs" dxfId="8126" priority="2673" operator="lessThan">
      <formula>0</formula>
    </cfRule>
    <cfRule type="cellIs" dxfId="8125" priority="2674" operator="greaterThan">
      <formula>0</formula>
    </cfRule>
  </conditionalFormatting>
  <conditionalFormatting sqref="AT26">
    <cfRule type="cellIs" dxfId="8124" priority="2662" operator="equal">
      <formula>"-"</formula>
    </cfRule>
    <cfRule type="cellIs" dxfId="8123" priority="2663" operator="lessThan">
      <formula>0</formula>
    </cfRule>
    <cfRule type="cellIs" dxfId="8122" priority="2664" operator="greaterThan">
      <formula>0</formula>
    </cfRule>
  </conditionalFormatting>
  <conditionalFormatting sqref="AT27">
    <cfRule type="cellIs" dxfId="8121" priority="2668" operator="equal">
      <formula>"-"</formula>
    </cfRule>
    <cfRule type="cellIs" dxfId="8120" priority="2669" operator="lessThan">
      <formula>0</formula>
    </cfRule>
    <cfRule type="cellIs" dxfId="8119" priority="2670" operator="greaterThan">
      <formula>0</formula>
    </cfRule>
  </conditionalFormatting>
  <conditionalFormatting sqref="AT28">
    <cfRule type="cellIs" dxfId="8118" priority="2665" operator="equal">
      <formula>"-"</formula>
    </cfRule>
    <cfRule type="cellIs" dxfId="8117" priority="2666" operator="lessThan">
      <formula>0</formula>
    </cfRule>
    <cfRule type="cellIs" dxfId="8116" priority="2667" operator="greaterThan">
      <formula>0</formula>
    </cfRule>
  </conditionalFormatting>
  <conditionalFormatting sqref="AT29">
    <cfRule type="cellIs" dxfId="8115" priority="2659" operator="equal">
      <formula>"-"</formula>
    </cfRule>
    <cfRule type="cellIs" dxfId="8114" priority="2660" operator="lessThan">
      <formula>0</formula>
    </cfRule>
    <cfRule type="cellIs" dxfId="8113" priority="2661" operator="greaterThan">
      <formula>0</formula>
    </cfRule>
  </conditionalFormatting>
  <conditionalFormatting sqref="AT30">
    <cfRule type="cellIs" dxfId="8112" priority="2656" operator="equal">
      <formula>"-"</formula>
    </cfRule>
    <cfRule type="cellIs" dxfId="8111" priority="2657" operator="lessThan">
      <formula>0</formula>
    </cfRule>
    <cfRule type="cellIs" dxfId="8110" priority="2658" operator="greaterThan">
      <formula>0</formula>
    </cfRule>
  </conditionalFormatting>
  <conditionalFormatting sqref="AT31">
    <cfRule type="colorScale" priority="2671">
      <colorScale>
        <cfvo type="formula" val="-0.0001"/>
        <cfvo type="formula" val="0"/>
        <cfvo type="formula" val="0.00001"/>
        <color rgb="FFF8696B"/>
        <color rgb="FFCCCCCC"/>
        <color rgb="FF57BB8A"/>
      </colorScale>
    </cfRule>
  </conditionalFormatting>
  <conditionalFormatting sqref="AT37">
    <cfRule type="cellIs" dxfId="8109" priority="2646" operator="equal">
      <formula>"-"</formula>
    </cfRule>
    <cfRule type="cellIs" dxfId="8108" priority="2647" operator="lessThan">
      <formula>0</formula>
    </cfRule>
    <cfRule type="cellIs" dxfId="8107" priority="2648" operator="greaterThan">
      <formula>0</formula>
    </cfRule>
  </conditionalFormatting>
  <conditionalFormatting sqref="AT38">
    <cfRule type="cellIs" dxfId="8106" priority="2643" operator="equal">
      <formula>"-"</formula>
    </cfRule>
    <cfRule type="cellIs" dxfId="8105" priority="2644" operator="lessThan">
      <formula>0</formula>
    </cfRule>
    <cfRule type="cellIs" dxfId="8104" priority="2645" operator="greaterThan">
      <formula>0</formula>
    </cfRule>
  </conditionalFormatting>
  <conditionalFormatting sqref="AT39">
    <cfRule type="cellIs" dxfId="8103" priority="2652" operator="equal">
      <formula>"-"</formula>
    </cfRule>
    <cfRule type="cellIs" dxfId="8102" priority="2653" operator="lessThan">
      <formula>0</formula>
    </cfRule>
    <cfRule type="cellIs" dxfId="8101" priority="2654" operator="greaterThan">
      <formula>0</formula>
    </cfRule>
  </conditionalFormatting>
  <conditionalFormatting sqref="AT40">
    <cfRule type="cellIs" dxfId="8100" priority="2640" operator="equal">
      <formula>"-"</formula>
    </cfRule>
    <cfRule type="cellIs" dxfId="8099" priority="2641" operator="lessThan">
      <formula>0</formula>
    </cfRule>
    <cfRule type="cellIs" dxfId="8098" priority="2642" operator="greaterThan">
      <formula>0</formula>
    </cfRule>
  </conditionalFormatting>
  <conditionalFormatting sqref="AT41">
    <cfRule type="cellIs" dxfId="8097" priority="2637" operator="equal">
      <formula>"-"</formula>
    </cfRule>
    <cfRule type="cellIs" dxfId="8096" priority="2638" operator="lessThan">
      <formula>0</formula>
    </cfRule>
    <cfRule type="cellIs" dxfId="8095" priority="2639" operator="greaterThan">
      <formula>0</formula>
    </cfRule>
  </conditionalFormatting>
  <conditionalFormatting sqref="AT42">
    <cfRule type="cellIs" dxfId="8094" priority="2649" operator="equal">
      <formula>"-"</formula>
    </cfRule>
    <cfRule type="cellIs" dxfId="8093" priority="2650" operator="lessThan">
      <formula>0</formula>
    </cfRule>
    <cfRule type="cellIs" dxfId="8092" priority="2651" operator="greaterThan">
      <formula>0</formula>
    </cfRule>
  </conditionalFormatting>
  <conditionalFormatting sqref="AT43">
    <cfRule type="cellIs" dxfId="8091" priority="2634" operator="equal">
      <formula>"-"</formula>
    </cfRule>
    <cfRule type="cellIs" dxfId="8090" priority="2635" operator="lessThan">
      <formula>0</formula>
    </cfRule>
    <cfRule type="cellIs" dxfId="8089" priority="2636" operator="greaterThan">
      <formula>0</formula>
    </cfRule>
  </conditionalFormatting>
  <conditionalFormatting sqref="AT44">
    <cfRule type="colorScale" priority="2655">
      <colorScale>
        <cfvo type="formula" val="-0.0001"/>
        <cfvo type="formula" val="0"/>
        <cfvo type="formula" val="0.00001"/>
        <color rgb="FFF8696B"/>
        <color rgb="FFCCCCCC"/>
        <color rgb="FF57BB8A"/>
      </colorScale>
    </cfRule>
  </conditionalFormatting>
  <conditionalFormatting sqref="AT49">
    <cfRule type="cellIs" dxfId="8088" priority="2631" operator="equal">
      <formula>"-"</formula>
    </cfRule>
    <cfRule type="cellIs" dxfId="8087" priority="2632" operator="lessThan">
      <formula>0</formula>
    </cfRule>
    <cfRule type="cellIs" dxfId="8086" priority="2633" operator="greaterThan">
      <formula>0</formula>
    </cfRule>
  </conditionalFormatting>
  <conditionalFormatting sqref="AT50">
    <cfRule type="cellIs" dxfId="8085" priority="2628" operator="equal">
      <formula>"-"</formula>
    </cfRule>
    <cfRule type="cellIs" dxfId="8084" priority="2629" operator="lessThan">
      <formula>0</formula>
    </cfRule>
    <cfRule type="cellIs" dxfId="8083" priority="2630" operator="greaterThan">
      <formula>0</formula>
    </cfRule>
  </conditionalFormatting>
  <conditionalFormatting sqref="AT51">
    <cfRule type="cellIs" dxfId="8082" priority="2625" operator="equal">
      <formula>"-"</formula>
    </cfRule>
    <cfRule type="cellIs" dxfId="8081" priority="2626" operator="lessThan">
      <formula>0</formula>
    </cfRule>
    <cfRule type="cellIs" dxfId="8080" priority="2627" operator="greaterThan">
      <formula>0</formula>
    </cfRule>
  </conditionalFormatting>
  <conditionalFormatting sqref="AT52">
    <cfRule type="cellIs" dxfId="8079" priority="2622" operator="equal">
      <formula>"-"</formula>
    </cfRule>
    <cfRule type="cellIs" dxfId="8078" priority="2623" operator="lessThan">
      <formula>0</formula>
    </cfRule>
    <cfRule type="cellIs" dxfId="8077" priority="2624" operator="greaterThan">
      <formula>0</formula>
    </cfRule>
  </conditionalFormatting>
  <conditionalFormatting sqref="AT53">
    <cfRule type="cellIs" dxfId="8076" priority="2619" operator="equal">
      <formula>"-"</formula>
    </cfRule>
    <cfRule type="cellIs" dxfId="8075" priority="2620" operator="lessThan">
      <formula>0</formula>
    </cfRule>
    <cfRule type="cellIs" dxfId="8074" priority="2621" operator="greaterThan">
      <formula>0</formula>
    </cfRule>
  </conditionalFormatting>
  <conditionalFormatting sqref="AT54">
    <cfRule type="cellIs" dxfId="8073" priority="2613" operator="equal">
      <formula>"-"</formula>
    </cfRule>
    <cfRule type="cellIs" dxfId="8072" priority="2614" operator="lessThan">
      <formula>0</formula>
    </cfRule>
    <cfRule type="cellIs" dxfId="8071" priority="2615" operator="greaterThan">
      <formula>0</formula>
    </cfRule>
  </conditionalFormatting>
  <conditionalFormatting sqref="AT55">
    <cfRule type="cellIs" dxfId="8070" priority="2616" operator="equal">
      <formula>"-"</formula>
    </cfRule>
    <cfRule type="cellIs" dxfId="8069" priority="2617" operator="lessThan">
      <formula>0</formula>
    </cfRule>
    <cfRule type="cellIs" dxfId="8068" priority="2618" operator="greaterThan">
      <formula>0</formula>
    </cfRule>
  </conditionalFormatting>
  <conditionalFormatting sqref="AT3:AT6">
    <cfRule type="cellIs" dxfId="8067" priority="2610" operator="equal">
      <formula>"-"</formula>
    </cfRule>
    <cfRule type="cellIs" dxfId="8066" priority="2611" operator="lessThan">
      <formula>0</formula>
    </cfRule>
    <cfRule type="cellIs" dxfId="8065" priority="2612" operator="greaterThan">
      <formula>0</formula>
    </cfRule>
  </conditionalFormatting>
  <conditionalFormatting sqref="AT13:AT15">
    <cfRule type="cellIs" dxfId="8064" priority="2607" operator="equal">
      <formula>"-"</formula>
    </cfRule>
    <cfRule type="cellIs" dxfId="8063" priority="2608" operator="lessThan">
      <formula>0</formula>
    </cfRule>
    <cfRule type="cellIs" dxfId="8062" priority="2609" operator="greaterThan">
      <formula>0</formula>
    </cfRule>
  </conditionalFormatting>
  <conditionalFormatting sqref="AT19">
    <cfRule type="cellIs" dxfId="8061" priority="2604" operator="equal">
      <formula>"-"</formula>
    </cfRule>
    <cfRule type="cellIs" dxfId="8060" priority="2605" operator="lessThan">
      <formula>0</formula>
    </cfRule>
    <cfRule type="cellIs" dxfId="8059" priority="2606" operator="greaterThan">
      <formula>0</formula>
    </cfRule>
  </conditionalFormatting>
  <conditionalFormatting sqref="AT20">
    <cfRule type="cellIs" dxfId="8058" priority="2602" operator="lessThan">
      <formula>0</formula>
    </cfRule>
    <cfRule type="cellIs" dxfId="8057" priority="2603" operator="greaterThan">
      <formula>0</formula>
    </cfRule>
  </conditionalFormatting>
  <conditionalFormatting sqref="AT20">
    <cfRule type="cellIs" dxfId="8056" priority="2601" operator="equal">
      <formula>"-"</formula>
    </cfRule>
  </conditionalFormatting>
  <conditionalFormatting sqref="AT24">
    <cfRule type="cellIs" dxfId="8055" priority="2598" operator="equal">
      <formula>"-"</formula>
    </cfRule>
    <cfRule type="cellIs" dxfId="8054" priority="2599" operator="lessThan">
      <formula>0</formula>
    </cfRule>
    <cfRule type="cellIs" dxfId="8053" priority="2600" operator="greaterThan">
      <formula>0</formula>
    </cfRule>
  </conditionalFormatting>
  <conditionalFormatting sqref="AT25">
    <cfRule type="cellIs" dxfId="8052" priority="2595" operator="equal">
      <formula>"-"</formula>
    </cfRule>
    <cfRule type="cellIs" dxfId="8051" priority="2596" operator="lessThan">
      <formula>0</formula>
    </cfRule>
    <cfRule type="cellIs" dxfId="8050" priority="2597" operator="greaterThan">
      <formula>0</formula>
    </cfRule>
  </conditionalFormatting>
  <conditionalFormatting sqref="AT33">
    <cfRule type="cellIs" dxfId="8049" priority="2592" operator="equal">
      <formula>"-"</formula>
    </cfRule>
    <cfRule type="cellIs" dxfId="8048" priority="2593" operator="lessThan">
      <formula>0</formula>
    </cfRule>
    <cfRule type="cellIs" dxfId="8047" priority="2594" operator="greaterThan">
      <formula>0</formula>
    </cfRule>
  </conditionalFormatting>
  <conditionalFormatting sqref="AT34">
    <cfRule type="cellIs" dxfId="8046" priority="2589" operator="equal">
      <formula>"-"</formula>
    </cfRule>
    <cfRule type="cellIs" dxfId="8045" priority="2590" operator="lessThan">
      <formula>0</formula>
    </cfRule>
    <cfRule type="cellIs" dxfId="8044" priority="2591" operator="greaterThan">
      <formula>0</formula>
    </cfRule>
  </conditionalFormatting>
  <conditionalFormatting sqref="AT36">
    <cfRule type="cellIs" dxfId="8043" priority="2586" operator="equal">
      <formula>"-"</formula>
    </cfRule>
    <cfRule type="cellIs" dxfId="8042" priority="2587" operator="lessThan">
      <formula>0</formula>
    </cfRule>
    <cfRule type="cellIs" dxfId="8041" priority="2588" operator="greaterThan">
      <formula>0</formula>
    </cfRule>
  </conditionalFormatting>
  <conditionalFormatting sqref="AT35">
    <cfRule type="cellIs" dxfId="8040" priority="2583" operator="equal">
      <formula>"-"</formula>
    </cfRule>
    <cfRule type="cellIs" dxfId="8039" priority="2584" operator="lessThan">
      <formula>0</formula>
    </cfRule>
    <cfRule type="cellIs" dxfId="8038" priority="2585" operator="greaterThan">
      <formula>0</formula>
    </cfRule>
  </conditionalFormatting>
  <conditionalFormatting sqref="AT46">
    <cfRule type="cellIs" dxfId="8037" priority="2580" operator="equal">
      <formula>"-"</formula>
    </cfRule>
    <cfRule type="cellIs" dxfId="8036" priority="2581" operator="lessThan">
      <formula>0</formula>
    </cfRule>
    <cfRule type="cellIs" dxfId="8035" priority="2582" operator="greaterThan">
      <formula>0</formula>
    </cfRule>
  </conditionalFormatting>
  <conditionalFormatting sqref="AT47">
    <cfRule type="cellIs" dxfId="8034" priority="2577" operator="equal">
      <formula>"-"</formula>
    </cfRule>
    <cfRule type="cellIs" dxfId="8033" priority="2578" operator="lessThan">
      <formula>0</formula>
    </cfRule>
    <cfRule type="cellIs" dxfId="8032" priority="2579" operator="greaterThan">
      <formula>0</formula>
    </cfRule>
  </conditionalFormatting>
  <conditionalFormatting sqref="AT48">
    <cfRule type="cellIs" dxfId="8031" priority="2574" operator="equal">
      <formula>"-"</formula>
    </cfRule>
    <cfRule type="cellIs" dxfId="8030" priority="2575" operator="lessThan">
      <formula>0</formula>
    </cfRule>
    <cfRule type="cellIs" dxfId="8029" priority="2576" operator="greaterThan">
      <formula>0</formula>
    </cfRule>
  </conditionalFormatting>
  <conditionalFormatting sqref="AT58">
    <cfRule type="cellIs" dxfId="8028" priority="2571" operator="equal">
      <formula>"-"</formula>
    </cfRule>
    <cfRule type="cellIs" dxfId="8027" priority="2572" operator="lessThan">
      <formula>0</formula>
    </cfRule>
    <cfRule type="cellIs" dxfId="8026" priority="2573" operator="greaterThan">
      <formula>0</formula>
    </cfRule>
  </conditionalFormatting>
  <conditionalFormatting sqref="AR2">
    <cfRule type="containsText" dxfId="8025" priority="2564" operator="containsText" text="NEUTRO">
      <formula>NOT(ISERROR(SEARCH("NEUTRO",AR2)))</formula>
    </cfRule>
    <cfRule type="containsText" dxfId="8024" priority="2565" operator="containsText" text="BULLISH">
      <formula>NOT(ISERROR(SEARCH("BULLISH",AR2)))</formula>
    </cfRule>
    <cfRule type="containsText" dxfId="8023" priority="2566" operator="containsText" text="BEARISH">
      <formula>NOT(ISERROR(SEARCH("BEARISH",AR2)))</formula>
    </cfRule>
    <cfRule type="containsBlanks" dxfId="8022" priority="2567">
      <formula>LEN(TRIM(AR2))=0</formula>
    </cfRule>
  </conditionalFormatting>
  <conditionalFormatting sqref="AR12">
    <cfRule type="containsText" dxfId="8021" priority="2560" operator="containsText" text="NEUTRO">
      <formula>NOT(ISERROR(SEARCH("NEUTRO",AR12)))</formula>
    </cfRule>
    <cfRule type="containsText" dxfId="8020" priority="2561" operator="containsText" text="BULLISH">
      <formula>NOT(ISERROR(SEARCH("BULLISH",AR12)))</formula>
    </cfRule>
    <cfRule type="containsText" dxfId="8019" priority="2562" operator="containsText" text="BEARISH">
      <formula>NOT(ISERROR(SEARCH("BEARISH",AR12)))</formula>
    </cfRule>
    <cfRule type="containsBlanks" dxfId="8018" priority="2563">
      <formula>LEN(TRIM(AR12))=0</formula>
    </cfRule>
  </conditionalFormatting>
  <conditionalFormatting sqref="AR18:AT18">
    <cfRule type="containsText" dxfId="8017" priority="2556" operator="containsText" text="NEUTRO">
      <formula>NOT(ISERROR(SEARCH("NEUTRO",AR18)))</formula>
    </cfRule>
    <cfRule type="containsText" dxfId="8016" priority="2557" operator="containsText" text="BULLISH">
      <formula>NOT(ISERROR(SEARCH("BULLISH",AR18)))</formula>
    </cfRule>
    <cfRule type="containsText" dxfId="8015" priority="2558" operator="containsText" text="BEARISH">
      <formula>NOT(ISERROR(SEARCH("BEARISH",AR18)))</formula>
    </cfRule>
    <cfRule type="containsBlanks" dxfId="8014" priority="2559">
      <formula>LEN(TRIM(AR18))=0</formula>
    </cfRule>
  </conditionalFormatting>
  <conditionalFormatting sqref="AR23">
    <cfRule type="containsText" dxfId="8013" priority="2552" operator="containsText" text="NEUTRO">
      <formula>NOT(ISERROR(SEARCH("NEUTRO",AR23)))</formula>
    </cfRule>
    <cfRule type="containsText" dxfId="8012" priority="2553" operator="containsText" text="BULLISH">
      <formula>NOT(ISERROR(SEARCH("BULLISH",AR23)))</formula>
    </cfRule>
    <cfRule type="containsText" dxfId="8011" priority="2554" operator="containsText" text="BEARISH">
      <formula>NOT(ISERROR(SEARCH("BEARISH",AR23)))</formula>
    </cfRule>
    <cfRule type="containsBlanks" dxfId="8010" priority="2555">
      <formula>LEN(TRIM(AR23))=0</formula>
    </cfRule>
  </conditionalFormatting>
  <conditionalFormatting sqref="AR32">
    <cfRule type="containsText" dxfId="8009" priority="2548" operator="containsText" text="NEUTRO">
      <formula>NOT(ISERROR(SEARCH("NEUTRO",AR32)))</formula>
    </cfRule>
    <cfRule type="containsText" dxfId="8008" priority="2549" operator="containsText" text="BULLISH">
      <formula>NOT(ISERROR(SEARCH("BULLISH",AR32)))</formula>
    </cfRule>
    <cfRule type="containsText" dxfId="8007" priority="2550" operator="containsText" text="BEARISH">
      <formula>NOT(ISERROR(SEARCH("BEARISH",AR32)))</formula>
    </cfRule>
    <cfRule type="containsBlanks" dxfId="8006" priority="2551">
      <formula>LEN(TRIM(AR32))=0</formula>
    </cfRule>
  </conditionalFormatting>
  <conditionalFormatting sqref="AR45">
    <cfRule type="containsText" dxfId="8005" priority="2544" operator="containsText" text="NEUTRO">
      <formula>NOT(ISERROR(SEARCH("NEUTRO",AR45)))</formula>
    </cfRule>
    <cfRule type="containsText" dxfId="8004" priority="2545" operator="containsText" text="BULLISH">
      <formula>NOT(ISERROR(SEARCH("BULLISH",AR45)))</formula>
    </cfRule>
    <cfRule type="containsText" dxfId="8003" priority="2546" operator="containsText" text="BEARISH">
      <formula>NOT(ISERROR(SEARCH("BEARISH",AR45)))</formula>
    </cfRule>
    <cfRule type="containsBlanks" dxfId="8002" priority="2547">
      <formula>LEN(TRIM(AR45))=0</formula>
    </cfRule>
  </conditionalFormatting>
  <conditionalFormatting sqref="AR57">
    <cfRule type="containsText" dxfId="8001" priority="2540" operator="containsText" text="NEUTRO">
      <formula>NOT(ISERROR(SEARCH("NEUTRO",AR57)))</formula>
    </cfRule>
    <cfRule type="containsText" dxfId="8000" priority="2541" operator="containsText" text="BULLISH">
      <formula>NOT(ISERROR(SEARCH("BULLISH",AR57)))</formula>
    </cfRule>
    <cfRule type="containsText" dxfId="7999" priority="2542" operator="containsText" text="BEARISH">
      <formula>NOT(ISERROR(SEARCH("BEARISH",AR57)))</formula>
    </cfRule>
    <cfRule type="containsBlanks" dxfId="7998" priority="2543">
      <formula>LEN(TRIM(AR57))=0</formula>
    </cfRule>
  </conditionalFormatting>
  <conditionalFormatting sqref="AQ59">
    <cfRule type="cellIs" dxfId="7997" priority="2422" operator="equal">
      <formula>"-"</formula>
    </cfRule>
    <cfRule type="cellIs" dxfId="7996" priority="2423" operator="lessThan">
      <formula>0</formula>
    </cfRule>
    <cfRule type="cellIs" dxfId="7995" priority="2424" operator="greaterThan">
      <formula>0</formula>
    </cfRule>
  </conditionalFormatting>
  <conditionalFormatting sqref="AH60:AH629">
    <cfRule type="colorScale" priority="2539">
      <colorScale>
        <cfvo type="formula" val="-0.0001"/>
        <cfvo type="formula" val="0"/>
        <cfvo type="formula" val="0.00001"/>
        <color rgb="FFF8696B"/>
        <color rgb="FFCCCCCC"/>
        <color rgb="FF57BB8A"/>
      </colorScale>
    </cfRule>
  </conditionalFormatting>
  <conditionalFormatting sqref="AQ7:AQ10">
    <cfRule type="cellIs" dxfId="7994" priority="2535" operator="equal">
      <formula>"-"</formula>
    </cfRule>
    <cfRule type="cellIs" dxfId="7993" priority="2536" operator="lessThan">
      <formula>0</formula>
    </cfRule>
    <cfRule type="cellIs" dxfId="7992" priority="2537" operator="greaterThan">
      <formula>0</formula>
    </cfRule>
  </conditionalFormatting>
  <conditionalFormatting sqref="AQ11">
    <cfRule type="colorScale" priority="2538">
      <colorScale>
        <cfvo type="formula" val="-0.0001"/>
        <cfvo type="formula" val="0"/>
        <cfvo type="formula" val="0.00001"/>
        <color rgb="FFF8696B"/>
        <color rgb="FFCCCCCC"/>
        <color rgb="FF57BB8A"/>
      </colorScale>
    </cfRule>
  </conditionalFormatting>
  <conditionalFormatting sqref="AQ16">
    <cfRule type="cellIs" dxfId="7991" priority="2532" operator="equal">
      <formula>"-"</formula>
    </cfRule>
    <cfRule type="cellIs" dxfId="7990" priority="2533" operator="lessThan">
      <formula>0</formula>
    </cfRule>
    <cfRule type="cellIs" dxfId="7989" priority="2534" operator="greaterThan">
      <formula>0</formula>
    </cfRule>
  </conditionalFormatting>
  <conditionalFormatting sqref="AQ22">
    <cfRule type="cellIs" dxfId="7988" priority="2529" operator="equal">
      <formula>"-"</formula>
    </cfRule>
    <cfRule type="cellIs" dxfId="7987" priority="2530" operator="lessThan">
      <formula>0</formula>
    </cfRule>
    <cfRule type="cellIs" dxfId="7986" priority="2531" operator="greaterThan">
      <formula>0</formula>
    </cfRule>
  </conditionalFormatting>
  <conditionalFormatting sqref="AQ21">
    <cfRule type="cellIs" dxfId="7985" priority="2526" operator="equal">
      <formula>"-"</formula>
    </cfRule>
    <cfRule type="cellIs" dxfId="7984" priority="2527" operator="lessThan">
      <formula>0</formula>
    </cfRule>
    <cfRule type="cellIs" dxfId="7983" priority="2528" operator="greaterThan">
      <formula>0</formula>
    </cfRule>
  </conditionalFormatting>
  <conditionalFormatting sqref="AQ26">
    <cfRule type="cellIs" dxfId="7982" priority="2516" operator="equal">
      <formula>"-"</formula>
    </cfRule>
    <cfRule type="cellIs" dxfId="7981" priority="2517" operator="lessThan">
      <formula>0</formula>
    </cfRule>
    <cfRule type="cellIs" dxfId="7980" priority="2518" operator="greaterThan">
      <formula>0</formula>
    </cfRule>
  </conditionalFormatting>
  <conditionalFormatting sqref="AQ27">
    <cfRule type="cellIs" dxfId="7979" priority="2522" operator="equal">
      <formula>"-"</formula>
    </cfRule>
    <cfRule type="cellIs" dxfId="7978" priority="2523" operator="lessThan">
      <formula>0</formula>
    </cfRule>
    <cfRule type="cellIs" dxfId="7977" priority="2524" operator="greaterThan">
      <formula>0</formula>
    </cfRule>
  </conditionalFormatting>
  <conditionalFormatting sqref="AQ28">
    <cfRule type="cellIs" dxfId="7976" priority="2519" operator="equal">
      <formula>"-"</formula>
    </cfRule>
    <cfRule type="cellIs" dxfId="7975" priority="2520" operator="lessThan">
      <formula>0</formula>
    </cfRule>
    <cfRule type="cellIs" dxfId="7974" priority="2521" operator="greaterThan">
      <formula>0</formula>
    </cfRule>
  </conditionalFormatting>
  <conditionalFormatting sqref="AQ29">
    <cfRule type="cellIs" dxfId="7973" priority="2513" operator="equal">
      <formula>"-"</formula>
    </cfRule>
    <cfRule type="cellIs" dxfId="7972" priority="2514" operator="lessThan">
      <formula>0</formula>
    </cfRule>
    <cfRule type="cellIs" dxfId="7971" priority="2515" operator="greaterThan">
      <formula>0</formula>
    </cfRule>
  </conditionalFormatting>
  <conditionalFormatting sqref="AQ30">
    <cfRule type="cellIs" dxfId="7970" priority="2510" operator="equal">
      <formula>"-"</formula>
    </cfRule>
    <cfRule type="cellIs" dxfId="7969" priority="2511" operator="lessThan">
      <formula>0</formula>
    </cfRule>
    <cfRule type="cellIs" dxfId="7968" priority="2512" operator="greaterThan">
      <formula>0</formula>
    </cfRule>
  </conditionalFormatting>
  <conditionalFormatting sqref="AQ31">
    <cfRule type="colorScale" priority="2525">
      <colorScale>
        <cfvo type="formula" val="-0.0001"/>
        <cfvo type="formula" val="0"/>
        <cfvo type="formula" val="0.00001"/>
        <color rgb="FFF8696B"/>
        <color rgb="FFCCCCCC"/>
        <color rgb="FF57BB8A"/>
      </colorScale>
    </cfRule>
  </conditionalFormatting>
  <conditionalFormatting sqref="AQ37">
    <cfRule type="cellIs" dxfId="7967" priority="2500" operator="equal">
      <formula>"-"</formula>
    </cfRule>
    <cfRule type="cellIs" dxfId="7966" priority="2501" operator="lessThan">
      <formula>0</formula>
    </cfRule>
    <cfRule type="cellIs" dxfId="7965" priority="2502" operator="greaterThan">
      <formula>0</formula>
    </cfRule>
  </conditionalFormatting>
  <conditionalFormatting sqref="AQ38">
    <cfRule type="cellIs" dxfId="7964" priority="2497" operator="equal">
      <formula>"-"</formula>
    </cfRule>
    <cfRule type="cellIs" dxfId="7963" priority="2498" operator="lessThan">
      <formula>0</formula>
    </cfRule>
    <cfRule type="cellIs" dxfId="7962" priority="2499" operator="greaterThan">
      <formula>0</formula>
    </cfRule>
  </conditionalFormatting>
  <conditionalFormatting sqref="AQ39">
    <cfRule type="cellIs" dxfId="7961" priority="2506" operator="equal">
      <formula>"-"</formula>
    </cfRule>
    <cfRule type="cellIs" dxfId="7960" priority="2507" operator="lessThan">
      <formula>0</formula>
    </cfRule>
    <cfRule type="cellIs" dxfId="7959" priority="2508" operator="greaterThan">
      <formula>0</formula>
    </cfRule>
  </conditionalFormatting>
  <conditionalFormatting sqref="AQ40">
    <cfRule type="cellIs" dxfId="7958" priority="2494" operator="equal">
      <formula>"-"</formula>
    </cfRule>
    <cfRule type="cellIs" dxfId="7957" priority="2495" operator="lessThan">
      <formula>0</formula>
    </cfRule>
    <cfRule type="cellIs" dxfId="7956" priority="2496" operator="greaterThan">
      <formula>0</formula>
    </cfRule>
  </conditionalFormatting>
  <conditionalFormatting sqref="AQ41">
    <cfRule type="cellIs" dxfId="7955" priority="2491" operator="equal">
      <formula>"-"</formula>
    </cfRule>
    <cfRule type="cellIs" dxfId="7954" priority="2492" operator="lessThan">
      <formula>0</formula>
    </cfRule>
    <cfRule type="cellIs" dxfId="7953" priority="2493" operator="greaterThan">
      <formula>0</formula>
    </cfRule>
  </conditionalFormatting>
  <conditionalFormatting sqref="AQ42">
    <cfRule type="cellIs" dxfId="7952" priority="2503" operator="equal">
      <formula>"-"</formula>
    </cfRule>
    <cfRule type="cellIs" dxfId="7951" priority="2504" operator="lessThan">
      <formula>0</formula>
    </cfRule>
    <cfRule type="cellIs" dxfId="7950" priority="2505" operator="greaterThan">
      <formula>0</formula>
    </cfRule>
  </conditionalFormatting>
  <conditionalFormatting sqref="AQ43">
    <cfRule type="cellIs" dxfId="7949" priority="2488" operator="equal">
      <formula>"-"</formula>
    </cfRule>
    <cfRule type="cellIs" dxfId="7948" priority="2489" operator="lessThan">
      <formula>0</formula>
    </cfRule>
    <cfRule type="cellIs" dxfId="7947" priority="2490" operator="greaterThan">
      <formula>0</formula>
    </cfRule>
  </conditionalFormatting>
  <conditionalFormatting sqref="AQ44">
    <cfRule type="colorScale" priority="2509">
      <colorScale>
        <cfvo type="formula" val="-0.0001"/>
        <cfvo type="formula" val="0"/>
        <cfvo type="formula" val="0.00001"/>
        <color rgb="FFF8696B"/>
        <color rgb="FFCCCCCC"/>
        <color rgb="FF57BB8A"/>
      </colorScale>
    </cfRule>
  </conditionalFormatting>
  <conditionalFormatting sqref="AQ49">
    <cfRule type="cellIs" dxfId="7946" priority="2485" operator="equal">
      <formula>"-"</formula>
    </cfRule>
    <cfRule type="cellIs" dxfId="7945" priority="2486" operator="lessThan">
      <formula>0</formula>
    </cfRule>
    <cfRule type="cellIs" dxfId="7944" priority="2487" operator="greaterThan">
      <formula>0</formula>
    </cfRule>
  </conditionalFormatting>
  <conditionalFormatting sqref="AQ50">
    <cfRule type="cellIs" dxfId="7943" priority="2482" operator="equal">
      <formula>"-"</formula>
    </cfRule>
    <cfRule type="cellIs" dxfId="7942" priority="2483" operator="lessThan">
      <formula>0</formula>
    </cfRule>
    <cfRule type="cellIs" dxfId="7941" priority="2484" operator="greaterThan">
      <formula>0</formula>
    </cfRule>
  </conditionalFormatting>
  <conditionalFormatting sqref="AQ51">
    <cfRule type="cellIs" dxfId="7940" priority="2479" operator="equal">
      <formula>"-"</formula>
    </cfRule>
    <cfRule type="cellIs" dxfId="7939" priority="2480" operator="lessThan">
      <formula>0</formula>
    </cfRule>
    <cfRule type="cellIs" dxfId="7938" priority="2481" operator="greaterThan">
      <formula>0</formula>
    </cfRule>
  </conditionalFormatting>
  <conditionalFormatting sqref="AQ52">
    <cfRule type="cellIs" dxfId="7937" priority="2476" operator="equal">
      <formula>"-"</formula>
    </cfRule>
    <cfRule type="cellIs" dxfId="7936" priority="2477" operator="lessThan">
      <formula>0</formula>
    </cfRule>
    <cfRule type="cellIs" dxfId="7935" priority="2478" operator="greaterThan">
      <formula>0</formula>
    </cfRule>
  </conditionalFormatting>
  <conditionalFormatting sqref="AQ53">
    <cfRule type="cellIs" dxfId="7934" priority="2473" operator="equal">
      <formula>"-"</formula>
    </cfRule>
    <cfRule type="cellIs" dxfId="7933" priority="2474" operator="lessThan">
      <formula>0</formula>
    </cfRule>
    <cfRule type="cellIs" dxfId="7932" priority="2475" operator="greaterThan">
      <formula>0</formula>
    </cfRule>
  </conditionalFormatting>
  <conditionalFormatting sqref="AQ54">
    <cfRule type="cellIs" dxfId="7931" priority="2467" operator="equal">
      <formula>"-"</formula>
    </cfRule>
    <cfRule type="cellIs" dxfId="7930" priority="2468" operator="lessThan">
      <formula>0</formula>
    </cfRule>
    <cfRule type="cellIs" dxfId="7929" priority="2469" operator="greaterThan">
      <formula>0</formula>
    </cfRule>
  </conditionalFormatting>
  <conditionalFormatting sqref="AQ55">
    <cfRule type="cellIs" dxfId="7928" priority="2470" operator="equal">
      <formula>"-"</formula>
    </cfRule>
    <cfRule type="cellIs" dxfId="7927" priority="2471" operator="lessThan">
      <formula>0</formula>
    </cfRule>
    <cfRule type="cellIs" dxfId="7926" priority="2472" operator="greaterThan">
      <formula>0</formula>
    </cfRule>
  </conditionalFormatting>
  <conditionalFormatting sqref="AQ3:AQ6">
    <cfRule type="cellIs" dxfId="7925" priority="2464" operator="equal">
      <formula>"-"</formula>
    </cfRule>
    <cfRule type="cellIs" dxfId="7924" priority="2465" operator="lessThan">
      <formula>0</formula>
    </cfRule>
    <cfRule type="cellIs" dxfId="7923" priority="2466" operator="greaterThan">
      <formula>0</formula>
    </cfRule>
  </conditionalFormatting>
  <conditionalFormatting sqref="AQ13:AQ15">
    <cfRule type="cellIs" dxfId="7922" priority="2461" operator="equal">
      <formula>"-"</formula>
    </cfRule>
    <cfRule type="cellIs" dxfId="7921" priority="2462" operator="lessThan">
      <formula>0</formula>
    </cfRule>
    <cfRule type="cellIs" dxfId="7920" priority="2463" operator="greaterThan">
      <formula>0</formula>
    </cfRule>
  </conditionalFormatting>
  <conditionalFormatting sqref="AQ19">
    <cfRule type="cellIs" dxfId="7919" priority="2458" operator="equal">
      <formula>"-"</formula>
    </cfRule>
    <cfRule type="cellIs" dxfId="7918" priority="2459" operator="lessThan">
      <formula>0</formula>
    </cfRule>
    <cfRule type="cellIs" dxfId="7917" priority="2460" operator="greaterThan">
      <formula>0</formula>
    </cfRule>
  </conditionalFormatting>
  <conditionalFormatting sqref="AQ20">
    <cfRule type="cellIs" dxfId="7916" priority="2456" operator="lessThan">
      <formula>0</formula>
    </cfRule>
    <cfRule type="cellIs" dxfId="7915" priority="2457" operator="greaterThan">
      <formula>0</formula>
    </cfRule>
  </conditionalFormatting>
  <conditionalFormatting sqref="AQ20">
    <cfRule type="cellIs" dxfId="7914" priority="2455" operator="equal">
      <formula>"-"</formula>
    </cfRule>
  </conditionalFormatting>
  <conditionalFormatting sqref="AQ24">
    <cfRule type="cellIs" dxfId="7913" priority="2452" operator="equal">
      <formula>"-"</formula>
    </cfRule>
    <cfRule type="cellIs" dxfId="7912" priority="2453" operator="lessThan">
      <formula>0</formula>
    </cfRule>
    <cfRule type="cellIs" dxfId="7911" priority="2454" operator="greaterThan">
      <formula>0</formula>
    </cfRule>
  </conditionalFormatting>
  <conditionalFormatting sqref="AQ25">
    <cfRule type="cellIs" dxfId="7910" priority="2449" operator="equal">
      <formula>"-"</formula>
    </cfRule>
    <cfRule type="cellIs" dxfId="7909" priority="2450" operator="lessThan">
      <formula>0</formula>
    </cfRule>
    <cfRule type="cellIs" dxfId="7908" priority="2451" operator="greaterThan">
      <formula>0</formula>
    </cfRule>
  </conditionalFormatting>
  <conditionalFormatting sqref="AQ33">
    <cfRule type="cellIs" dxfId="7907" priority="2446" operator="equal">
      <formula>"-"</formula>
    </cfRule>
    <cfRule type="cellIs" dxfId="7906" priority="2447" operator="lessThan">
      <formula>0</formula>
    </cfRule>
    <cfRule type="cellIs" dxfId="7905" priority="2448" operator="greaterThan">
      <formula>0</formula>
    </cfRule>
  </conditionalFormatting>
  <conditionalFormatting sqref="AQ34">
    <cfRule type="cellIs" dxfId="7904" priority="2443" operator="equal">
      <formula>"-"</formula>
    </cfRule>
    <cfRule type="cellIs" dxfId="7903" priority="2444" operator="lessThan">
      <formula>0</formula>
    </cfRule>
    <cfRule type="cellIs" dxfId="7902" priority="2445" operator="greaterThan">
      <formula>0</formula>
    </cfRule>
  </conditionalFormatting>
  <conditionalFormatting sqref="AQ36">
    <cfRule type="cellIs" dxfId="7901" priority="2440" operator="equal">
      <formula>"-"</formula>
    </cfRule>
    <cfRule type="cellIs" dxfId="7900" priority="2441" operator="lessThan">
      <formula>0</formula>
    </cfRule>
    <cfRule type="cellIs" dxfId="7899" priority="2442" operator="greaterThan">
      <formula>0</formula>
    </cfRule>
  </conditionalFormatting>
  <conditionalFormatting sqref="AQ35">
    <cfRule type="cellIs" dxfId="7898" priority="2437" operator="equal">
      <formula>"-"</formula>
    </cfRule>
    <cfRule type="cellIs" dxfId="7897" priority="2438" operator="lessThan">
      <formula>0</formula>
    </cfRule>
    <cfRule type="cellIs" dxfId="7896" priority="2439" operator="greaterThan">
      <formula>0</formula>
    </cfRule>
  </conditionalFormatting>
  <conditionalFormatting sqref="AQ46">
    <cfRule type="cellIs" dxfId="7895" priority="2434" operator="equal">
      <formula>"-"</formula>
    </cfRule>
    <cfRule type="cellIs" dxfId="7894" priority="2435" operator="lessThan">
      <formula>0</formula>
    </cfRule>
    <cfRule type="cellIs" dxfId="7893" priority="2436" operator="greaterThan">
      <formula>0</formula>
    </cfRule>
  </conditionalFormatting>
  <conditionalFormatting sqref="AQ47">
    <cfRule type="cellIs" dxfId="7892" priority="2431" operator="equal">
      <formula>"-"</formula>
    </cfRule>
    <cfRule type="cellIs" dxfId="7891" priority="2432" operator="lessThan">
      <formula>0</formula>
    </cfRule>
    <cfRule type="cellIs" dxfId="7890" priority="2433" operator="greaterThan">
      <formula>0</formula>
    </cfRule>
  </conditionalFormatting>
  <conditionalFormatting sqref="AQ48">
    <cfRule type="cellIs" dxfId="7889" priority="2428" operator="equal">
      <formula>"-"</formula>
    </cfRule>
    <cfRule type="cellIs" dxfId="7888" priority="2429" operator="lessThan">
      <formula>0</formula>
    </cfRule>
    <cfRule type="cellIs" dxfId="7887" priority="2430" operator="greaterThan">
      <formula>0</formula>
    </cfRule>
  </conditionalFormatting>
  <conditionalFormatting sqref="AQ58">
    <cfRule type="cellIs" dxfId="7886" priority="2425" operator="equal">
      <formula>"-"</formula>
    </cfRule>
    <cfRule type="cellIs" dxfId="7885" priority="2426" operator="lessThan">
      <formula>0</formula>
    </cfRule>
    <cfRule type="cellIs" dxfId="7884" priority="2427" operator="greaterThan">
      <formula>0</formula>
    </cfRule>
  </conditionalFormatting>
  <conditionalFormatting sqref="AO2">
    <cfRule type="containsText" dxfId="7883" priority="2418" operator="containsText" text="NEUTRO">
      <formula>NOT(ISERROR(SEARCH("NEUTRO",AO2)))</formula>
    </cfRule>
    <cfRule type="containsText" dxfId="7882" priority="2419" operator="containsText" text="BULLISH">
      <formula>NOT(ISERROR(SEARCH("BULLISH",AO2)))</formula>
    </cfRule>
    <cfRule type="containsText" dxfId="7881" priority="2420" operator="containsText" text="BEARISH">
      <formula>NOT(ISERROR(SEARCH("BEARISH",AO2)))</formula>
    </cfRule>
    <cfRule type="containsBlanks" dxfId="7880" priority="2421">
      <formula>LEN(TRIM(AO2))=0</formula>
    </cfRule>
  </conditionalFormatting>
  <conditionalFormatting sqref="AO12">
    <cfRule type="containsText" dxfId="7879" priority="2414" operator="containsText" text="NEUTRO">
      <formula>NOT(ISERROR(SEARCH("NEUTRO",AO12)))</formula>
    </cfRule>
    <cfRule type="containsText" dxfId="7878" priority="2415" operator="containsText" text="BULLISH">
      <formula>NOT(ISERROR(SEARCH("BULLISH",AO12)))</formula>
    </cfRule>
    <cfRule type="containsText" dxfId="7877" priority="2416" operator="containsText" text="BEARISH">
      <formula>NOT(ISERROR(SEARCH("BEARISH",AO12)))</formula>
    </cfRule>
    <cfRule type="containsBlanks" dxfId="7876" priority="2417">
      <formula>LEN(TRIM(AO12))=0</formula>
    </cfRule>
  </conditionalFormatting>
  <conditionalFormatting sqref="AO18:AQ18">
    <cfRule type="containsText" dxfId="7875" priority="2410" operator="containsText" text="NEUTRO">
      <formula>NOT(ISERROR(SEARCH("NEUTRO",AO18)))</formula>
    </cfRule>
    <cfRule type="containsText" dxfId="7874" priority="2411" operator="containsText" text="BULLISH">
      <formula>NOT(ISERROR(SEARCH("BULLISH",AO18)))</formula>
    </cfRule>
    <cfRule type="containsText" dxfId="7873" priority="2412" operator="containsText" text="BEARISH">
      <formula>NOT(ISERROR(SEARCH("BEARISH",AO18)))</formula>
    </cfRule>
    <cfRule type="containsBlanks" dxfId="7872" priority="2413">
      <formula>LEN(TRIM(AO18))=0</formula>
    </cfRule>
  </conditionalFormatting>
  <conditionalFormatting sqref="AO23">
    <cfRule type="containsText" dxfId="7871" priority="2406" operator="containsText" text="NEUTRO">
      <formula>NOT(ISERROR(SEARCH("NEUTRO",AO23)))</formula>
    </cfRule>
    <cfRule type="containsText" dxfId="7870" priority="2407" operator="containsText" text="BULLISH">
      <formula>NOT(ISERROR(SEARCH("BULLISH",AO23)))</formula>
    </cfRule>
    <cfRule type="containsText" dxfId="7869" priority="2408" operator="containsText" text="BEARISH">
      <formula>NOT(ISERROR(SEARCH("BEARISH",AO23)))</formula>
    </cfRule>
    <cfRule type="containsBlanks" dxfId="7868" priority="2409">
      <formula>LEN(TRIM(AO23))=0</formula>
    </cfRule>
  </conditionalFormatting>
  <conditionalFormatting sqref="AO32">
    <cfRule type="containsText" dxfId="7867" priority="2402" operator="containsText" text="NEUTRO">
      <formula>NOT(ISERROR(SEARCH("NEUTRO",AO32)))</formula>
    </cfRule>
    <cfRule type="containsText" dxfId="7866" priority="2403" operator="containsText" text="BULLISH">
      <formula>NOT(ISERROR(SEARCH("BULLISH",AO32)))</formula>
    </cfRule>
    <cfRule type="containsText" dxfId="7865" priority="2404" operator="containsText" text="BEARISH">
      <formula>NOT(ISERROR(SEARCH("BEARISH",AO32)))</formula>
    </cfRule>
    <cfRule type="containsBlanks" dxfId="7864" priority="2405">
      <formula>LEN(TRIM(AO32))=0</formula>
    </cfRule>
  </conditionalFormatting>
  <conditionalFormatting sqref="AO45">
    <cfRule type="containsText" dxfId="7863" priority="2398" operator="containsText" text="NEUTRO">
      <formula>NOT(ISERROR(SEARCH("NEUTRO",AO45)))</formula>
    </cfRule>
    <cfRule type="containsText" dxfId="7862" priority="2399" operator="containsText" text="BULLISH">
      <formula>NOT(ISERROR(SEARCH("BULLISH",AO45)))</formula>
    </cfRule>
    <cfRule type="containsText" dxfId="7861" priority="2400" operator="containsText" text="BEARISH">
      <formula>NOT(ISERROR(SEARCH("BEARISH",AO45)))</formula>
    </cfRule>
    <cfRule type="containsBlanks" dxfId="7860" priority="2401">
      <formula>LEN(TRIM(AO45))=0</formula>
    </cfRule>
  </conditionalFormatting>
  <conditionalFormatting sqref="AO57">
    <cfRule type="containsText" dxfId="7859" priority="2394" operator="containsText" text="NEUTRO">
      <formula>NOT(ISERROR(SEARCH("NEUTRO",AO57)))</formula>
    </cfRule>
    <cfRule type="containsText" dxfId="7858" priority="2395" operator="containsText" text="BULLISH">
      <formula>NOT(ISERROR(SEARCH("BULLISH",AO57)))</formula>
    </cfRule>
    <cfRule type="containsText" dxfId="7857" priority="2396" operator="containsText" text="BEARISH">
      <formula>NOT(ISERROR(SEARCH("BEARISH",AO57)))</formula>
    </cfRule>
    <cfRule type="containsBlanks" dxfId="7856" priority="2397">
      <formula>LEN(TRIM(AO57))=0</formula>
    </cfRule>
  </conditionalFormatting>
  <conditionalFormatting sqref="AN59">
    <cfRule type="cellIs" dxfId="7855" priority="2276" operator="equal">
      <formula>"-"</formula>
    </cfRule>
    <cfRule type="cellIs" dxfId="7854" priority="2277" operator="lessThan">
      <formula>0</formula>
    </cfRule>
    <cfRule type="cellIs" dxfId="7853" priority="2278" operator="greaterThan">
      <formula>0</formula>
    </cfRule>
  </conditionalFormatting>
  <conditionalFormatting sqref="AE60:AE629">
    <cfRule type="colorScale" priority="2393">
      <colorScale>
        <cfvo type="formula" val="-0.0001"/>
        <cfvo type="formula" val="0"/>
        <cfvo type="formula" val="0.00001"/>
        <color rgb="FFF8696B"/>
        <color rgb="FFCCCCCC"/>
        <color rgb="FF57BB8A"/>
      </colorScale>
    </cfRule>
  </conditionalFormatting>
  <conditionalFormatting sqref="AN7:AN10">
    <cfRule type="cellIs" dxfId="7852" priority="2389" operator="equal">
      <formula>"-"</formula>
    </cfRule>
    <cfRule type="cellIs" dxfId="7851" priority="2390" operator="lessThan">
      <formula>0</formula>
    </cfRule>
    <cfRule type="cellIs" dxfId="7850" priority="2391" operator="greaterThan">
      <formula>0</formula>
    </cfRule>
  </conditionalFormatting>
  <conditionalFormatting sqref="AN11">
    <cfRule type="colorScale" priority="2392">
      <colorScale>
        <cfvo type="formula" val="-0.0001"/>
        <cfvo type="formula" val="0"/>
        <cfvo type="formula" val="0.00001"/>
        <color rgb="FFF8696B"/>
        <color rgb="FFCCCCCC"/>
        <color rgb="FF57BB8A"/>
      </colorScale>
    </cfRule>
  </conditionalFormatting>
  <conditionalFormatting sqref="AN16">
    <cfRule type="cellIs" dxfId="7849" priority="2386" operator="equal">
      <formula>"-"</formula>
    </cfRule>
    <cfRule type="cellIs" dxfId="7848" priority="2387" operator="lessThan">
      <formula>0</formula>
    </cfRule>
    <cfRule type="cellIs" dxfId="7847" priority="2388" operator="greaterThan">
      <formula>0</formula>
    </cfRule>
  </conditionalFormatting>
  <conditionalFormatting sqref="AN22">
    <cfRule type="cellIs" dxfId="7846" priority="2383" operator="equal">
      <formula>"-"</formula>
    </cfRule>
    <cfRule type="cellIs" dxfId="7845" priority="2384" operator="lessThan">
      <formula>0</formula>
    </cfRule>
    <cfRule type="cellIs" dxfId="7844" priority="2385" operator="greaterThan">
      <formula>0</formula>
    </cfRule>
  </conditionalFormatting>
  <conditionalFormatting sqref="AN21">
    <cfRule type="cellIs" dxfId="7843" priority="2380" operator="equal">
      <formula>"-"</formula>
    </cfRule>
    <cfRule type="cellIs" dxfId="7842" priority="2381" operator="lessThan">
      <formula>0</formula>
    </cfRule>
    <cfRule type="cellIs" dxfId="7841" priority="2382" operator="greaterThan">
      <formula>0</formula>
    </cfRule>
  </conditionalFormatting>
  <conditionalFormatting sqref="AN26">
    <cfRule type="cellIs" dxfId="7840" priority="2370" operator="equal">
      <formula>"-"</formula>
    </cfRule>
    <cfRule type="cellIs" dxfId="7839" priority="2371" operator="lessThan">
      <formula>0</formula>
    </cfRule>
    <cfRule type="cellIs" dxfId="7838" priority="2372" operator="greaterThan">
      <formula>0</formula>
    </cfRule>
  </conditionalFormatting>
  <conditionalFormatting sqref="AN27">
    <cfRule type="cellIs" dxfId="7837" priority="2376" operator="equal">
      <formula>"-"</formula>
    </cfRule>
    <cfRule type="cellIs" dxfId="7836" priority="2377" operator="lessThan">
      <formula>0</formula>
    </cfRule>
    <cfRule type="cellIs" dxfId="7835" priority="2378" operator="greaterThan">
      <formula>0</formula>
    </cfRule>
  </conditionalFormatting>
  <conditionalFormatting sqref="AN28">
    <cfRule type="cellIs" dxfId="7834" priority="2373" operator="equal">
      <formula>"-"</formula>
    </cfRule>
    <cfRule type="cellIs" dxfId="7833" priority="2374" operator="lessThan">
      <formula>0</formula>
    </cfRule>
    <cfRule type="cellIs" dxfId="7832" priority="2375" operator="greaterThan">
      <formula>0</formula>
    </cfRule>
  </conditionalFormatting>
  <conditionalFormatting sqref="AN29">
    <cfRule type="cellIs" dxfId="7831" priority="2367" operator="equal">
      <formula>"-"</formula>
    </cfRule>
    <cfRule type="cellIs" dxfId="7830" priority="2368" operator="lessThan">
      <formula>0</formula>
    </cfRule>
    <cfRule type="cellIs" dxfId="7829" priority="2369" operator="greaterThan">
      <formula>0</formula>
    </cfRule>
  </conditionalFormatting>
  <conditionalFormatting sqref="AN30">
    <cfRule type="cellIs" dxfId="7828" priority="2364" operator="equal">
      <formula>"-"</formula>
    </cfRule>
    <cfRule type="cellIs" dxfId="7827" priority="2365" operator="lessThan">
      <formula>0</formula>
    </cfRule>
    <cfRule type="cellIs" dxfId="7826" priority="2366" operator="greaterThan">
      <formula>0</formula>
    </cfRule>
  </conditionalFormatting>
  <conditionalFormatting sqref="AN31">
    <cfRule type="colorScale" priority="2379">
      <colorScale>
        <cfvo type="formula" val="-0.0001"/>
        <cfvo type="formula" val="0"/>
        <cfvo type="formula" val="0.00001"/>
        <color rgb="FFF8696B"/>
        <color rgb="FFCCCCCC"/>
        <color rgb="FF57BB8A"/>
      </colorScale>
    </cfRule>
  </conditionalFormatting>
  <conditionalFormatting sqref="AN37">
    <cfRule type="cellIs" dxfId="7825" priority="2354" operator="equal">
      <formula>"-"</formula>
    </cfRule>
    <cfRule type="cellIs" dxfId="7824" priority="2355" operator="lessThan">
      <formula>0</formula>
    </cfRule>
    <cfRule type="cellIs" dxfId="7823" priority="2356" operator="greaterThan">
      <formula>0</formula>
    </cfRule>
  </conditionalFormatting>
  <conditionalFormatting sqref="AN38">
    <cfRule type="cellIs" dxfId="7822" priority="2351" operator="equal">
      <formula>"-"</formula>
    </cfRule>
    <cfRule type="cellIs" dxfId="7821" priority="2352" operator="lessThan">
      <formula>0</formula>
    </cfRule>
    <cfRule type="cellIs" dxfId="7820" priority="2353" operator="greaterThan">
      <formula>0</formula>
    </cfRule>
  </conditionalFormatting>
  <conditionalFormatting sqref="AN39">
    <cfRule type="cellIs" dxfId="7819" priority="2360" operator="equal">
      <formula>"-"</formula>
    </cfRule>
    <cfRule type="cellIs" dxfId="7818" priority="2361" operator="lessThan">
      <formula>0</formula>
    </cfRule>
    <cfRule type="cellIs" dxfId="7817" priority="2362" operator="greaterThan">
      <formula>0</formula>
    </cfRule>
  </conditionalFormatting>
  <conditionalFormatting sqref="AN40">
    <cfRule type="cellIs" dxfId="7816" priority="2348" operator="equal">
      <formula>"-"</formula>
    </cfRule>
    <cfRule type="cellIs" dxfId="7815" priority="2349" operator="lessThan">
      <formula>0</formula>
    </cfRule>
    <cfRule type="cellIs" dxfId="7814" priority="2350" operator="greaterThan">
      <formula>0</formula>
    </cfRule>
  </conditionalFormatting>
  <conditionalFormatting sqref="AN41">
    <cfRule type="cellIs" dxfId="7813" priority="2345" operator="equal">
      <formula>"-"</formula>
    </cfRule>
    <cfRule type="cellIs" dxfId="7812" priority="2346" operator="lessThan">
      <formula>0</formula>
    </cfRule>
    <cfRule type="cellIs" dxfId="7811" priority="2347" operator="greaterThan">
      <formula>0</formula>
    </cfRule>
  </conditionalFormatting>
  <conditionalFormatting sqref="AN42">
    <cfRule type="cellIs" dxfId="7810" priority="2357" operator="equal">
      <formula>"-"</formula>
    </cfRule>
    <cfRule type="cellIs" dxfId="7809" priority="2358" operator="lessThan">
      <formula>0</formula>
    </cfRule>
    <cfRule type="cellIs" dxfId="7808" priority="2359" operator="greaterThan">
      <formula>0</formula>
    </cfRule>
  </conditionalFormatting>
  <conditionalFormatting sqref="AN43">
    <cfRule type="cellIs" dxfId="7807" priority="2342" operator="equal">
      <formula>"-"</formula>
    </cfRule>
    <cfRule type="cellIs" dxfId="7806" priority="2343" operator="lessThan">
      <formula>0</formula>
    </cfRule>
    <cfRule type="cellIs" dxfId="7805" priority="2344" operator="greaterThan">
      <formula>0</formula>
    </cfRule>
  </conditionalFormatting>
  <conditionalFormatting sqref="AN44">
    <cfRule type="colorScale" priority="2363">
      <colorScale>
        <cfvo type="formula" val="-0.0001"/>
        <cfvo type="formula" val="0"/>
        <cfvo type="formula" val="0.00001"/>
        <color rgb="FFF8696B"/>
        <color rgb="FFCCCCCC"/>
        <color rgb="FF57BB8A"/>
      </colorScale>
    </cfRule>
  </conditionalFormatting>
  <conditionalFormatting sqref="AN49">
    <cfRule type="cellIs" dxfId="7804" priority="2339" operator="equal">
      <formula>"-"</formula>
    </cfRule>
    <cfRule type="cellIs" dxfId="7803" priority="2340" operator="lessThan">
      <formula>0</formula>
    </cfRule>
    <cfRule type="cellIs" dxfId="7802" priority="2341" operator="greaterThan">
      <formula>0</formula>
    </cfRule>
  </conditionalFormatting>
  <conditionalFormatting sqref="AN50">
    <cfRule type="cellIs" dxfId="7801" priority="2336" operator="equal">
      <formula>"-"</formula>
    </cfRule>
    <cfRule type="cellIs" dxfId="7800" priority="2337" operator="lessThan">
      <formula>0</formula>
    </cfRule>
    <cfRule type="cellIs" dxfId="7799" priority="2338" operator="greaterThan">
      <formula>0</formula>
    </cfRule>
  </conditionalFormatting>
  <conditionalFormatting sqref="AN51">
    <cfRule type="cellIs" dxfId="7798" priority="2333" operator="equal">
      <formula>"-"</formula>
    </cfRule>
    <cfRule type="cellIs" dxfId="7797" priority="2334" operator="lessThan">
      <formula>0</formula>
    </cfRule>
    <cfRule type="cellIs" dxfId="7796" priority="2335" operator="greaterThan">
      <formula>0</formula>
    </cfRule>
  </conditionalFormatting>
  <conditionalFormatting sqref="AN52">
    <cfRule type="cellIs" dxfId="7795" priority="2330" operator="equal">
      <formula>"-"</formula>
    </cfRule>
    <cfRule type="cellIs" dxfId="7794" priority="2331" operator="lessThan">
      <formula>0</formula>
    </cfRule>
    <cfRule type="cellIs" dxfId="7793" priority="2332" operator="greaterThan">
      <formula>0</formula>
    </cfRule>
  </conditionalFormatting>
  <conditionalFormatting sqref="AN53">
    <cfRule type="cellIs" dxfId="7792" priority="2327" operator="equal">
      <formula>"-"</formula>
    </cfRule>
    <cfRule type="cellIs" dxfId="7791" priority="2328" operator="lessThan">
      <formula>0</formula>
    </cfRule>
    <cfRule type="cellIs" dxfId="7790" priority="2329" operator="greaterThan">
      <formula>0</formula>
    </cfRule>
  </conditionalFormatting>
  <conditionalFormatting sqref="AN54">
    <cfRule type="cellIs" dxfId="7789" priority="2321" operator="equal">
      <formula>"-"</formula>
    </cfRule>
    <cfRule type="cellIs" dxfId="7788" priority="2322" operator="lessThan">
      <formula>0</formula>
    </cfRule>
    <cfRule type="cellIs" dxfId="7787" priority="2323" operator="greaterThan">
      <formula>0</formula>
    </cfRule>
  </conditionalFormatting>
  <conditionalFormatting sqref="AN55">
    <cfRule type="cellIs" dxfId="7786" priority="2324" operator="equal">
      <formula>"-"</formula>
    </cfRule>
    <cfRule type="cellIs" dxfId="7785" priority="2325" operator="lessThan">
      <formula>0</formula>
    </cfRule>
    <cfRule type="cellIs" dxfId="7784" priority="2326" operator="greaterThan">
      <formula>0</formula>
    </cfRule>
  </conditionalFormatting>
  <conditionalFormatting sqref="AN3:AN6">
    <cfRule type="cellIs" dxfId="7783" priority="2318" operator="equal">
      <formula>"-"</formula>
    </cfRule>
    <cfRule type="cellIs" dxfId="7782" priority="2319" operator="lessThan">
      <formula>0</formula>
    </cfRule>
    <cfRule type="cellIs" dxfId="7781" priority="2320" operator="greaterThan">
      <formula>0</formula>
    </cfRule>
  </conditionalFormatting>
  <conditionalFormatting sqref="AN13:AN15">
    <cfRule type="cellIs" dxfId="7780" priority="2315" operator="equal">
      <formula>"-"</formula>
    </cfRule>
    <cfRule type="cellIs" dxfId="7779" priority="2316" operator="lessThan">
      <formula>0</formula>
    </cfRule>
    <cfRule type="cellIs" dxfId="7778" priority="2317" operator="greaterThan">
      <formula>0</formula>
    </cfRule>
  </conditionalFormatting>
  <conditionalFormatting sqref="AN19">
    <cfRule type="cellIs" dxfId="7777" priority="2312" operator="equal">
      <formula>"-"</formula>
    </cfRule>
    <cfRule type="cellIs" dxfId="7776" priority="2313" operator="lessThan">
      <formula>0</formula>
    </cfRule>
    <cfRule type="cellIs" dxfId="7775" priority="2314" operator="greaterThan">
      <formula>0</formula>
    </cfRule>
  </conditionalFormatting>
  <conditionalFormatting sqref="AN20">
    <cfRule type="cellIs" dxfId="7774" priority="2310" operator="lessThan">
      <formula>0</formula>
    </cfRule>
    <cfRule type="cellIs" dxfId="7773" priority="2311" operator="greaterThan">
      <formula>0</formula>
    </cfRule>
  </conditionalFormatting>
  <conditionalFormatting sqref="AN20">
    <cfRule type="cellIs" dxfId="7772" priority="2309" operator="equal">
      <formula>"-"</formula>
    </cfRule>
  </conditionalFormatting>
  <conditionalFormatting sqref="AN24">
    <cfRule type="cellIs" dxfId="7771" priority="2306" operator="equal">
      <formula>"-"</formula>
    </cfRule>
    <cfRule type="cellIs" dxfId="7770" priority="2307" operator="lessThan">
      <formula>0</formula>
    </cfRule>
    <cfRule type="cellIs" dxfId="7769" priority="2308" operator="greaterThan">
      <formula>0</formula>
    </cfRule>
  </conditionalFormatting>
  <conditionalFormatting sqref="AN25">
    <cfRule type="cellIs" dxfId="7768" priority="2303" operator="equal">
      <formula>"-"</formula>
    </cfRule>
    <cfRule type="cellIs" dxfId="7767" priority="2304" operator="lessThan">
      <formula>0</formula>
    </cfRule>
    <cfRule type="cellIs" dxfId="7766" priority="2305" operator="greaterThan">
      <formula>0</formula>
    </cfRule>
  </conditionalFormatting>
  <conditionalFormatting sqref="AN33">
    <cfRule type="cellIs" dxfId="7765" priority="2300" operator="equal">
      <formula>"-"</formula>
    </cfRule>
    <cfRule type="cellIs" dxfId="7764" priority="2301" operator="lessThan">
      <formula>0</formula>
    </cfRule>
    <cfRule type="cellIs" dxfId="7763" priority="2302" operator="greaterThan">
      <formula>0</formula>
    </cfRule>
  </conditionalFormatting>
  <conditionalFormatting sqref="AN34">
    <cfRule type="cellIs" dxfId="7762" priority="2297" operator="equal">
      <formula>"-"</formula>
    </cfRule>
    <cfRule type="cellIs" dxfId="7761" priority="2298" operator="lessThan">
      <formula>0</formula>
    </cfRule>
    <cfRule type="cellIs" dxfId="7760" priority="2299" operator="greaterThan">
      <formula>0</formula>
    </cfRule>
  </conditionalFormatting>
  <conditionalFormatting sqref="AN36">
    <cfRule type="cellIs" dxfId="7759" priority="2294" operator="equal">
      <formula>"-"</formula>
    </cfRule>
    <cfRule type="cellIs" dxfId="7758" priority="2295" operator="lessThan">
      <formula>0</formula>
    </cfRule>
    <cfRule type="cellIs" dxfId="7757" priority="2296" operator="greaterThan">
      <formula>0</formula>
    </cfRule>
  </conditionalFormatting>
  <conditionalFormatting sqref="AN35">
    <cfRule type="cellIs" dxfId="7756" priority="2291" operator="equal">
      <formula>"-"</formula>
    </cfRule>
    <cfRule type="cellIs" dxfId="7755" priority="2292" operator="lessThan">
      <formula>0</formula>
    </cfRule>
    <cfRule type="cellIs" dxfId="7754" priority="2293" operator="greaterThan">
      <formula>0</formula>
    </cfRule>
  </conditionalFormatting>
  <conditionalFormatting sqref="AN46">
    <cfRule type="cellIs" dxfId="7753" priority="2288" operator="equal">
      <formula>"-"</formula>
    </cfRule>
    <cfRule type="cellIs" dxfId="7752" priority="2289" operator="lessThan">
      <formula>0</formula>
    </cfRule>
    <cfRule type="cellIs" dxfId="7751" priority="2290" operator="greaterThan">
      <formula>0</formula>
    </cfRule>
  </conditionalFormatting>
  <conditionalFormatting sqref="AN47">
    <cfRule type="cellIs" dxfId="7750" priority="2285" operator="equal">
      <formula>"-"</formula>
    </cfRule>
    <cfRule type="cellIs" dxfId="7749" priority="2286" operator="lessThan">
      <formula>0</formula>
    </cfRule>
    <cfRule type="cellIs" dxfId="7748" priority="2287" operator="greaterThan">
      <formula>0</formula>
    </cfRule>
  </conditionalFormatting>
  <conditionalFormatting sqref="AN48">
    <cfRule type="cellIs" dxfId="7747" priority="2282" operator="equal">
      <formula>"-"</formula>
    </cfRule>
    <cfRule type="cellIs" dxfId="7746" priority="2283" operator="lessThan">
      <formula>0</formula>
    </cfRule>
    <cfRule type="cellIs" dxfId="7745" priority="2284" operator="greaterThan">
      <formula>0</formula>
    </cfRule>
  </conditionalFormatting>
  <conditionalFormatting sqref="AN58">
    <cfRule type="cellIs" dxfId="7744" priority="2279" operator="equal">
      <formula>"-"</formula>
    </cfRule>
    <cfRule type="cellIs" dxfId="7743" priority="2280" operator="lessThan">
      <formula>0</formula>
    </cfRule>
    <cfRule type="cellIs" dxfId="7742" priority="2281" operator="greaterThan">
      <formula>0</formula>
    </cfRule>
  </conditionalFormatting>
  <conditionalFormatting sqref="AL2">
    <cfRule type="containsText" dxfId="7741" priority="2272" operator="containsText" text="NEUTRO">
      <formula>NOT(ISERROR(SEARCH("NEUTRO",AL2)))</formula>
    </cfRule>
    <cfRule type="containsText" dxfId="7740" priority="2273" operator="containsText" text="BULLISH">
      <formula>NOT(ISERROR(SEARCH("BULLISH",AL2)))</formula>
    </cfRule>
    <cfRule type="containsText" dxfId="7739" priority="2274" operator="containsText" text="BEARISH">
      <formula>NOT(ISERROR(SEARCH("BEARISH",AL2)))</formula>
    </cfRule>
    <cfRule type="containsBlanks" dxfId="7738" priority="2275">
      <formula>LEN(TRIM(AL2))=0</formula>
    </cfRule>
  </conditionalFormatting>
  <conditionalFormatting sqref="AL12">
    <cfRule type="containsText" dxfId="7737" priority="2268" operator="containsText" text="NEUTRO">
      <formula>NOT(ISERROR(SEARCH("NEUTRO",AL12)))</formula>
    </cfRule>
    <cfRule type="containsText" dxfId="7736" priority="2269" operator="containsText" text="BULLISH">
      <formula>NOT(ISERROR(SEARCH("BULLISH",AL12)))</formula>
    </cfRule>
    <cfRule type="containsText" dxfId="7735" priority="2270" operator="containsText" text="BEARISH">
      <formula>NOT(ISERROR(SEARCH("BEARISH",AL12)))</formula>
    </cfRule>
    <cfRule type="containsBlanks" dxfId="7734" priority="2271">
      <formula>LEN(TRIM(AL12))=0</formula>
    </cfRule>
  </conditionalFormatting>
  <conditionalFormatting sqref="AL18:AN18">
    <cfRule type="containsText" dxfId="7733" priority="2264" operator="containsText" text="NEUTRO">
      <formula>NOT(ISERROR(SEARCH("NEUTRO",AL18)))</formula>
    </cfRule>
    <cfRule type="containsText" dxfId="7732" priority="2265" operator="containsText" text="BULLISH">
      <formula>NOT(ISERROR(SEARCH("BULLISH",AL18)))</formula>
    </cfRule>
    <cfRule type="containsText" dxfId="7731" priority="2266" operator="containsText" text="BEARISH">
      <formula>NOT(ISERROR(SEARCH("BEARISH",AL18)))</formula>
    </cfRule>
    <cfRule type="containsBlanks" dxfId="7730" priority="2267">
      <formula>LEN(TRIM(AL18))=0</formula>
    </cfRule>
  </conditionalFormatting>
  <conditionalFormatting sqref="AL23">
    <cfRule type="containsText" dxfId="7729" priority="2260" operator="containsText" text="NEUTRO">
      <formula>NOT(ISERROR(SEARCH("NEUTRO",AL23)))</formula>
    </cfRule>
    <cfRule type="containsText" dxfId="7728" priority="2261" operator="containsText" text="BULLISH">
      <formula>NOT(ISERROR(SEARCH("BULLISH",AL23)))</formula>
    </cfRule>
    <cfRule type="containsText" dxfId="7727" priority="2262" operator="containsText" text="BEARISH">
      <formula>NOT(ISERROR(SEARCH("BEARISH",AL23)))</formula>
    </cfRule>
    <cfRule type="containsBlanks" dxfId="7726" priority="2263">
      <formula>LEN(TRIM(AL23))=0</formula>
    </cfRule>
  </conditionalFormatting>
  <conditionalFormatting sqref="AL32">
    <cfRule type="containsText" dxfId="7725" priority="2256" operator="containsText" text="NEUTRO">
      <formula>NOT(ISERROR(SEARCH("NEUTRO",AL32)))</formula>
    </cfRule>
    <cfRule type="containsText" dxfId="7724" priority="2257" operator="containsText" text="BULLISH">
      <formula>NOT(ISERROR(SEARCH("BULLISH",AL32)))</formula>
    </cfRule>
    <cfRule type="containsText" dxfId="7723" priority="2258" operator="containsText" text="BEARISH">
      <formula>NOT(ISERROR(SEARCH("BEARISH",AL32)))</formula>
    </cfRule>
    <cfRule type="containsBlanks" dxfId="7722" priority="2259">
      <formula>LEN(TRIM(AL32))=0</formula>
    </cfRule>
  </conditionalFormatting>
  <conditionalFormatting sqref="AL45">
    <cfRule type="containsText" dxfId="7721" priority="2252" operator="containsText" text="NEUTRO">
      <formula>NOT(ISERROR(SEARCH("NEUTRO",AL45)))</formula>
    </cfRule>
    <cfRule type="containsText" dxfId="7720" priority="2253" operator="containsText" text="BULLISH">
      <formula>NOT(ISERROR(SEARCH("BULLISH",AL45)))</formula>
    </cfRule>
    <cfRule type="containsText" dxfId="7719" priority="2254" operator="containsText" text="BEARISH">
      <formula>NOT(ISERROR(SEARCH("BEARISH",AL45)))</formula>
    </cfRule>
    <cfRule type="containsBlanks" dxfId="7718" priority="2255">
      <formula>LEN(TRIM(AL45))=0</formula>
    </cfRule>
  </conditionalFormatting>
  <conditionalFormatting sqref="AL57">
    <cfRule type="containsText" dxfId="7717" priority="2248" operator="containsText" text="NEUTRO">
      <formula>NOT(ISERROR(SEARCH("NEUTRO",AL57)))</formula>
    </cfRule>
    <cfRule type="containsText" dxfId="7716" priority="2249" operator="containsText" text="BULLISH">
      <formula>NOT(ISERROR(SEARCH("BULLISH",AL57)))</formula>
    </cfRule>
    <cfRule type="containsText" dxfId="7715" priority="2250" operator="containsText" text="BEARISH">
      <formula>NOT(ISERROR(SEARCH("BEARISH",AL57)))</formula>
    </cfRule>
    <cfRule type="containsBlanks" dxfId="7714" priority="2251">
      <formula>LEN(TRIM(AL57))=0</formula>
    </cfRule>
  </conditionalFormatting>
  <conditionalFormatting sqref="AK59">
    <cfRule type="cellIs" dxfId="7713" priority="2130" operator="equal">
      <formula>"-"</formula>
    </cfRule>
    <cfRule type="cellIs" dxfId="7712" priority="2131" operator="lessThan">
      <formula>0</formula>
    </cfRule>
    <cfRule type="cellIs" dxfId="7711" priority="2132" operator="greaterThan">
      <formula>0</formula>
    </cfRule>
  </conditionalFormatting>
  <conditionalFormatting sqref="AB60:AB629">
    <cfRule type="colorScale" priority="2247">
      <colorScale>
        <cfvo type="formula" val="-0.0001"/>
        <cfvo type="formula" val="0"/>
        <cfvo type="formula" val="0.00001"/>
        <color rgb="FFF8696B"/>
        <color rgb="FFCCCCCC"/>
        <color rgb="FF57BB8A"/>
      </colorScale>
    </cfRule>
  </conditionalFormatting>
  <conditionalFormatting sqref="AK7:AK10">
    <cfRule type="cellIs" dxfId="7710" priority="2243" operator="equal">
      <formula>"-"</formula>
    </cfRule>
    <cfRule type="cellIs" dxfId="7709" priority="2244" operator="lessThan">
      <formula>0</formula>
    </cfRule>
    <cfRule type="cellIs" dxfId="7708" priority="2245" operator="greaterThan">
      <formula>0</formula>
    </cfRule>
  </conditionalFormatting>
  <conditionalFormatting sqref="AK11">
    <cfRule type="colorScale" priority="2246">
      <colorScale>
        <cfvo type="formula" val="-0.0001"/>
        <cfvo type="formula" val="0"/>
        <cfvo type="formula" val="0.00001"/>
        <color rgb="FFF8696B"/>
        <color rgb="FFCCCCCC"/>
        <color rgb="FF57BB8A"/>
      </colorScale>
    </cfRule>
  </conditionalFormatting>
  <conditionalFormatting sqref="AK16">
    <cfRule type="cellIs" dxfId="7707" priority="2240" operator="equal">
      <formula>"-"</formula>
    </cfRule>
    <cfRule type="cellIs" dxfId="7706" priority="2241" operator="lessThan">
      <formula>0</formula>
    </cfRule>
    <cfRule type="cellIs" dxfId="7705" priority="2242" operator="greaterThan">
      <formula>0</formula>
    </cfRule>
  </conditionalFormatting>
  <conditionalFormatting sqref="AK22">
    <cfRule type="cellIs" dxfId="7704" priority="2237" operator="equal">
      <formula>"-"</formula>
    </cfRule>
    <cfRule type="cellIs" dxfId="7703" priority="2238" operator="lessThan">
      <formula>0</formula>
    </cfRule>
    <cfRule type="cellIs" dxfId="7702" priority="2239" operator="greaterThan">
      <formula>0</formula>
    </cfRule>
  </conditionalFormatting>
  <conditionalFormatting sqref="AK21">
    <cfRule type="cellIs" dxfId="7701" priority="2234" operator="equal">
      <formula>"-"</formula>
    </cfRule>
    <cfRule type="cellIs" dxfId="7700" priority="2235" operator="lessThan">
      <formula>0</formula>
    </cfRule>
    <cfRule type="cellIs" dxfId="7699" priority="2236" operator="greaterThan">
      <formula>0</formula>
    </cfRule>
  </conditionalFormatting>
  <conditionalFormatting sqref="AK26">
    <cfRule type="cellIs" dxfId="7698" priority="2224" operator="equal">
      <formula>"-"</formula>
    </cfRule>
    <cfRule type="cellIs" dxfId="7697" priority="2225" operator="lessThan">
      <formula>0</formula>
    </cfRule>
    <cfRule type="cellIs" dxfId="7696" priority="2226" operator="greaterThan">
      <formula>0</formula>
    </cfRule>
  </conditionalFormatting>
  <conditionalFormatting sqref="AK27">
    <cfRule type="cellIs" dxfId="7695" priority="2230" operator="equal">
      <formula>"-"</formula>
    </cfRule>
    <cfRule type="cellIs" dxfId="7694" priority="2231" operator="lessThan">
      <formula>0</formula>
    </cfRule>
    <cfRule type="cellIs" dxfId="7693" priority="2232" operator="greaterThan">
      <formula>0</formula>
    </cfRule>
  </conditionalFormatting>
  <conditionalFormatting sqref="AK28">
    <cfRule type="cellIs" dxfId="7692" priority="2227" operator="equal">
      <formula>"-"</formula>
    </cfRule>
    <cfRule type="cellIs" dxfId="7691" priority="2228" operator="lessThan">
      <formula>0</formula>
    </cfRule>
    <cfRule type="cellIs" dxfId="7690" priority="2229" operator="greaterThan">
      <formula>0</formula>
    </cfRule>
  </conditionalFormatting>
  <conditionalFormatting sqref="AK29">
    <cfRule type="cellIs" dxfId="7689" priority="2221" operator="equal">
      <formula>"-"</formula>
    </cfRule>
    <cfRule type="cellIs" dxfId="7688" priority="2222" operator="lessThan">
      <formula>0</formula>
    </cfRule>
    <cfRule type="cellIs" dxfId="7687" priority="2223" operator="greaterThan">
      <formula>0</formula>
    </cfRule>
  </conditionalFormatting>
  <conditionalFormatting sqref="AK30">
    <cfRule type="cellIs" dxfId="7686" priority="2218" operator="equal">
      <formula>"-"</formula>
    </cfRule>
    <cfRule type="cellIs" dxfId="7685" priority="2219" operator="lessThan">
      <formula>0</formula>
    </cfRule>
    <cfRule type="cellIs" dxfId="7684" priority="2220" operator="greaterThan">
      <formula>0</formula>
    </cfRule>
  </conditionalFormatting>
  <conditionalFormatting sqref="AK31">
    <cfRule type="colorScale" priority="2233">
      <colorScale>
        <cfvo type="formula" val="-0.0001"/>
        <cfvo type="formula" val="0"/>
        <cfvo type="formula" val="0.00001"/>
        <color rgb="FFF8696B"/>
        <color rgb="FFCCCCCC"/>
        <color rgb="FF57BB8A"/>
      </colorScale>
    </cfRule>
  </conditionalFormatting>
  <conditionalFormatting sqref="AK37">
    <cfRule type="cellIs" dxfId="7683" priority="2208" operator="equal">
      <formula>"-"</formula>
    </cfRule>
    <cfRule type="cellIs" dxfId="7682" priority="2209" operator="lessThan">
      <formula>0</formula>
    </cfRule>
    <cfRule type="cellIs" dxfId="7681" priority="2210" operator="greaterThan">
      <formula>0</formula>
    </cfRule>
  </conditionalFormatting>
  <conditionalFormatting sqref="AK38">
    <cfRule type="cellIs" dxfId="7680" priority="2205" operator="equal">
      <formula>"-"</formula>
    </cfRule>
    <cfRule type="cellIs" dxfId="7679" priority="2206" operator="lessThan">
      <formula>0</formula>
    </cfRule>
    <cfRule type="cellIs" dxfId="7678" priority="2207" operator="greaterThan">
      <formula>0</formula>
    </cfRule>
  </conditionalFormatting>
  <conditionalFormatting sqref="AK39">
    <cfRule type="cellIs" dxfId="7677" priority="2214" operator="equal">
      <formula>"-"</formula>
    </cfRule>
    <cfRule type="cellIs" dxfId="7676" priority="2215" operator="lessThan">
      <formula>0</formula>
    </cfRule>
    <cfRule type="cellIs" dxfId="7675" priority="2216" operator="greaterThan">
      <formula>0</formula>
    </cfRule>
  </conditionalFormatting>
  <conditionalFormatting sqref="AK40">
    <cfRule type="cellIs" dxfId="7674" priority="2202" operator="equal">
      <formula>"-"</formula>
    </cfRule>
    <cfRule type="cellIs" dxfId="7673" priority="2203" operator="lessThan">
      <formula>0</formula>
    </cfRule>
    <cfRule type="cellIs" dxfId="7672" priority="2204" operator="greaterThan">
      <formula>0</formula>
    </cfRule>
  </conditionalFormatting>
  <conditionalFormatting sqref="AK41">
    <cfRule type="cellIs" dxfId="7671" priority="2199" operator="equal">
      <formula>"-"</formula>
    </cfRule>
    <cfRule type="cellIs" dxfId="7670" priority="2200" operator="lessThan">
      <formula>0</formula>
    </cfRule>
    <cfRule type="cellIs" dxfId="7669" priority="2201" operator="greaterThan">
      <formula>0</formula>
    </cfRule>
  </conditionalFormatting>
  <conditionalFormatting sqref="AK42">
    <cfRule type="cellIs" dxfId="7668" priority="2211" operator="equal">
      <formula>"-"</formula>
    </cfRule>
    <cfRule type="cellIs" dxfId="7667" priority="2212" operator="lessThan">
      <formula>0</formula>
    </cfRule>
    <cfRule type="cellIs" dxfId="7666" priority="2213" operator="greaterThan">
      <formula>0</formula>
    </cfRule>
  </conditionalFormatting>
  <conditionalFormatting sqref="AK43">
    <cfRule type="cellIs" dxfId="7665" priority="2196" operator="equal">
      <formula>"-"</formula>
    </cfRule>
    <cfRule type="cellIs" dxfId="7664" priority="2197" operator="lessThan">
      <formula>0</formula>
    </cfRule>
    <cfRule type="cellIs" dxfId="7663" priority="2198" operator="greaterThan">
      <formula>0</formula>
    </cfRule>
  </conditionalFormatting>
  <conditionalFormatting sqref="AK44">
    <cfRule type="colorScale" priority="2217">
      <colorScale>
        <cfvo type="formula" val="-0.0001"/>
        <cfvo type="formula" val="0"/>
        <cfvo type="formula" val="0.00001"/>
        <color rgb="FFF8696B"/>
        <color rgb="FFCCCCCC"/>
        <color rgb="FF57BB8A"/>
      </colorScale>
    </cfRule>
  </conditionalFormatting>
  <conditionalFormatting sqref="AK49">
    <cfRule type="cellIs" dxfId="7662" priority="2193" operator="equal">
      <formula>"-"</formula>
    </cfRule>
    <cfRule type="cellIs" dxfId="7661" priority="2194" operator="lessThan">
      <formula>0</formula>
    </cfRule>
    <cfRule type="cellIs" dxfId="7660" priority="2195" operator="greaterThan">
      <formula>0</formula>
    </cfRule>
  </conditionalFormatting>
  <conditionalFormatting sqref="AK50">
    <cfRule type="cellIs" dxfId="7659" priority="2190" operator="equal">
      <formula>"-"</formula>
    </cfRule>
    <cfRule type="cellIs" dxfId="7658" priority="2191" operator="lessThan">
      <formula>0</formula>
    </cfRule>
    <cfRule type="cellIs" dxfId="7657" priority="2192" operator="greaterThan">
      <formula>0</formula>
    </cfRule>
  </conditionalFormatting>
  <conditionalFormatting sqref="AK51">
    <cfRule type="cellIs" dxfId="7656" priority="2187" operator="equal">
      <formula>"-"</formula>
    </cfRule>
    <cfRule type="cellIs" dxfId="7655" priority="2188" operator="lessThan">
      <formula>0</formula>
    </cfRule>
    <cfRule type="cellIs" dxfId="7654" priority="2189" operator="greaterThan">
      <formula>0</formula>
    </cfRule>
  </conditionalFormatting>
  <conditionalFormatting sqref="AK52">
    <cfRule type="cellIs" dxfId="7653" priority="2184" operator="equal">
      <formula>"-"</formula>
    </cfRule>
    <cfRule type="cellIs" dxfId="7652" priority="2185" operator="lessThan">
      <formula>0</formula>
    </cfRule>
    <cfRule type="cellIs" dxfId="7651" priority="2186" operator="greaterThan">
      <formula>0</formula>
    </cfRule>
  </conditionalFormatting>
  <conditionalFormatting sqref="AK53">
    <cfRule type="cellIs" dxfId="7650" priority="2181" operator="equal">
      <formula>"-"</formula>
    </cfRule>
    <cfRule type="cellIs" dxfId="7649" priority="2182" operator="lessThan">
      <formula>0</formula>
    </cfRule>
    <cfRule type="cellIs" dxfId="7648" priority="2183" operator="greaterThan">
      <formula>0</formula>
    </cfRule>
  </conditionalFormatting>
  <conditionalFormatting sqref="AK54">
    <cfRule type="cellIs" dxfId="7647" priority="2175" operator="equal">
      <formula>"-"</formula>
    </cfRule>
    <cfRule type="cellIs" dxfId="7646" priority="2176" operator="lessThan">
      <formula>0</formula>
    </cfRule>
    <cfRule type="cellIs" dxfId="7645" priority="2177" operator="greaterThan">
      <formula>0</formula>
    </cfRule>
  </conditionalFormatting>
  <conditionalFormatting sqref="AK55">
    <cfRule type="cellIs" dxfId="7644" priority="2178" operator="equal">
      <formula>"-"</formula>
    </cfRule>
    <cfRule type="cellIs" dxfId="7643" priority="2179" operator="lessThan">
      <formula>0</formula>
    </cfRule>
    <cfRule type="cellIs" dxfId="7642" priority="2180" operator="greaterThan">
      <formula>0</formula>
    </cfRule>
  </conditionalFormatting>
  <conditionalFormatting sqref="AK3:AK6">
    <cfRule type="cellIs" dxfId="7641" priority="2172" operator="equal">
      <formula>"-"</formula>
    </cfRule>
    <cfRule type="cellIs" dxfId="7640" priority="2173" operator="lessThan">
      <formula>0</formula>
    </cfRule>
    <cfRule type="cellIs" dxfId="7639" priority="2174" operator="greaterThan">
      <formula>0</formula>
    </cfRule>
  </conditionalFormatting>
  <conditionalFormatting sqref="AK13:AK15">
    <cfRule type="cellIs" dxfId="7638" priority="2169" operator="equal">
      <formula>"-"</formula>
    </cfRule>
    <cfRule type="cellIs" dxfId="7637" priority="2170" operator="lessThan">
      <formula>0</formula>
    </cfRule>
    <cfRule type="cellIs" dxfId="7636" priority="2171" operator="greaterThan">
      <formula>0</formula>
    </cfRule>
  </conditionalFormatting>
  <conditionalFormatting sqref="AK19">
    <cfRule type="cellIs" dxfId="7635" priority="2166" operator="equal">
      <formula>"-"</formula>
    </cfRule>
    <cfRule type="cellIs" dxfId="7634" priority="2167" operator="lessThan">
      <formula>0</formula>
    </cfRule>
    <cfRule type="cellIs" dxfId="7633" priority="2168" operator="greaterThan">
      <formula>0</formula>
    </cfRule>
  </conditionalFormatting>
  <conditionalFormatting sqref="AK20">
    <cfRule type="cellIs" dxfId="7632" priority="2164" operator="lessThan">
      <formula>0</formula>
    </cfRule>
    <cfRule type="cellIs" dxfId="7631" priority="2165" operator="greaterThan">
      <formula>0</formula>
    </cfRule>
  </conditionalFormatting>
  <conditionalFormatting sqref="AK20">
    <cfRule type="cellIs" dxfId="7630" priority="2163" operator="equal">
      <formula>"-"</formula>
    </cfRule>
  </conditionalFormatting>
  <conditionalFormatting sqref="AK24">
    <cfRule type="cellIs" dxfId="7629" priority="2160" operator="equal">
      <formula>"-"</formula>
    </cfRule>
    <cfRule type="cellIs" dxfId="7628" priority="2161" operator="lessThan">
      <formula>0</formula>
    </cfRule>
    <cfRule type="cellIs" dxfId="7627" priority="2162" operator="greaterThan">
      <formula>0</formula>
    </cfRule>
  </conditionalFormatting>
  <conditionalFormatting sqref="AK25">
    <cfRule type="cellIs" dxfId="7626" priority="2157" operator="equal">
      <formula>"-"</formula>
    </cfRule>
    <cfRule type="cellIs" dxfId="7625" priority="2158" operator="lessThan">
      <formula>0</formula>
    </cfRule>
    <cfRule type="cellIs" dxfId="7624" priority="2159" operator="greaterThan">
      <formula>0</formula>
    </cfRule>
  </conditionalFormatting>
  <conditionalFormatting sqref="AK33">
    <cfRule type="cellIs" dxfId="7623" priority="2154" operator="equal">
      <formula>"-"</formula>
    </cfRule>
    <cfRule type="cellIs" dxfId="7622" priority="2155" operator="lessThan">
      <formula>0</formula>
    </cfRule>
    <cfRule type="cellIs" dxfId="7621" priority="2156" operator="greaterThan">
      <formula>0</formula>
    </cfRule>
  </conditionalFormatting>
  <conditionalFormatting sqref="AK34">
    <cfRule type="cellIs" dxfId="7620" priority="2151" operator="equal">
      <formula>"-"</formula>
    </cfRule>
    <cfRule type="cellIs" dxfId="7619" priority="2152" operator="lessThan">
      <formula>0</formula>
    </cfRule>
    <cfRule type="cellIs" dxfId="7618" priority="2153" operator="greaterThan">
      <formula>0</formula>
    </cfRule>
  </conditionalFormatting>
  <conditionalFormatting sqref="AK36">
    <cfRule type="cellIs" dxfId="7617" priority="2148" operator="equal">
      <formula>"-"</formula>
    </cfRule>
    <cfRule type="cellIs" dxfId="7616" priority="2149" operator="lessThan">
      <formula>0</formula>
    </cfRule>
    <cfRule type="cellIs" dxfId="7615" priority="2150" operator="greaterThan">
      <formula>0</formula>
    </cfRule>
  </conditionalFormatting>
  <conditionalFormatting sqref="AK35">
    <cfRule type="cellIs" dxfId="7614" priority="2145" operator="equal">
      <formula>"-"</formula>
    </cfRule>
    <cfRule type="cellIs" dxfId="7613" priority="2146" operator="lessThan">
      <formula>0</formula>
    </cfRule>
    <cfRule type="cellIs" dxfId="7612" priority="2147" operator="greaterThan">
      <formula>0</formula>
    </cfRule>
  </conditionalFormatting>
  <conditionalFormatting sqref="AK46">
    <cfRule type="cellIs" dxfId="7611" priority="2142" operator="equal">
      <formula>"-"</formula>
    </cfRule>
    <cfRule type="cellIs" dxfId="7610" priority="2143" operator="lessThan">
      <formula>0</formula>
    </cfRule>
    <cfRule type="cellIs" dxfId="7609" priority="2144" operator="greaterThan">
      <formula>0</formula>
    </cfRule>
  </conditionalFormatting>
  <conditionalFormatting sqref="AK47">
    <cfRule type="cellIs" dxfId="7608" priority="2139" operator="equal">
      <formula>"-"</formula>
    </cfRule>
    <cfRule type="cellIs" dxfId="7607" priority="2140" operator="lessThan">
      <formula>0</formula>
    </cfRule>
    <cfRule type="cellIs" dxfId="7606" priority="2141" operator="greaterThan">
      <formula>0</formula>
    </cfRule>
  </conditionalFormatting>
  <conditionalFormatting sqref="AK48">
    <cfRule type="cellIs" dxfId="7605" priority="2136" operator="equal">
      <formula>"-"</formula>
    </cfRule>
    <cfRule type="cellIs" dxfId="7604" priority="2137" operator="lessThan">
      <formula>0</formula>
    </cfRule>
    <cfRule type="cellIs" dxfId="7603" priority="2138" operator="greaterThan">
      <formula>0</formula>
    </cfRule>
  </conditionalFormatting>
  <conditionalFormatting sqref="AK58">
    <cfRule type="cellIs" dxfId="7602" priority="2133" operator="equal">
      <formula>"-"</formula>
    </cfRule>
    <cfRule type="cellIs" dxfId="7601" priority="2134" operator="lessThan">
      <formula>0</formula>
    </cfRule>
    <cfRule type="cellIs" dxfId="7600" priority="2135" operator="greaterThan">
      <formula>0</formula>
    </cfRule>
  </conditionalFormatting>
  <conditionalFormatting sqref="AI32">
    <cfRule type="containsText" dxfId="7599" priority="2110" operator="containsText" text="NEUTRO">
      <formula>NOT(ISERROR(SEARCH("NEUTRO",AI32)))</formula>
    </cfRule>
    <cfRule type="containsText" dxfId="7598" priority="2111" operator="containsText" text="BULLISH">
      <formula>NOT(ISERROR(SEARCH("BULLISH",AI32)))</formula>
    </cfRule>
    <cfRule type="containsText" dxfId="7597" priority="2112" operator="containsText" text="BEARISH">
      <formula>NOT(ISERROR(SEARCH("BEARISH",AI32)))</formula>
    </cfRule>
    <cfRule type="containsBlanks" dxfId="7596" priority="2113">
      <formula>LEN(TRIM(AI32))=0</formula>
    </cfRule>
  </conditionalFormatting>
  <conditionalFormatting sqref="AI2">
    <cfRule type="containsText" dxfId="7595" priority="2126" operator="containsText" text="NEUTRO">
      <formula>NOT(ISERROR(SEARCH("NEUTRO",AI2)))</formula>
    </cfRule>
    <cfRule type="containsText" dxfId="7594" priority="2127" operator="containsText" text="BULLISH">
      <formula>NOT(ISERROR(SEARCH("BULLISH",AI2)))</formula>
    </cfRule>
    <cfRule type="containsText" dxfId="7593" priority="2128" operator="containsText" text="BEARISH">
      <formula>NOT(ISERROR(SEARCH("BEARISH",AI2)))</formula>
    </cfRule>
    <cfRule type="containsBlanks" dxfId="7592" priority="2129">
      <formula>LEN(TRIM(AI2))=0</formula>
    </cfRule>
  </conditionalFormatting>
  <conditionalFormatting sqref="AI12">
    <cfRule type="containsText" dxfId="7591" priority="2122" operator="containsText" text="NEUTRO">
      <formula>NOT(ISERROR(SEARCH("NEUTRO",AI12)))</formula>
    </cfRule>
    <cfRule type="containsText" dxfId="7590" priority="2123" operator="containsText" text="BULLISH">
      <formula>NOT(ISERROR(SEARCH("BULLISH",AI12)))</formula>
    </cfRule>
    <cfRule type="containsText" dxfId="7589" priority="2124" operator="containsText" text="BEARISH">
      <formula>NOT(ISERROR(SEARCH("BEARISH",AI12)))</formula>
    </cfRule>
    <cfRule type="containsBlanks" dxfId="7588" priority="2125">
      <formula>LEN(TRIM(AI12))=0</formula>
    </cfRule>
  </conditionalFormatting>
  <conditionalFormatting sqref="AI18:AK18">
    <cfRule type="containsText" dxfId="7587" priority="2118" operator="containsText" text="NEUTRO">
      <formula>NOT(ISERROR(SEARCH("NEUTRO",AI18)))</formula>
    </cfRule>
    <cfRule type="containsText" dxfId="7586" priority="2119" operator="containsText" text="BULLISH">
      <formula>NOT(ISERROR(SEARCH("BULLISH",AI18)))</formula>
    </cfRule>
    <cfRule type="containsText" dxfId="7585" priority="2120" operator="containsText" text="BEARISH">
      <formula>NOT(ISERROR(SEARCH("BEARISH",AI18)))</formula>
    </cfRule>
    <cfRule type="containsBlanks" dxfId="7584" priority="2121">
      <formula>LEN(TRIM(AI18))=0</formula>
    </cfRule>
  </conditionalFormatting>
  <conditionalFormatting sqref="AI23">
    <cfRule type="containsText" dxfId="7583" priority="2114" operator="containsText" text="NEUTRO">
      <formula>NOT(ISERROR(SEARCH("NEUTRO",AI23)))</formula>
    </cfRule>
    <cfRule type="containsText" dxfId="7582" priority="2115" operator="containsText" text="BULLISH">
      <formula>NOT(ISERROR(SEARCH("BULLISH",AI23)))</formula>
    </cfRule>
    <cfRule type="containsText" dxfId="7581" priority="2116" operator="containsText" text="BEARISH">
      <formula>NOT(ISERROR(SEARCH("BEARISH",AI23)))</formula>
    </cfRule>
    <cfRule type="containsBlanks" dxfId="7580" priority="2117">
      <formula>LEN(TRIM(AI23))=0</formula>
    </cfRule>
  </conditionalFormatting>
  <conditionalFormatting sqref="AI45">
    <cfRule type="containsText" dxfId="7579" priority="2106" operator="containsText" text="NEUTRO">
      <formula>NOT(ISERROR(SEARCH("NEUTRO",AI45)))</formula>
    </cfRule>
    <cfRule type="containsText" dxfId="7578" priority="2107" operator="containsText" text="BULLISH">
      <formula>NOT(ISERROR(SEARCH("BULLISH",AI45)))</formula>
    </cfRule>
    <cfRule type="containsText" dxfId="7577" priority="2108" operator="containsText" text="BEARISH">
      <formula>NOT(ISERROR(SEARCH("BEARISH",AI45)))</formula>
    </cfRule>
    <cfRule type="containsBlanks" dxfId="7576" priority="2109">
      <formula>LEN(TRIM(AI45))=0</formula>
    </cfRule>
  </conditionalFormatting>
  <conditionalFormatting sqref="AI57">
    <cfRule type="containsText" dxfId="7575" priority="2102" operator="containsText" text="NEUTRO">
      <formula>NOT(ISERROR(SEARCH("NEUTRO",AI57)))</formula>
    </cfRule>
    <cfRule type="containsText" dxfId="7574" priority="2103" operator="containsText" text="BULLISH">
      <formula>NOT(ISERROR(SEARCH("BULLISH",AI57)))</formula>
    </cfRule>
    <cfRule type="containsText" dxfId="7573" priority="2104" operator="containsText" text="BEARISH">
      <formula>NOT(ISERROR(SEARCH("BEARISH",AI57)))</formula>
    </cfRule>
    <cfRule type="containsBlanks" dxfId="7572" priority="2105">
      <formula>LEN(TRIM(AI57))=0</formula>
    </cfRule>
  </conditionalFormatting>
  <conditionalFormatting sqref="AH59">
    <cfRule type="cellIs" dxfId="7571" priority="1984" operator="equal">
      <formula>"-"</formula>
    </cfRule>
    <cfRule type="cellIs" dxfId="7570" priority="1985" operator="lessThan">
      <formula>0</formula>
    </cfRule>
    <cfRule type="cellIs" dxfId="7569" priority="1986" operator="greaterThan">
      <formula>0</formula>
    </cfRule>
  </conditionalFormatting>
  <conditionalFormatting sqref="AH7:AH10">
    <cfRule type="cellIs" dxfId="7568" priority="2097" operator="equal">
      <formula>"-"</formula>
    </cfRule>
    <cfRule type="cellIs" dxfId="7567" priority="2098" operator="lessThan">
      <formula>0</formula>
    </cfRule>
    <cfRule type="cellIs" dxfId="7566" priority="2099" operator="greaterThan">
      <formula>0</formula>
    </cfRule>
  </conditionalFormatting>
  <conditionalFormatting sqref="AH11">
    <cfRule type="colorScale" priority="2100">
      <colorScale>
        <cfvo type="formula" val="-0.0001"/>
        <cfvo type="formula" val="0"/>
        <cfvo type="formula" val="0.00001"/>
        <color rgb="FFF8696B"/>
        <color rgb="FFCCCCCC"/>
        <color rgb="FF57BB8A"/>
      </colorScale>
    </cfRule>
  </conditionalFormatting>
  <conditionalFormatting sqref="AH16">
    <cfRule type="cellIs" dxfId="7565" priority="2094" operator="equal">
      <formula>"-"</formula>
    </cfRule>
    <cfRule type="cellIs" dxfId="7564" priority="2095" operator="lessThan">
      <formula>0</formula>
    </cfRule>
    <cfRule type="cellIs" dxfId="7563" priority="2096" operator="greaterThan">
      <formula>0</formula>
    </cfRule>
  </conditionalFormatting>
  <conditionalFormatting sqref="AH22">
    <cfRule type="cellIs" dxfId="7562" priority="2091" operator="equal">
      <formula>"-"</formula>
    </cfRule>
    <cfRule type="cellIs" dxfId="7561" priority="2092" operator="lessThan">
      <formula>0</formula>
    </cfRule>
    <cfRule type="cellIs" dxfId="7560" priority="2093" operator="greaterThan">
      <formula>0</formula>
    </cfRule>
  </conditionalFormatting>
  <conditionalFormatting sqref="AH21">
    <cfRule type="cellIs" dxfId="7559" priority="2088" operator="equal">
      <formula>"-"</formula>
    </cfRule>
    <cfRule type="cellIs" dxfId="7558" priority="2089" operator="lessThan">
      <formula>0</formula>
    </cfRule>
    <cfRule type="cellIs" dxfId="7557" priority="2090" operator="greaterThan">
      <formula>0</formula>
    </cfRule>
  </conditionalFormatting>
  <conditionalFormatting sqref="AH26">
    <cfRule type="cellIs" dxfId="7556" priority="2078" operator="equal">
      <formula>"-"</formula>
    </cfRule>
    <cfRule type="cellIs" dxfId="7555" priority="2079" operator="lessThan">
      <formula>0</formula>
    </cfRule>
    <cfRule type="cellIs" dxfId="7554" priority="2080" operator="greaterThan">
      <formula>0</formula>
    </cfRule>
  </conditionalFormatting>
  <conditionalFormatting sqref="AH27">
    <cfRule type="cellIs" dxfId="7553" priority="2084" operator="equal">
      <formula>"-"</formula>
    </cfRule>
    <cfRule type="cellIs" dxfId="7552" priority="2085" operator="lessThan">
      <formula>0</formula>
    </cfRule>
    <cfRule type="cellIs" dxfId="7551" priority="2086" operator="greaterThan">
      <formula>0</formula>
    </cfRule>
  </conditionalFormatting>
  <conditionalFormatting sqref="AH28">
    <cfRule type="cellIs" dxfId="7550" priority="2081" operator="equal">
      <formula>"-"</formula>
    </cfRule>
    <cfRule type="cellIs" dxfId="7549" priority="2082" operator="lessThan">
      <formula>0</formula>
    </cfRule>
    <cfRule type="cellIs" dxfId="7548" priority="2083" operator="greaterThan">
      <formula>0</formula>
    </cfRule>
  </conditionalFormatting>
  <conditionalFormatting sqref="AH29">
    <cfRule type="cellIs" dxfId="7547" priority="2075" operator="equal">
      <formula>"-"</formula>
    </cfRule>
    <cfRule type="cellIs" dxfId="7546" priority="2076" operator="lessThan">
      <formula>0</formula>
    </cfRule>
    <cfRule type="cellIs" dxfId="7545" priority="2077" operator="greaterThan">
      <formula>0</formula>
    </cfRule>
  </conditionalFormatting>
  <conditionalFormatting sqref="AH30">
    <cfRule type="cellIs" dxfId="7544" priority="2072" operator="equal">
      <formula>"-"</formula>
    </cfRule>
    <cfRule type="cellIs" dxfId="7543" priority="2073" operator="lessThan">
      <formula>0</formula>
    </cfRule>
    <cfRule type="cellIs" dxfId="7542" priority="2074" operator="greaterThan">
      <formula>0</formula>
    </cfRule>
  </conditionalFormatting>
  <conditionalFormatting sqref="AH31">
    <cfRule type="colorScale" priority="2087">
      <colorScale>
        <cfvo type="formula" val="-0.0001"/>
        <cfvo type="formula" val="0"/>
        <cfvo type="formula" val="0.00001"/>
        <color rgb="FFF8696B"/>
        <color rgb="FFCCCCCC"/>
        <color rgb="FF57BB8A"/>
      </colorScale>
    </cfRule>
  </conditionalFormatting>
  <conditionalFormatting sqref="AH37">
    <cfRule type="cellIs" dxfId="7541" priority="2062" operator="equal">
      <formula>"-"</formula>
    </cfRule>
    <cfRule type="cellIs" dxfId="7540" priority="2063" operator="lessThan">
      <formula>0</formula>
    </cfRule>
    <cfRule type="cellIs" dxfId="7539" priority="2064" operator="greaterThan">
      <formula>0</formula>
    </cfRule>
  </conditionalFormatting>
  <conditionalFormatting sqref="AH38">
    <cfRule type="cellIs" dxfId="7538" priority="2059" operator="equal">
      <formula>"-"</formula>
    </cfRule>
    <cfRule type="cellIs" dxfId="7537" priority="2060" operator="lessThan">
      <formula>0</formula>
    </cfRule>
    <cfRule type="cellIs" dxfId="7536" priority="2061" operator="greaterThan">
      <formula>0</formula>
    </cfRule>
  </conditionalFormatting>
  <conditionalFormatting sqref="AH39">
    <cfRule type="cellIs" dxfId="7535" priority="2068" operator="equal">
      <formula>"-"</formula>
    </cfRule>
    <cfRule type="cellIs" dxfId="7534" priority="2069" operator="lessThan">
      <formula>0</formula>
    </cfRule>
    <cfRule type="cellIs" dxfId="7533" priority="2070" operator="greaterThan">
      <formula>0</formula>
    </cfRule>
  </conditionalFormatting>
  <conditionalFormatting sqref="AH40">
    <cfRule type="cellIs" dxfId="7532" priority="2056" operator="equal">
      <formula>"-"</formula>
    </cfRule>
    <cfRule type="cellIs" dxfId="7531" priority="2057" operator="lessThan">
      <formula>0</formula>
    </cfRule>
    <cfRule type="cellIs" dxfId="7530" priority="2058" operator="greaterThan">
      <formula>0</formula>
    </cfRule>
  </conditionalFormatting>
  <conditionalFormatting sqref="AH41">
    <cfRule type="cellIs" dxfId="7529" priority="2053" operator="equal">
      <formula>"-"</formula>
    </cfRule>
    <cfRule type="cellIs" dxfId="7528" priority="2054" operator="lessThan">
      <formula>0</formula>
    </cfRule>
    <cfRule type="cellIs" dxfId="7527" priority="2055" operator="greaterThan">
      <formula>0</formula>
    </cfRule>
  </conditionalFormatting>
  <conditionalFormatting sqref="AH42">
    <cfRule type="cellIs" dxfId="7526" priority="2065" operator="equal">
      <formula>"-"</formula>
    </cfRule>
    <cfRule type="cellIs" dxfId="7525" priority="2066" operator="lessThan">
      <formula>0</formula>
    </cfRule>
    <cfRule type="cellIs" dxfId="7524" priority="2067" operator="greaterThan">
      <formula>0</formula>
    </cfRule>
  </conditionalFormatting>
  <conditionalFormatting sqref="AH43">
    <cfRule type="cellIs" dxfId="7523" priority="2050" operator="equal">
      <formula>"-"</formula>
    </cfRule>
    <cfRule type="cellIs" dxfId="7522" priority="2051" operator="lessThan">
      <formula>0</formula>
    </cfRule>
    <cfRule type="cellIs" dxfId="7521" priority="2052" operator="greaterThan">
      <formula>0</formula>
    </cfRule>
  </conditionalFormatting>
  <conditionalFormatting sqref="AH44">
    <cfRule type="colorScale" priority="2071">
      <colorScale>
        <cfvo type="formula" val="-0.0001"/>
        <cfvo type="formula" val="0"/>
        <cfvo type="formula" val="0.00001"/>
        <color rgb="FFF8696B"/>
        <color rgb="FFCCCCCC"/>
        <color rgb="FF57BB8A"/>
      </colorScale>
    </cfRule>
  </conditionalFormatting>
  <conditionalFormatting sqref="AH49">
    <cfRule type="cellIs" dxfId="7520" priority="2047" operator="equal">
      <formula>"-"</formula>
    </cfRule>
    <cfRule type="cellIs" dxfId="7519" priority="2048" operator="lessThan">
      <formula>0</formula>
    </cfRule>
    <cfRule type="cellIs" dxfId="7518" priority="2049" operator="greaterThan">
      <formula>0</formula>
    </cfRule>
  </conditionalFormatting>
  <conditionalFormatting sqref="AH50">
    <cfRule type="cellIs" dxfId="7517" priority="2044" operator="equal">
      <formula>"-"</formula>
    </cfRule>
    <cfRule type="cellIs" dxfId="7516" priority="2045" operator="lessThan">
      <formula>0</formula>
    </cfRule>
    <cfRule type="cellIs" dxfId="7515" priority="2046" operator="greaterThan">
      <formula>0</formula>
    </cfRule>
  </conditionalFormatting>
  <conditionalFormatting sqref="AH51">
    <cfRule type="cellIs" dxfId="7514" priority="2041" operator="equal">
      <formula>"-"</formula>
    </cfRule>
    <cfRule type="cellIs" dxfId="7513" priority="2042" operator="lessThan">
      <formula>0</formula>
    </cfRule>
    <cfRule type="cellIs" dxfId="7512" priority="2043" operator="greaterThan">
      <formula>0</formula>
    </cfRule>
  </conditionalFormatting>
  <conditionalFormatting sqref="AH52">
    <cfRule type="cellIs" dxfId="7511" priority="2038" operator="equal">
      <formula>"-"</formula>
    </cfRule>
    <cfRule type="cellIs" dxfId="7510" priority="2039" operator="lessThan">
      <formula>0</formula>
    </cfRule>
    <cfRule type="cellIs" dxfId="7509" priority="2040" operator="greaterThan">
      <formula>0</formula>
    </cfRule>
  </conditionalFormatting>
  <conditionalFormatting sqref="AH53">
    <cfRule type="cellIs" dxfId="7508" priority="2035" operator="equal">
      <formula>"-"</formula>
    </cfRule>
    <cfRule type="cellIs" dxfId="7507" priority="2036" operator="lessThan">
      <formula>0</formula>
    </cfRule>
    <cfRule type="cellIs" dxfId="7506" priority="2037" operator="greaterThan">
      <formula>0</formula>
    </cfRule>
  </conditionalFormatting>
  <conditionalFormatting sqref="AH54">
    <cfRule type="cellIs" dxfId="7505" priority="2029" operator="equal">
      <formula>"-"</formula>
    </cfRule>
    <cfRule type="cellIs" dxfId="7504" priority="2030" operator="lessThan">
      <formula>0</formula>
    </cfRule>
    <cfRule type="cellIs" dxfId="7503" priority="2031" operator="greaterThan">
      <formula>0</formula>
    </cfRule>
  </conditionalFormatting>
  <conditionalFormatting sqref="AH55">
    <cfRule type="cellIs" dxfId="7502" priority="2032" operator="equal">
      <formula>"-"</formula>
    </cfRule>
    <cfRule type="cellIs" dxfId="7501" priority="2033" operator="lessThan">
      <formula>0</formula>
    </cfRule>
    <cfRule type="cellIs" dxfId="7500" priority="2034" operator="greaterThan">
      <formula>0</formula>
    </cfRule>
  </conditionalFormatting>
  <conditionalFormatting sqref="AH3:AH6">
    <cfRule type="cellIs" dxfId="7499" priority="2026" operator="equal">
      <formula>"-"</formula>
    </cfRule>
    <cfRule type="cellIs" dxfId="7498" priority="2027" operator="lessThan">
      <formula>0</formula>
    </cfRule>
    <cfRule type="cellIs" dxfId="7497" priority="2028" operator="greaterThan">
      <formula>0</formula>
    </cfRule>
  </conditionalFormatting>
  <conditionalFormatting sqref="AH13:AH15">
    <cfRule type="cellIs" dxfId="7496" priority="2023" operator="equal">
      <formula>"-"</formula>
    </cfRule>
    <cfRule type="cellIs" dxfId="7495" priority="2024" operator="lessThan">
      <formula>0</formula>
    </cfRule>
    <cfRule type="cellIs" dxfId="7494" priority="2025" operator="greaterThan">
      <formula>0</formula>
    </cfRule>
  </conditionalFormatting>
  <conditionalFormatting sqref="AH19">
    <cfRule type="cellIs" dxfId="7493" priority="2020" operator="equal">
      <formula>"-"</formula>
    </cfRule>
    <cfRule type="cellIs" dxfId="7492" priority="2021" operator="lessThan">
      <formula>0</formula>
    </cfRule>
    <cfRule type="cellIs" dxfId="7491" priority="2022" operator="greaterThan">
      <formula>0</formula>
    </cfRule>
  </conditionalFormatting>
  <conditionalFormatting sqref="AH20">
    <cfRule type="cellIs" dxfId="7490" priority="2018" operator="lessThan">
      <formula>0</formula>
    </cfRule>
    <cfRule type="cellIs" dxfId="7489" priority="2019" operator="greaterThan">
      <formula>0</formula>
    </cfRule>
  </conditionalFormatting>
  <conditionalFormatting sqref="AH20">
    <cfRule type="cellIs" dxfId="7488" priority="2017" operator="equal">
      <formula>"-"</formula>
    </cfRule>
  </conditionalFormatting>
  <conditionalFormatting sqref="AH24">
    <cfRule type="cellIs" dxfId="7487" priority="2014" operator="equal">
      <formula>"-"</formula>
    </cfRule>
    <cfRule type="cellIs" dxfId="7486" priority="2015" operator="lessThan">
      <formula>0</formula>
    </cfRule>
    <cfRule type="cellIs" dxfId="7485" priority="2016" operator="greaterThan">
      <formula>0</formula>
    </cfRule>
  </conditionalFormatting>
  <conditionalFormatting sqref="AH25">
    <cfRule type="cellIs" dxfId="7484" priority="2011" operator="equal">
      <formula>"-"</formula>
    </cfRule>
    <cfRule type="cellIs" dxfId="7483" priority="2012" operator="lessThan">
      <formula>0</formula>
    </cfRule>
    <cfRule type="cellIs" dxfId="7482" priority="2013" operator="greaterThan">
      <formula>0</formula>
    </cfRule>
  </conditionalFormatting>
  <conditionalFormatting sqref="AH33">
    <cfRule type="cellIs" dxfId="7481" priority="2008" operator="equal">
      <formula>"-"</formula>
    </cfRule>
    <cfRule type="cellIs" dxfId="7480" priority="2009" operator="lessThan">
      <formula>0</formula>
    </cfRule>
    <cfRule type="cellIs" dxfId="7479" priority="2010" operator="greaterThan">
      <formula>0</formula>
    </cfRule>
  </conditionalFormatting>
  <conditionalFormatting sqref="AH34">
    <cfRule type="cellIs" dxfId="7478" priority="2005" operator="equal">
      <formula>"-"</formula>
    </cfRule>
    <cfRule type="cellIs" dxfId="7477" priority="2006" operator="lessThan">
      <formula>0</formula>
    </cfRule>
    <cfRule type="cellIs" dxfId="7476" priority="2007" operator="greaterThan">
      <formula>0</formula>
    </cfRule>
  </conditionalFormatting>
  <conditionalFormatting sqref="AH36">
    <cfRule type="cellIs" dxfId="7475" priority="2002" operator="equal">
      <formula>"-"</formula>
    </cfRule>
    <cfRule type="cellIs" dxfId="7474" priority="2003" operator="lessThan">
      <formula>0</formula>
    </cfRule>
    <cfRule type="cellIs" dxfId="7473" priority="2004" operator="greaterThan">
      <formula>0</formula>
    </cfRule>
  </conditionalFormatting>
  <conditionalFormatting sqref="AH35">
    <cfRule type="cellIs" dxfId="7472" priority="1999" operator="equal">
      <formula>"-"</formula>
    </cfRule>
    <cfRule type="cellIs" dxfId="7471" priority="2000" operator="lessThan">
      <formula>0</formula>
    </cfRule>
    <cfRule type="cellIs" dxfId="7470" priority="2001" operator="greaterThan">
      <formula>0</formula>
    </cfRule>
  </conditionalFormatting>
  <conditionalFormatting sqref="AH46">
    <cfRule type="cellIs" dxfId="7469" priority="1996" operator="equal">
      <formula>"-"</formula>
    </cfRule>
    <cfRule type="cellIs" dxfId="7468" priority="1997" operator="lessThan">
      <formula>0</formula>
    </cfRule>
    <cfRule type="cellIs" dxfId="7467" priority="1998" operator="greaterThan">
      <formula>0</formula>
    </cfRule>
  </conditionalFormatting>
  <conditionalFormatting sqref="AH47">
    <cfRule type="cellIs" dxfId="7466" priority="1993" operator="equal">
      <formula>"-"</formula>
    </cfRule>
    <cfRule type="cellIs" dxfId="7465" priority="1994" operator="lessThan">
      <formula>0</formula>
    </cfRule>
    <cfRule type="cellIs" dxfId="7464" priority="1995" operator="greaterThan">
      <formula>0</formula>
    </cfRule>
  </conditionalFormatting>
  <conditionalFormatting sqref="AH48">
    <cfRule type="cellIs" dxfId="7463" priority="1990" operator="equal">
      <formula>"-"</formula>
    </cfRule>
    <cfRule type="cellIs" dxfId="7462" priority="1991" operator="lessThan">
      <formula>0</formula>
    </cfRule>
    <cfRule type="cellIs" dxfId="7461" priority="1992" operator="greaterThan">
      <formula>0</formula>
    </cfRule>
  </conditionalFormatting>
  <conditionalFormatting sqref="AH58">
    <cfRule type="cellIs" dxfId="7460" priority="1987" operator="equal">
      <formula>"-"</formula>
    </cfRule>
    <cfRule type="cellIs" dxfId="7459" priority="1988" operator="lessThan">
      <formula>0</formula>
    </cfRule>
    <cfRule type="cellIs" dxfId="7458" priority="1989" operator="greaterThan">
      <formula>0</formula>
    </cfRule>
  </conditionalFormatting>
  <conditionalFormatting sqref="AF2">
    <cfRule type="containsText" dxfId="7457" priority="1980" operator="containsText" text="NEUTRO">
      <formula>NOT(ISERROR(SEARCH("NEUTRO",AF2)))</formula>
    </cfRule>
    <cfRule type="containsText" dxfId="7456" priority="1981" operator="containsText" text="BULLISH">
      <formula>NOT(ISERROR(SEARCH("BULLISH",AF2)))</formula>
    </cfRule>
    <cfRule type="containsText" dxfId="7455" priority="1982" operator="containsText" text="BEARISH">
      <formula>NOT(ISERROR(SEARCH("BEARISH",AF2)))</formula>
    </cfRule>
    <cfRule type="containsBlanks" dxfId="7454" priority="1983">
      <formula>LEN(TRIM(AF2))=0</formula>
    </cfRule>
  </conditionalFormatting>
  <conditionalFormatting sqref="AF12">
    <cfRule type="containsText" dxfId="7453" priority="1976" operator="containsText" text="NEUTRO">
      <formula>NOT(ISERROR(SEARCH("NEUTRO",AF12)))</formula>
    </cfRule>
    <cfRule type="containsText" dxfId="7452" priority="1977" operator="containsText" text="BULLISH">
      <formula>NOT(ISERROR(SEARCH("BULLISH",AF12)))</formula>
    </cfRule>
    <cfRule type="containsText" dxfId="7451" priority="1978" operator="containsText" text="BEARISH">
      <formula>NOT(ISERROR(SEARCH("BEARISH",AF12)))</formula>
    </cfRule>
    <cfRule type="containsBlanks" dxfId="7450" priority="1979">
      <formula>LEN(TRIM(AF12))=0</formula>
    </cfRule>
  </conditionalFormatting>
  <conditionalFormatting sqref="AF18:AH18">
    <cfRule type="containsText" dxfId="7449" priority="1972" operator="containsText" text="NEUTRO">
      <formula>NOT(ISERROR(SEARCH("NEUTRO",AF18)))</formula>
    </cfRule>
    <cfRule type="containsText" dxfId="7448" priority="1973" operator="containsText" text="BULLISH">
      <formula>NOT(ISERROR(SEARCH("BULLISH",AF18)))</formula>
    </cfRule>
    <cfRule type="containsText" dxfId="7447" priority="1974" operator="containsText" text="BEARISH">
      <formula>NOT(ISERROR(SEARCH("BEARISH",AF18)))</formula>
    </cfRule>
    <cfRule type="containsBlanks" dxfId="7446" priority="1975">
      <formula>LEN(TRIM(AF18))=0</formula>
    </cfRule>
  </conditionalFormatting>
  <conditionalFormatting sqref="AF23">
    <cfRule type="containsText" dxfId="7445" priority="1968" operator="containsText" text="NEUTRO">
      <formula>NOT(ISERROR(SEARCH("NEUTRO",AF23)))</formula>
    </cfRule>
    <cfRule type="containsText" dxfId="7444" priority="1969" operator="containsText" text="BULLISH">
      <formula>NOT(ISERROR(SEARCH("BULLISH",AF23)))</formula>
    </cfRule>
    <cfRule type="containsText" dxfId="7443" priority="1970" operator="containsText" text="BEARISH">
      <formula>NOT(ISERROR(SEARCH("BEARISH",AF23)))</formula>
    </cfRule>
    <cfRule type="containsBlanks" dxfId="7442" priority="1971">
      <formula>LEN(TRIM(AF23))=0</formula>
    </cfRule>
  </conditionalFormatting>
  <conditionalFormatting sqref="AF32">
    <cfRule type="containsText" dxfId="7441" priority="1964" operator="containsText" text="NEUTRO">
      <formula>NOT(ISERROR(SEARCH("NEUTRO",AF32)))</formula>
    </cfRule>
    <cfRule type="containsText" dxfId="7440" priority="1965" operator="containsText" text="BULLISH">
      <formula>NOT(ISERROR(SEARCH("BULLISH",AF32)))</formula>
    </cfRule>
    <cfRule type="containsText" dxfId="7439" priority="1966" operator="containsText" text="BEARISH">
      <formula>NOT(ISERROR(SEARCH("BEARISH",AF32)))</formula>
    </cfRule>
    <cfRule type="containsBlanks" dxfId="7438" priority="1967">
      <formula>LEN(TRIM(AF32))=0</formula>
    </cfRule>
  </conditionalFormatting>
  <conditionalFormatting sqref="AF45">
    <cfRule type="containsText" dxfId="7437" priority="1960" operator="containsText" text="NEUTRO">
      <formula>NOT(ISERROR(SEARCH("NEUTRO",AF45)))</formula>
    </cfRule>
    <cfRule type="containsText" dxfId="7436" priority="1961" operator="containsText" text="BULLISH">
      <formula>NOT(ISERROR(SEARCH("BULLISH",AF45)))</formula>
    </cfRule>
    <cfRule type="containsText" dxfId="7435" priority="1962" operator="containsText" text="BEARISH">
      <formula>NOT(ISERROR(SEARCH("BEARISH",AF45)))</formula>
    </cfRule>
    <cfRule type="containsBlanks" dxfId="7434" priority="1963">
      <formula>LEN(TRIM(AF45))=0</formula>
    </cfRule>
  </conditionalFormatting>
  <conditionalFormatting sqref="AF57">
    <cfRule type="containsText" dxfId="7433" priority="1956" operator="containsText" text="NEUTRO">
      <formula>NOT(ISERROR(SEARCH("NEUTRO",AF57)))</formula>
    </cfRule>
    <cfRule type="containsText" dxfId="7432" priority="1957" operator="containsText" text="BULLISH">
      <formula>NOT(ISERROR(SEARCH("BULLISH",AF57)))</formula>
    </cfRule>
    <cfRule type="containsText" dxfId="7431" priority="1958" operator="containsText" text="BEARISH">
      <formula>NOT(ISERROR(SEARCH("BEARISH",AF57)))</formula>
    </cfRule>
    <cfRule type="containsBlanks" dxfId="7430" priority="1959">
      <formula>LEN(TRIM(AF57))=0</formula>
    </cfRule>
  </conditionalFormatting>
  <conditionalFormatting sqref="AE59">
    <cfRule type="cellIs" dxfId="7429" priority="1838" operator="equal">
      <formula>"-"</formula>
    </cfRule>
    <cfRule type="cellIs" dxfId="7428" priority="1839" operator="lessThan">
      <formula>0</formula>
    </cfRule>
    <cfRule type="cellIs" dxfId="7427" priority="1840" operator="greaterThan">
      <formula>0</formula>
    </cfRule>
  </conditionalFormatting>
  <conditionalFormatting sqref="AE7:AE10">
    <cfRule type="cellIs" dxfId="7426" priority="1951" operator="equal">
      <formula>"-"</formula>
    </cfRule>
    <cfRule type="cellIs" dxfId="7425" priority="1952" operator="lessThan">
      <formula>0</formula>
    </cfRule>
    <cfRule type="cellIs" dxfId="7424" priority="1953" operator="greaterThan">
      <formula>0</formula>
    </cfRule>
  </conditionalFormatting>
  <conditionalFormatting sqref="AE11">
    <cfRule type="colorScale" priority="1954">
      <colorScale>
        <cfvo type="formula" val="-0.0001"/>
        <cfvo type="formula" val="0"/>
        <cfvo type="formula" val="0.00001"/>
        <color rgb="FFF8696B"/>
        <color rgb="FFCCCCCC"/>
        <color rgb="FF57BB8A"/>
      </colorScale>
    </cfRule>
  </conditionalFormatting>
  <conditionalFormatting sqref="AE16">
    <cfRule type="cellIs" dxfId="7423" priority="1948" operator="equal">
      <formula>"-"</formula>
    </cfRule>
    <cfRule type="cellIs" dxfId="7422" priority="1949" operator="lessThan">
      <formula>0</formula>
    </cfRule>
    <cfRule type="cellIs" dxfId="7421" priority="1950" operator="greaterThan">
      <formula>0</formula>
    </cfRule>
  </conditionalFormatting>
  <conditionalFormatting sqref="AE22">
    <cfRule type="cellIs" dxfId="7420" priority="1945" operator="equal">
      <formula>"-"</formula>
    </cfRule>
    <cfRule type="cellIs" dxfId="7419" priority="1946" operator="lessThan">
      <formula>0</formula>
    </cfRule>
    <cfRule type="cellIs" dxfId="7418" priority="1947" operator="greaterThan">
      <formula>0</formula>
    </cfRule>
  </conditionalFormatting>
  <conditionalFormatting sqref="AE21">
    <cfRule type="cellIs" dxfId="7417" priority="1942" operator="equal">
      <formula>"-"</formula>
    </cfRule>
    <cfRule type="cellIs" dxfId="7416" priority="1943" operator="lessThan">
      <formula>0</formula>
    </cfRule>
    <cfRule type="cellIs" dxfId="7415" priority="1944" operator="greaterThan">
      <formula>0</formula>
    </cfRule>
  </conditionalFormatting>
  <conditionalFormatting sqref="AE26">
    <cfRule type="cellIs" dxfId="7414" priority="1932" operator="equal">
      <formula>"-"</formula>
    </cfRule>
    <cfRule type="cellIs" dxfId="7413" priority="1933" operator="lessThan">
      <formula>0</formula>
    </cfRule>
    <cfRule type="cellIs" dxfId="7412" priority="1934" operator="greaterThan">
      <formula>0</formula>
    </cfRule>
  </conditionalFormatting>
  <conditionalFormatting sqref="AE27">
    <cfRule type="cellIs" dxfId="7411" priority="1938" operator="equal">
      <formula>"-"</formula>
    </cfRule>
    <cfRule type="cellIs" dxfId="7410" priority="1939" operator="lessThan">
      <formula>0</formula>
    </cfRule>
    <cfRule type="cellIs" dxfId="7409" priority="1940" operator="greaterThan">
      <formula>0</formula>
    </cfRule>
  </conditionalFormatting>
  <conditionalFormatting sqref="AE28">
    <cfRule type="cellIs" dxfId="7408" priority="1935" operator="equal">
      <formula>"-"</formula>
    </cfRule>
    <cfRule type="cellIs" dxfId="7407" priority="1936" operator="lessThan">
      <formula>0</formula>
    </cfRule>
    <cfRule type="cellIs" dxfId="7406" priority="1937" operator="greaterThan">
      <formula>0</formula>
    </cfRule>
  </conditionalFormatting>
  <conditionalFormatting sqref="AE29">
    <cfRule type="cellIs" dxfId="7405" priority="1929" operator="equal">
      <formula>"-"</formula>
    </cfRule>
    <cfRule type="cellIs" dxfId="7404" priority="1930" operator="lessThan">
      <formula>0</formula>
    </cfRule>
    <cfRule type="cellIs" dxfId="7403" priority="1931" operator="greaterThan">
      <formula>0</formula>
    </cfRule>
  </conditionalFormatting>
  <conditionalFormatting sqref="AE30">
    <cfRule type="cellIs" dxfId="7402" priority="1926" operator="equal">
      <formula>"-"</formula>
    </cfRule>
    <cfRule type="cellIs" dxfId="7401" priority="1927" operator="lessThan">
      <formula>0</formula>
    </cfRule>
    <cfRule type="cellIs" dxfId="7400" priority="1928" operator="greaterThan">
      <formula>0</formula>
    </cfRule>
  </conditionalFormatting>
  <conditionalFormatting sqref="AE31">
    <cfRule type="colorScale" priority="1941">
      <colorScale>
        <cfvo type="formula" val="-0.0001"/>
        <cfvo type="formula" val="0"/>
        <cfvo type="formula" val="0.00001"/>
        <color rgb="FFF8696B"/>
        <color rgb="FFCCCCCC"/>
        <color rgb="FF57BB8A"/>
      </colorScale>
    </cfRule>
  </conditionalFormatting>
  <conditionalFormatting sqref="AE37">
    <cfRule type="cellIs" dxfId="7399" priority="1916" operator="equal">
      <formula>"-"</formula>
    </cfRule>
    <cfRule type="cellIs" dxfId="7398" priority="1917" operator="lessThan">
      <formula>0</formula>
    </cfRule>
    <cfRule type="cellIs" dxfId="7397" priority="1918" operator="greaterThan">
      <formula>0</formula>
    </cfRule>
  </conditionalFormatting>
  <conditionalFormatting sqref="AE38">
    <cfRule type="cellIs" dxfId="7396" priority="1913" operator="equal">
      <formula>"-"</formula>
    </cfRule>
    <cfRule type="cellIs" dxfId="7395" priority="1914" operator="lessThan">
      <formula>0</formula>
    </cfRule>
    <cfRule type="cellIs" dxfId="7394" priority="1915" operator="greaterThan">
      <formula>0</formula>
    </cfRule>
  </conditionalFormatting>
  <conditionalFormatting sqref="AE39">
    <cfRule type="cellIs" dxfId="7393" priority="1922" operator="equal">
      <formula>"-"</formula>
    </cfRule>
    <cfRule type="cellIs" dxfId="7392" priority="1923" operator="lessThan">
      <formula>0</formula>
    </cfRule>
    <cfRule type="cellIs" dxfId="7391" priority="1924" operator="greaterThan">
      <formula>0</formula>
    </cfRule>
  </conditionalFormatting>
  <conditionalFormatting sqref="AE40">
    <cfRule type="cellIs" dxfId="7390" priority="1910" operator="equal">
      <formula>"-"</formula>
    </cfRule>
    <cfRule type="cellIs" dxfId="7389" priority="1911" operator="lessThan">
      <formula>0</formula>
    </cfRule>
    <cfRule type="cellIs" dxfId="7388" priority="1912" operator="greaterThan">
      <formula>0</formula>
    </cfRule>
  </conditionalFormatting>
  <conditionalFormatting sqref="AE41">
    <cfRule type="cellIs" dxfId="7387" priority="1907" operator="equal">
      <formula>"-"</formula>
    </cfRule>
    <cfRule type="cellIs" dxfId="7386" priority="1908" operator="lessThan">
      <formula>0</formula>
    </cfRule>
    <cfRule type="cellIs" dxfId="7385" priority="1909" operator="greaterThan">
      <formula>0</formula>
    </cfRule>
  </conditionalFormatting>
  <conditionalFormatting sqref="AE42">
    <cfRule type="cellIs" dxfId="7384" priority="1919" operator="equal">
      <formula>"-"</formula>
    </cfRule>
    <cfRule type="cellIs" dxfId="7383" priority="1920" operator="lessThan">
      <formula>0</formula>
    </cfRule>
    <cfRule type="cellIs" dxfId="7382" priority="1921" operator="greaterThan">
      <formula>0</formula>
    </cfRule>
  </conditionalFormatting>
  <conditionalFormatting sqref="AE43">
    <cfRule type="cellIs" dxfId="7381" priority="1904" operator="equal">
      <formula>"-"</formula>
    </cfRule>
    <cfRule type="cellIs" dxfId="7380" priority="1905" operator="lessThan">
      <formula>0</formula>
    </cfRule>
    <cfRule type="cellIs" dxfId="7379" priority="1906" operator="greaterThan">
      <formula>0</formula>
    </cfRule>
  </conditionalFormatting>
  <conditionalFormatting sqref="AE44">
    <cfRule type="colorScale" priority="1925">
      <colorScale>
        <cfvo type="formula" val="-0.0001"/>
        <cfvo type="formula" val="0"/>
        <cfvo type="formula" val="0.00001"/>
        <color rgb="FFF8696B"/>
        <color rgb="FFCCCCCC"/>
        <color rgb="FF57BB8A"/>
      </colorScale>
    </cfRule>
  </conditionalFormatting>
  <conditionalFormatting sqref="AE49">
    <cfRule type="cellIs" dxfId="7378" priority="1901" operator="equal">
      <formula>"-"</formula>
    </cfRule>
    <cfRule type="cellIs" dxfId="7377" priority="1902" operator="lessThan">
      <formula>0</formula>
    </cfRule>
    <cfRule type="cellIs" dxfId="7376" priority="1903" operator="greaterThan">
      <formula>0</formula>
    </cfRule>
  </conditionalFormatting>
  <conditionalFormatting sqref="AE50">
    <cfRule type="cellIs" dxfId="7375" priority="1898" operator="equal">
      <formula>"-"</formula>
    </cfRule>
    <cfRule type="cellIs" dxfId="7374" priority="1899" operator="lessThan">
      <formula>0</formula>
    </cfRule>
    <cfRule type="cellIs" dxfId="7373" priority="1900" operator="greaterThan">
      <formula>0</formula>
    </cfRule>
  </conditionalFormatting>
  <conditionalFormatting sqref="AE51">
    <cfRule type="cellIs" dxfId="7372" priority="1895" operator="equal">
      <formula>"-"</formula>
    </cfRule>
    <cfRule type="cellIs" dxfId="7371" priority="1896" operator="lessThan">
      <formula>0</formula>
    </cfRule>
    <cfRule type="cellIs" dxfId="7370" priority="1897" operator="greaterThan">
      <formula>0</formula>
    </cfRule>
  </conditionalFormatting>
  <conditionalFormatting sqref="AE52">
    <cfRule type="cellIs" dxfId="7369" priority="1892" operator="equal">
      <formula>"-"</formula>
    </cfRule>
    <cfRule type="cellIs" dxfId="7368" priority="1893" operator="lessThan">
      <formula>0</formula>
    </cfRule>
    <cfRule type="cellIs" dxfId="7367" priority="1894" operator="greaterThan">
      <formula>0</formula>
    </cfRule>
  </conditionalFormatting>
  <conditionalFormatting sqref="AE53">
    <cfRule type="cellIs" dxfId="7366" priority="1889" operator="equal">
      <formula>"-"</formula>
    </cfRule>
    <cfRule type="cellIs" dxfId="7365" priority="1890" operator="lessThan">
      <formula>0</formula>
    </cfRule>
    <cfRule type="cellIs" dxfId="7364" priority="1891" operator="greaterThan">
      <formula>0</formula>
    </cfRule>
  </conditionalFormatting>
  <conditionalFormatting sqref="AE54">
    <cfRule type="cellIs" dxfId="7363" priority="1883" operator="equal">
      <formula>"-"</formula>
    </cfRule>
    <cfRule type="cellIs" dxfId="7362" priority="1884" operator="lessThan">
      <formula>0</formula>
    </cfRule>
    <cfRule type="cellIs" dxfId="7361" priority="1885" operator="greaterThan">
      <formula>0</formula>
    </cfRule>
  </conditionalFormatting>
  <conditionalFormatting sqref="AE55">
    <cfRule type="cellIs" dxfId="7360" priority="1886" operator="equal">
      <formula>"-"</formula>
    </cfRule>
    <cfRule type="cellIs" dxfId="7359" priority="1887" operator="lessThan">
      <formula>0</formula>
    </cfRule>
    <cfRule type="cellIs" dxfId="7358" priority="1888" operator="greaterThan">
      <formula>0</formula>
    </cfRule>
  </conditionalFormatting>
  <conditionalFormatting sqref="AE3:AE6">
    <cfRule type="cellIs" dxfId="7357" priority="1880" operator="equal">
      <formula>"-"</formula>
    </cfRule>
    <cfRule type="cellIs" dxfId="7356" priority="1881" operator="lessThan">
      <formula>0</formula>
    </cfRule>
    <cfRule type="cellIs" dxfId="7355" priority="1882" operator="greaterThan">
      <formula>0</formula>
    </cfRule>
  </conditionalFormatting>
  <conditionalFormatting sqref="AE13:AE15">
    <cfRule type="cellIs" dxfId="7354" priority="1877" operator="equal">
      <formula>"-"</formula>
    </cfRule>
    <cfRule type="cellIs" dxfId="7353" priority="1878" operator="lessThan">
      <formula>0</formula>
    </cfRule>
    <cfRule type="cellIs" dxfId="7352" priority="1879" operator="greaterThan">
      <formula>0</formula>
    </cfRule>
  </conditionalFormatting>
  <conditionalFormatting sqref="AE19">
    <cfRule type="cellIs" dxfId="7351" priority="1874" operator="equal">
      <formula>"-"</formula>
    </cfRule>
    <cfRule type="cellIs" dxfId="7350" priority="1875" operator="lessThan">
      <formula>0</formula>
    </cfRule>
    <cfRule type="cellIs" dxfId="7349" priority="1876" operator="greaterThan">
      <formula>0</formula>
    </cfRule>
  </conditionalFormatting>
  <conditionalFormatting sqref="AE20">
    <cfRule type="cellIs" dxfId="7348" priority="1872" operator="lessThan">
      <formula>0</formula>
    </cfRule>
    <cfRule type="cellIs" dxfId="7347" priority="1873" operator="greaterThan">
      <formula>0</formula>
    </cfRule>
  </conditionalFormatting>
  <conditionalFormatting sqref="AE20">
    <cfRule type="cellIs" dxfId="7346" priority="1871" operator="equal">
      <formula>"-"</formula>
    </cfRule>
  </conditionalFormatting>
  <conditionalFormatting sqref="AE24">
    <cfRule type="cellIs" dxfId="7345" priority="1868" operator="equal">
      <formula>"-"</formula>
    </cfRule>
    <cfRule type="cellIs" dxfId="7344" priority="1869" operator="lessThan">
      <formula>0</formula>
    </cfRule>
    <cfRule type="cellIs" dxfId="7343" priority="1870" operator="greaterThan">
      <formula>0</formula>
    </cfRule>
  </conditionalFormatting>
  <conditionalFormatting sqref="AE25">
    <cfRule type="cellIs" dxfId="7342" priority="1865" operator="equal">
      <formula>"-"</formula>
    </cfRule>
    <cfRule type="cellIs" dxfId="7341" priority="1866" operator="lessThan">
      <formula>0</formula>
    </cfRule>
    <cfRule type="cellIs" dxfId="7340" priority="1867" operator="greaterThan">
      <formula>0</formula>
    </cfRule>
  </conditionalFormatting>
  <conditionalFormatting sqref="AE33">
    <cfRule type="cellIs" dxfId="7339" priority="1862" operator="equal">
      <formula>"-"</formula>
    </cfRule>
    <cfRule type="cellIs" dxfId="7338" priority="1863" operator="lessThan">
      <formula>0</formula>
    </cfRule>
    <cfRule type="cellIs" dxfId="7337" priority="1864" operator="greaterThan">
      <formula>0</formula>
    </cfRule>
  </conditionalFormatting>
  <conditionalFormatting sqref="AE34">
    <cfRule type="cellIs" dxfId="7336" priority="1859" operator="equal">
      <formula>"-"</formula>
    </cfRule>
    <cfRule type="cellIs" dxfId="7335" priority="1860" operator="lessThan">
      <formula>0</formula>
    </cfRule>
    <cfRule type="cellIs" dxfId="7334" priority="1861" operator="greaterThan">
      <formula>0</formula>
    </cfRule>
  </conditionalFormatting>
  <conditionalFormatting sqref="AE36">
    <cfRule type="cellIs" dxfId="7333" priority="1856" operator="equal">
      <formula>"-"</formula>
    </cfRule>
    <cfRule type="cellIs" dxfId="7332" priority="1857" operator="lessThan">
      <formula>0</formula>
    </cfRule>
    <cfRule type="cellIs" dxfId="7331" priority="1858" operator="greaterThan">
      <formula>0</formula>
    </cfRule>
  </conditionalFormatting>
  <conditionalFormatting sqref="AE35">
    <cfRule type="cellIs" dxfId="7330" priority="1853" operator="equal">
      <formula>"-"</formula>
    </cfRule>
    <cfRule type="cellIs" dxfId="7329" priority="1854" operator="lessThan">
      <formula>0</formula>
    </cfRule>
    <cfRule type="cellIs" dxfId="7328" priority="1855" operator="greaterThan">
      <formula>0</formula>
    </cfRule>
  </conditionalFormatting>
  <conditionalFormatting sqref="AE46">
    <cfRule type="cellIs" dxfId="7327" priority="1850" operator="equal">
      <formula>"-"</formula>
    </cfRule>
    <cfRule type="cellIs" dxfId="7326" priority="1851" operator="lessThan">
      <formula>0</formula>
    </cfRule>
    <cfRule type="cellIs" dxfId="7325" priority="1852" operator="greaterThan">
      <formula>0</formula>
    </cfRule>
  </conditionalFormatting>
  <conditionalFormatting sqref="AE47">
    <cfRule type="cellIs" dxfId="7324" priority="1847" operator="equal">
      <formula>"-"</formula>
    </cfRule>
    <cfRule type="cellIs" dxfId="7323" priority="1848" operator="lessThan">
      <formula>0</formula>
    </cfRule>
    <cfRule type="cellIs" dxfId="7322" priority="1849" operator="greaterThan">
      <formula>0</formula>
    </cfRule>
  </conditionalFormatting>
  <conditionalFormatting sqref="AE48">
    <cfRule type="cellIs" dxfId="7321" priority="1844" operator="equal">
      <formula>"-"</formula>
    </cfRule>
    <cfRule type="cellIs" dxfId="7320" priority="1845" operator="lessThan">
      <formula>0</formula>
    </cfRule>
    <cfRule type="cellIs" dxfId="7319" priority="1846" operator="greaterThan">
      <formula>0</formula>
    </cfRule>
  </conditionalFormatting>
  <conditionalFormatting sqref="AE58">
    <cfRule type="cellIs" dxfId="7318" priority="1841" operator="equal">
      <formula>"-"</formula>
    </cfRule>
    <cfRule type="cellIs" dxfId="7317" priority="1842" operator="lessThan">
      <formula>0</formula>
    </cfRule>
    <cfRule type="cellIs" dxfId="7316" priority="1843" operator="greaterThan">
      <formula>0</formula>
    </cfRule>
  </conditionalFormatting>
  <conditionalFormatting sqref="AC2">
    <cfRule type="containsText" dxfId="7315" priority="1834" operator="containsText" text="NEUTRO">
      <formula>NOT(ISERROR(SEARCH("NEUTRO",AC2)))</formula>
    </cfRule>
    <cfRule type="containsText" dxfId="7314" priority="1835" operator="containsText" text="BULLISH">
      <formula>NOT(ISERROR(SEARCH("BULLISH",AC2)))</formula>
    </cfRule>
    <cfRule type="containsText" dxfId="7313" priority="1836" operator="containsText" text="BEARISH">
      <formula>NOT(ISERROR(SEARCH("BEARISH",AC2)))</formula>
    </cfRule>
    <cfRule type="containsBlanks" dxfId="7312" priority="1837">
      <formula>LEN(TRIM(AC2))=0</formula>
    </cfRule>
  </conditionalFormatting>
  <conditionalFormatting sqref="AC12">
    <cfRule type="containsText" dxfId="7311" priority="1830" operator="containsText" text="NEUTRO">
      <formula>NOT(ISERROR(SEARCH("NEUTRO",AC12)))</formula>
    </cfRule>
    <cfRule type="containsText" dxfId="7310" priority="1831" operator="containsText" text="BULLISH">
      <formula>NOT(ISERROR(SEARCH("BULLISH",AC12)))</formula>
    </cfRule>
    <cfRule type="containsText" dxfId="7309" priority="1832" operator="containsText" text="BEARISH">
      <formula>NOT(ISERROR(SEARCH("BEARISH",AC12)))</formula>
    </cfRule>
    <cfRule type="containsBlanks" dxfId="7308" priority="1833">
      <formula>LEN(TRIM(AC12))=0</formula>
    </cfRule>
  </conditionalFormatting>
  <conditionalFormatting sqref="AC18:AE18">
    <cfRule type="containsText" dxfId="7307" priority="1826" operator="containsText" text="NEUTRO">
      <formula>NOT(ISERROR(SEARCH("NEUTRO",AC18)))</formula>
    </cfRule>
    <cfRule type="containsText" dxfId="7306" priority="1827" operator="containsText" text="BULLISH">
      <formula>NOT(ISERROR(SEARCH("BULLISH",AC18)))</formula>
    </cfRule>
    <cfRule type="containsText" dxfId="7305" priority="1828" operator="containsText" text="BEARISH">
      <formula>NOT(ISERROR(SEARCH("BEARISH",AC18)))</formula>
    </cfRule>
    <cfRule type="containsBlanks" dxfId="7304" priority="1829">
      <formula>LEN(TRIM(AC18))=0</formula>
    </cfRule>
  </conditionalFormatting>
  <conditionalFormatting sqref="AC23">
    <cfRule type="containsText" dxfId="7303" priority="1822" operator="containsText" text="NEUTRO">
      <formula>NOT(ISERROR(SEARCH("NEUTRO",AC23)))</formula>
    </cfRule>
    <cfRule type="containsText" dxfId="7302" priority="1823" operator="containsText" text="BULLISH">
      <formula>NOT(ISERROR(SEARCH("BULLISH",AC23)))</formula>
    </cfRule>
    <cfRule type="containsText" dxfId="7301" priority="1824" operator="containsText" text="BEARISH">
      <formula>NOT(ISERROR(SEARCH("BEARISH",AC23)))</formula>
    </cfRule>
    <cfRule type="containsBlanks" dxfId="7300" priority="1825">
      <formula>LEN(TRIM(AC23))=0</formula>
    </cfRule>
  </conditionalFormatting>
  <conditionalFormatting sqref="AC32">
    <cfRule type="containsText" dxfId="7299" priority="1818" operator="containsText" text="NEUTRO">
      <formula>NOT(ISERROR(SEARCH("NEUTRO",AC32)))</formula>
    </cfRule>
    <cfRule type="containsText" dxfId="7298" priority="1819" operator="containsText" text="BULLISH">
      <formula>NOT(ISERROR(SEARCH("BULLISH",AC32)))</formula>
    </cfRule>
    <cfRule type="containsText" dxfId="7297" priority="1820" operator="containsText" text="BEARISH">
      <formula>NOT(ISERROR(SEARCH("BEARISH",AC32)))</formula>
    </cfRule>
    <cfRule type="containsBlanks" dxfId="7296" priority="1821">
      <formula>LEN(TRIM(AC32))=0</formula>
    </cfRule>
  </conditionalFormatting>
  <conditionalFormatting sqref="AC45">
    <cfRule type="containsText" dxfId="7295" priority="1814" operator="containsText" text="NEUTRO">
      <formula>NOT(ISERROR(SEARCH("NEUTRO",AC45)))</formula>
    </cfRule>
    <cfRule type="containsText" dxfId="7294" priority="1815" operator="containsText" text="BULLISH">
      <formula>NOT(ISERROR(SEARCH("BULLISH",AC45)))</formula>
    </cfRule>
    <cfRule type="containsText" dxfId="7293" priority="1816" operator="containsText" text="BEARISH">
      <formula>NOT(ISERROR(SEARCH("BEARISH",AC45)))</formula>
    </cfRule>
    <cfRule type="containsBlanks" dxfId="7292" priority="1817">
      <formula>LEN(TRIM(AC45))=0</formula>
    </cfRule>
  </conditionalFormatting>
  <conditionalFormatting sqref="AC57">
    <cfRule type="containsText" dxfId="7291" priority="1810" operator="containsText" text="NEUTRO">
      <formula>NOT(ISERROR(SEARCH("NEUTRO",AC57)))</formula>
    </cfRule>
    <cfRule type="containsText" dxfId="7290" priority="1811" operator="containsText" text="BULLISH">
      <formula>NOT(ISERROR(SEARCH("BULLISH",AC57)))</formula>
    </cfRule>
    <cfRule type="containsText" dxfId="7289" priority="1812" operator="containsText" text="BEARISH">
      <formula>NOT(ISERROR(SEARCH("BEARISH",AC57)))</formula>
    </cfRule>
    <cfRule type="containsBlanks" dxfId="7288" priority="1813">
      <formula>LEN(TRIM(AC57))=0</formula>
    </cfRule>
  </conditionalFormatting>
  <conditionalFormatting sqref="AB59">
    <cfRule type="cellIs" dxfId="7287" priority="1692" operator="equal">
      <formula>"-"</formula>
    </cfRule>
    <cfRule type="cellIs" dxfId="7286" priority="1693" operator="lessThan">
      <formula>0</formula>
    </cfRule>
    <cfRule type="cellIs" dxfId="7285" priority="1694" operator="greaterThan">
      <formula>0</formula>
    </cfRule>
  </conditionalFormatting>
  <conditionalFormatting sqref="Y60:Y629">
    <cfRule type="colorScale" priority="1809">
      <colorScale>
        <cfvo type="formula" val="-0.0001"/>
        <cfvo type="formula" val="0"/>
        <cfvo type="formula" val="0.00001"/>
        <color rgb="FFF8696B"/>
        <color rgb="FFCCCCCC"/>
        <color rgb="FF57BB8A"/>
      </colorScale>
    </cfRule>
  </conditionalFormatting>
  <conditionalFormatting sqref="AB7:AB10">
    <cfRule type="cellIs" dxfId="7284" priority="1805" operator="equal">
      <formula>"-"</formula>
    </cfRule>
    <cfRule type="cellIs" dxfId="7283" priority="1806" operator="lessThan">
      <formula>0</formula>
    </cfRule>
    <cfRule type="cellIs" dxfId="7282" priority="1807" operator="greaterThan">
      <formula>0</formula>
    </cfRule>
  </conditionalFormatting>
  <conditionalFormatting sqref="AB11">
    <cfRule type="colorScale" priority="1808">
      <colorScale>
        <cfvo type="formula" val="-0.0001"/>
        <cfvo type="formula" val="0"/>
        <cfvo type="formula" val="0.00001"/>
        <color rgb="FFF8696B"/>
        <color rgb="FFCCCCCC"/>
        <color rgb="FF57BB8A"/>
      </colorScale>
    </cfRule>
  </conditionalFormatting>
  <conditionalFormatting sqref="AB16">
    <cfRule type="cellIs" dxfId="7281" priority="1802" operator="equal">
      <formula>"-"</formula>
    </cfRule>
    <cfRule type="cellIs" dxfId="7280" priority="1803" operator="lessThan">
      <formula>0</formula>
    </cfRule>
    <cfRule type="cellIs" dxfId="7279" priority="1804" operator="greaterThan">
      <formula>0</formula>
    </cfRule>
  </conditionalFormatting>
  <conditionalFormatting sqref="AB22">
    <cfRule type="cellIs" dxfId="7278" priority="1799" operator="equal">
      <formula>"-"</formula>
    </cfRule>
    <cfRule type="cellIs" dxfId="7277" priority="1800" operator="lessThan">
      <formula>0</formula>
    </cfRule>
    <cfRule type="cellIs" dxfId="7276" priority="1801" operator="greaterThan">
      <formula>0</formula>
    </cfRule>
  </conditionalFormatting>
  <conditionalFormatting sqref="AB21">
    <cfRule type="cellIs" dxfId="7275" priority="1796" operator="equal">
      <formula>"-"</formula>
    </cfRule>
    <cfRule type="cellIs" dxfId="7274" priority="1797" operator="lessThan">
      <formula>0</formula>
    </cfRule>
    <cfRule type="cellIs" dxfId="7273" priority="1798" operator="greaterThan">
      <formula>0</formula>
    </cfRule>
  </conditionalFormatting>
  <conditionalFormatting sqref="AB26">
    <cfRule type="cellIs" dxfId="7272" priority="1786" operator="equal">
      <formula>"-"</formula>
    </cfRule>
    <cfRule type="cellIs" dxfId="7271" priority="1787" operator="lessThan">
      <formula>0</formula>
    </cfRule>
    <cfRule type="cellIs" dxfId="7270" priority="1788" operator="greaterThan">
      <formula>0</formula>
    </cfRule>
  </conditionalFormatting>
  <conditionalFormatting sqref="AB27">
    <cfRule type="cellIs" dxfId="7269" priority="1792" operator="equal">
      <formula>"-"</formula>
    </cfRule>
    <cfRule type="cellIs" dxfId="7268" priority="1793" operator="lessThan">
      <formula>0</formula>
    </cfRule>
    <cfRule type="cellIs" dxfId="7267" priority="1794" operator="greaterThan">
      <formula>0</formula>
    </cfRule>
  </conditionalFormatting>
  <conditionalFormatting sqref="AB28">
    <cfRule type="cellIs" dxfId="7266" priority="1789" operator="equal">
      <formula>"-"</formula>
    </cfRule>
    <cfRule type="cellIs" dxfId="7265" priority="1790" operator="lessThan">
      <formula>0</formula>
    </cfRule>
    <cfRule type="cellIs" dxfId="7264" priority="1791" operator="greaterThan">
      <formula>0</formula>
    </cfRule>
  </conditionalFormatting>
  <conditionalFormatting sqref="AB29">
    <cfRule type="cellIs" dxfId="7263" priority="1783" operator="equal">
      <formula>"-"</formula>
    </cfRule>
    <cfRule type="cellIs" dxfId="7262" priority="1784" operator="lessThan">
      <formula>0</formula>
    </cfRule>
    <cfRule type="cellIs" dxfId="7261" priority="1785" operator="greaterThan">
      <formula>0</formula>
    </cfRule>
  </conditionalFormatting>
  <conditionalFormatting sqref="AB30">
    <cfRule type="cellIs" dxfId="7260" priority="1780" operator="equal">
      <formula>"-"</formula>
    </cfRule>
    <cfRule type="cellIs" dxfId="7259" priority="1781" operator="lessThan">
      <formula>0</formula>
    </cfRule>
    <cfRule type="cellIs" dxfId="7258" priority="1782" operator="greaterThan">
      <formula>0</formula>
    </cfRule>
  </conditionalFormatting>
  <conditionalFormatting sqref="AB31">
    <cfRule type="colorScale" priority="1795">
      <colorScale>
        <cfvo type="formula" val="-0.0001"/>
        <cfvo type="formula" val="0"/>
        <cfvo type="formula" val="0.00001"/>
        <color rgb="FFF8696B"/>
        <color rgb="FFCCCCCC"/>
        <color rgb="FF57BB8A"/>
      </colorScale>
    </cfRule>
  </conditionalFormatting>
  <conditionalFormatting sqref="AB37">
    <cfRule type="cellIs" dxfId="7257" priority="1770" operator="equal">
      <formula>"-"</formula>
    </cfRule>
    <cfRule type="cellIs" dxfId="7256" priority="1771" operator="lessThan">
      <formula>0</formula>
    </cfRule>
    <cfRule type="cellIs" dxfId="7255" priority="1772" operator="greaterThan">
      <formula>0</formula>
    </cfRule>
  </conditionalFormatting>
  <conditionalFormatting sqref="AB38">
    <cfRule type="cellIs" dxfId="7254" priority="1767" operator="equal">
      <formula>"-"</formula>
    </cfRule>
    <cfRule type="cellIs" dxfId="7253" priority="1768" operator="lessThan">
      <formula>0</formula>
    </cfRule>
    <cfRule type="cellIs" dxfId="7252" priority="1769" operator="greaterThan">
      <formula>0</formula>
    </cfRule>
  </conditionalFormatting>
  <conditionalFormatting sqref="AB39">
    <cfRule type="cellIs" dxfId="7251" priority="1776" operator="equal">
      <formula>"-"</formula>
    </cfRule>
    <cfRule type="cellIs" dxfId="7250" priority="1777" operator="lessThan">
      <formula>0</formula>
    </cfRule>
    <cfRule type="cellIs" dxfId="7249" priority="1778" operator="greaterThan">
      <formula>0</formula>
    </cfRule>
  </conditionalFormatting>
  <conditionalFormatting sqref="AB40">
    <cfRule type="cellIs" dxfId="7248" priority="1764" operator="equal">
      <formula>"-"</formula>
    </cfRule>
    <cfRule type="cellIs" dxfId="7247" priority="1765" operator="lessThan">
      <formula>0</formula>
    </cfRule>
    <cfRule type="cellIs" dxfId="7246" priority="1766" operator="greaterThan">
      <formula>0</formula>
    </cfRule>
  </conditionalFormatting>
  <conditionalFormatting sqref="AB41">
    <cfRule type="cellIs" dxfId="7245" priority="1761" operator="equal">
      <formula>"-"</formula>
    </cfRule>
    <cfRule type="cellIs" dxfId="7244" priority="1762" operator="lessThan">
      <formula>0</formula>
    </cfRule>
    <cfRule type="cellIs" dxfId="7243" priority="1763" operator="greaterThan">
      <formula>0</formula>
    </cfRule>
  </conditionalFormatting>
  <conditionalFormatting sqref="AB42">
    <cfRule type="cellIs" dxfId="7242" priority="1773" operator="equal">
      <formula>"-"</formula>
    </cfRule>
    <cfRule type="cellIs" dxfId="7241" priority="1774" operator="lessThan">
      <formula>0</formula>
    </cfRule>
    <cfRule type="cellIs" dxfId="7240" priority="1775" operator="greaterThan">
      <formula>0</formula>
    </cfRule>
  </conditionalFormatting>
  <conditionalFormatting sqref="AB43">
    <cfRule type="cellIs" dxfId="7239" priority="1758" operator="equal">
      <formula>"-"</formula>
    </cfRule>
    <cfRule type="cellIs" dxfId="7238" priority="1759" operator="lessThan">
      <formula>0</formula>
    </cfRule>
    <cfRule type="cellIs" dxfId="7237" priority="1760" operator="greaterThan">
      <formula>0</formula>
    </cfRule>
  </conditionalFormatting>
  <conditionalFormatting sqref="AB44">
    <cfRule type="colorScale" priority="1779">
      <colorScale>
        <cfvo type="formula" val="-0.0001"/>
        <cfvo type="formula" val="0"/>
        <cfvo type="formula" val="0.00001"/>
        <color rgb="FFF8696B"/>
        <color rgb="FFCCCCCC"/>
        <color rgb="FF57BB8A"/>
      </colorScale>
    </cfRule>
  </conditionalFormatting>
  <conditionalFormatting sqref="AB49">
    <cfRule type="cellIs" dxfId="7236" priority="1755" operator="equal">
      <formula>"-"</formula>
    </cfRule>
    <cfRule type="cellIs" dxfId="7235" priority="1756" operator="lessThan">
      <formula>0</formula>
    </cfRule>
    <cfRule type="cellIs" dxfId="7234" priority="1757" operator="greaterThan">
      <formula>0</formula>
    </cfRule>
  </conditionalFormatting>
  <conditionalFormatting sqref="AB50">
    <cfRule type="cellIs" dxfId="7233" priority="1752" operator="equal">
      <formula>"-"</formula>
    </cfRule>
    <cfRule type="cellIs" dxfId="7232" priority="1753" operator="lessThan">
      <formula>0</formula>
    </cfRule>
    <cfRule type="cellIs" dxfId="7231" priority="1754" operator="greaterThan">
      <formula>0</formula>
    </cfRule>
  </conditionalFormatting>
  <conditionalFormatting sqref="AB51">
    <cfRule type="cellIs" dxfId="7230" priority="1749" operator="equal">
      <formula>"-"</formula>
    </cfRule>
    <cfRule type="cellIs" dxfId="7229" priority="1750" operator="lessThan">
      <formula>0</formula>
    </cfRule>
    <cfRule type="cellIs" dxfId="7228" priority="1751" operator="greaterThan">
      <formula>0</formula>
    </cfRule>
  </conditionalFormatting>
  <conditionalFormatting sqref="AB52">
    <cfRule type="cellIs" dxfId="7227" priority="1746" operator="equal">
      <formula>"-"</formula>
    </cfRule>
    <cfRule type="cellIs" dxfId="7226" priority="1747" operator="lessThan">
      <formula>0</formula>
    </cfRule>
    <cfRule type="cellIs" dxfId="7225" priority="1748" operator="greaterThan">
      <formula>0</formula>
    </cfRule>
  </conditionalFormatting>
  <conditionalFormatting sqref="AB53">
    <cfRule type="cellIs" dxfId="7224" priority="1743" operator="equal">
      <formula>"-"</formula>
    </cfRule>
    <cfRule type="cellIs" dxfId="7223" priority="1744" operator="lessThan">
      <formula>0</formula>
    </cfRule>
    <cfRule type="cellIs" dxfId="7222" priority="1745" operator="greaterThan">
      <formula>0</formula>
    </cfRule>
  </conditionalFormatting>
  <conditionalFormatting sqref="AB54">
    <cfRule type="cellIs" dxfId="7221" priority="1737" operator="equal">
      <formula>"-"</formula>
    </cfRule>
    <cfRule type="cellIs" dxfId="7220" priority="1738" operator="lessThan">
      <formula>0</formula>
    </cfRule>
    <cfRule type="cellIs" dxfId="7219" priority="1739" operator="greaterThan">
      <formula>0</formula>
    </cfRule>
  </conditionalFormatting>
  <conditionalFormatting sqref="AB55">
    <cfRule type="cellIs" dxfId="7218" priority="1740" operator="equal">
      <formula>"-"</formula>
    </cfRule>
    <cfRule type="cellIs" dxfId="7217" priority="1741" operator="lessThan">
      <formula>0</formula>
    </cfRule>
    <cfRule type="cellIs" dxfId="7216" priority="1742" operator="greaterThan">
      <formula>0</formula>
    </cfRule>
  </conditionalFormatting>
  <conditionalFormatting sqref="AB3:AB6">
    <cfRule type="cellIs" dxfId="7215" priority="1734" operator="equal">
      <formula>"-"</formula>
    </cfRule>
    <cfRule type="cellIs" dxfId="7214" priority="1735" operator="lessThan">
      <formula>0</formula>
    </cfRule>
    <cfRule type="cellIs" dxfId="7213" priority="1736" operator="greaterThan">
      <formula>0</formula>
    </cfRule>
  </conditionalFormatting>
  <conditionalFormatting sqref="AB13:AB15">
    <cfRule type="cellIs" dxfId="7212" priority="1731" operator="equal">
      <formula>"-"</formula>
    </cfRule>
    <cfRule type="cellIs" dxfId="7211" priority="1732" operator="lessThan">
      <formula>0</formula>
    </cfRule>
    <cfRule type="cellIs" dxfId="7210" priority="1733" operator="greaterThan">
      <formula>0</formula>
    </cfRule>
  </conditionalFormatting>
  <conditionalFormatting sqref="AB19">
    <cfRule type="cellIs" dxfId="7209" priority="1728" operator="equal">
      <formula>"-"</formula>
    </cfRule>
    <cfRule type="cellIs" dxfId="7208" priority="1729" operator="lessThan">
      <formula>0</formula>
    </cfRule>
    <cfRule type="cellIs" dxfId="7207" priority="1730" operator="greaterThan">
      <formula>0</formula>
    </cfRule>
  </conditionalFormatting>
  <conditionalFormatting sqref="AB20">
    <cfRule type="cellIs" dxfId="7206" priority="1726" operator="lessThan">
      <formula>0</formula>
    </cfRule>
    <cfRule type="cellIs" dxfId="7205" priority="1727" operator="greaterThan">
      <formula>0</formula>
    </cfRule>
  </conditionalFormatting>
  <conditionalFormatting sqref="AB20">
    <cfRule type="cellIs" dxfId="7204" priority="1725" operator="equal">
      <formula>"-"</formula>
    </cfRule>
  </conditionalFormatting>
  <conditionalFormatting sqref="AB24">
    <cfRule type="cellIs" dxfId="7203" priority="1722" operator="equal">
      <formula>"-"</formula>
    </cfRule>
    <cfRule type="cellIs" dxfId="7202" priority="1723" operator="lessThan">
      <formula>0</formula>
    </cfRule>
    <cfRule type="cellIs" dxfId="7201" priority="1724" operator="greaterThan">
      <formula>0</formula>
    </cfRule>
  </conditionalFormatting>
  <conditionalFormatting sqref="AB25">
    <cfRule type="cellIs" dxfId="7200" priority="1719" operator="equal">
      <formula>"-"</formula>
    </cfRule>
    <cfRule type="cellIs" dxfId="7199" priority="1720" operator="lessThan">
      <formula>0</formula>
    </cfRule>
    <cfRule type="cellIs" dxfId="7198" priority="1721" operator="greaterThan">
      <formula>0</formula>
    </cfRule>
  </conditionalFormatting>
  <conditionalFormatting sqref="AB33">
    <cfRule type="cellIs" dxfId="7197" priority="1716" operator="equal">
      <formula>"-"</formula>
    </cfRule>
    <cfRule type="cellIs" dxfId="7196" priority="1717" operator="lessThan">
      <formula>0</formula>
    </cfRule>
    <cfRule type="cellIs" dxfId="7195" priority="1718" operator="greaterThan">
      <formula>0</formula>
    </cfRule>
  </conditionalFormatting>
  <conditionalFormatting sqref="AB34">
    <cfRule type="cellIs" dxfId="7194" priority="1713" operator="equal">
      <formula>"-"</formula>
    </cfRule>
    <cfRule type="cellIs" dxfId="7193" priority="1714" operator="lessThan">
      <formula>0</formula>
    </cfRule>
    <cfRule type="cellIs" dxfId="7192" priority="1715" operator="greaterThan">
      <formula>0</formula>
    </cfRule>
  </conditionalFormatting>
  <conditionalFormatting sqref="AB36">
    <cfRule type="cellIs" dxfId="7191" priority="1710" operator="equal">
      <formula>"-"</formula>
    </cfRule>
    <cfRule type="cellIs" dxfId="7190" priority="1711" operator="lessThan">
      <formula>0</formula>
    </cfRule>
    <cfRule type="cellIs" dxfId="7189" priority="1712" operator="greaterThan">
      <formula>0</formula>
    </cfRule>
  </conditionalFormatting>
  <conditionalFormatting sqref="AB35">
    <cfRule type="cellIs" dxfId="7188" priority="1707" operator="equal">
      <formula>"-"</formula>
    </cfRule>
    <cfRule type="cellIs" dxfId="7187" priority="1708" operator="lessThan">
      <formula>0</formula>
    </cfRule>
    <cfRule type="cellIs" dxfId="7186" priority="1709" operator="greaterThan">
      <formula>0</formula>
    </cfRule>
  </conditionalFormatting>
  <conditionalFormatting sqref="AB46">
    <cfRule type="cellIs" dxfId="7185" priority="1704" operator="equal">
      <formula>"-"</formula>
    </cfRule>
    <cfRule type="cellIs" dxfId="7184" priority="1705" operator="lessThan">
      <formula>0</formula>
    </cfRule>
    <cfRule type="cellIs" dxfId="7183" priority="1706" operator="greaterThan">
      <formula>0</formula>
    </cfRule>
  </conditionalFormatting>
  <conditionalFormatting sqref="AB47">
    <cfRule type="cellIs" dxfId="7182" priority="1701" operator="equal">
      <formula>"-"</formula>
    </cfRule>
    <cfRule type="cellIs" dxfId="7181" priority="1702" operator="lessThan">
      <formula>0</formula>
    </cfRule>
    <cfRule type="cellIs" dxfId="7180" priority="1703" operator="greaterThan">
      <formula>0</formula>
    </cfRule>
  </conditionalFormatting>
  <conditionalFormatting sqref="AB48">
    <cfRule type="cellIs" dxfId="7179" priority="1698" operator="equal">
      <formula>"-"</formula>
    </cfRule>
    <cfRule type="cellIs" dxfId="7178" priority="1699" operator="lessThan">
      <formula>0</formula>
    </cfRule>
    <cfRule type="cellIs" dxfId="7177" priority="1700" operator="greaterThan">
      <formula>0</formula>
    </cfRule>
  </conditionalFormatting>
  <conditionalFormatting sqref="AB58">
    <cfRule type="cellIs" dxfId="7176" priority="1695" operator="equal">
      <formula>"-"</formula>
    </cfRule>
    <cfRule type="cellIs" dxfId="7175" priority="1696" operator="lessThan">
      <formula>0</formula>
    </cfRule>
    <cfRule type="cellIs" dxfId="7174" priority="1697" operator="greaterThan">
      <formula>0</formula>
    </cfRule>
  </conditionalFormatting>
  <conditionalFormatting sqref="Z2">
    <cfRule type="containsText" dxfId="7173" priority="1688" operator="containsText" text="NEUTRO">
      <formula>NOT(ISERROR(SEARCH("NEUTRO",Z2)))</formula>
    </cfRule>
    <cfRule type="containsText" dxfId="7172" priority="1689" operator="containsText" text="BULLISH">
      <formula>NOT(ISERROR(SEARCH("BULLISH",Z2)))</formula>
    </cfRule>
    <cfRule type="containsText" dxfId="7171" priority="1690" operator="containsText" text="BEARISH">
      <formula>NOT(ISERROR(SEARCH("BEARISH",Z2)))</formula>
    </cfRule>
    <cfRule type="containsBlanks" dxfId="7170" priority="1691">
      <formula>LEN(TRIM(Z2))=0</formula>
    </cfRule>
  </conditionalFormatting>
  <conditionalFormatting sqref="Z12">
    <cfRule type="containsText" dxfId="7169" priority="1684" operator="containsText" text="NEUTRO">
      <formula>NOT(ISERROR(SEARCH("NEUTRO",Z12)))</formula>
    </cfRule>
    <cfRule type="containsText" dxfId="7168" priority="1685" operator="containsText" text="BULLISH">
      <formula>NOT(ISERROR(SEARCH("BULLISH",Z12)))</formula>
    </cfRule>
    <cfRule type="containsText" dxfId="7167" priority="1686" operator="containsText" text="BEARISH">
      <formula>NOT(ISERROR(SEARCH("BEARISH",Z12)))</formula>
    </cfRule>
    <cfRule type="containsBlanks" dxfId="7166" priority="1687">
      <formula>LEN(TRIM(Z12))=0</formula>
    </cfRule>
  </conditionalFormatting>
  <conditionalFormatting sqref="Z18:AB18">
    <cfRule type="containsText" dxfId="7165" priority="1680" operator="containsText" text="NEUTRO">
      <formula>NOT(ISERROR(SEARCH("NEUTRO",Z18)))</formula>
    </cfRule>
    <cfRule type="containsText" dxfId="7164" priority="1681" operator="containsText" text="BULLISH">
      <formula>NOT(ISERROR(SEARCH("BULLISH",Z18)))</formula>
    </cfRule>
    <cfRule type="containsText" dxfId="7163" priority="1682" operator="containsText" text="BEARISH">
      <formula>NOT(ISERROR(SEARCH("BEARISH",Z18)))</formula>
    </cfRule>
    <cfRule type="containsBlanks" dxfId="7162" priority="1683">
      <formula>LEN(TRIM(Z18))=0</formula>
    </cfRule>
  </conditionalFormatting>
  <conditionalFormatting sqref="Z23">
    <cfRule type="containsText" dxfId="7161" priority="1676" operator="containsText" text="NEUTRO">
      <formula>NOT(ISERROR(SEARCH("NEUTRO",Z23)))</formula>
    </cfRule>
    <cfRule type="containsText" dxfId="7160" priority="1677" operator="containsText" text="BULLISH">
      <formula>NOT(ISERROR(SEARCH("BULLISH",Z23)))</formula>
    </cfRule>
    <cfRule type="containsText" dxfId="7159" priority="1678" operator="containsText" text="BEARISH">
      <formula>NOT(ISERROR(SEARCH("BEARISH",Z23)))</formula>
    </cfRule>
    <cfRule type="containsBlanks" dxfId="7158" priority="1679">
      <formula>LEN(TRIM(Z23))=0</formula>
    </cfRule>
  </conditionalFormatting>
  <conditionalFormatting sqref="Z32">
    <cfRule type="containsText" dxfId="7157" priority="1672" operator="containsText" text="NEUTRO">
      <formula>NOT(ISERROR(SEARCH("NEUTRO",Z32)))</formula>
    </cfRule>
    <cfRule type="containsText" dxfId="7156" priority="1673" operator="containsText" text="BULLISH">
      <formula>NOT(ISERROR(SEARCH("BULLISH",Z32)))</formula>
    </cfRule>
    <cfRule type="containsText" dxfId="7155" priority="1674" operator="containsText" text="BEARISH">
      <formula>NOT(ISERROR(SEARCH("BEARISH",Z32)))</formula>
    </cfRule>
    <cfRule type="containsBlanks" dxfId="7154" priority="1675">
      <formula>LEN(TRIM(Z32))=0</formula>
    </cfRule>
  </conditionalFormatting>
  <conditionalFormatting sqref="Z45">
    <cfRule type="containsText" dxfId="7153" priority="1668" operator="containsText" text="NEUTRO">
      <formula>NOT(ISERROR(SEARCH("NEUTRO",Z45)))</formula>
    </cfRule>
    <cfRule type="containsText" dxfId="7152" priority="1669" operator="containsText" text="BULLISH">
      <formula>NOT(ISERROR(SEARCH("BULLISH",Z45)))</formula>
    </cfRule>
    <cfRule type="containsText" dxfId="7151" priority="1670" operator="containsText" text="BEARISH">
      <formula>NOT(ISERROR(SEARCH("BEARISH",Z45)))</formula>
    </cfRule>
    <cfRule type="containsBlanks" dxfId="7150" priority="1671">
      <formula>LEN(TRIM(Z45))=0</formula>
    </cfRule>
  </conditionalFormatting>
  <conditionalFormatting sqref="Z57">
    <cfRule type="containsText" dxfId="7149" priority="1664" operator="containsText" text="NEUTRO">
      <formula>NOT(ISERROR(SEARCH("NEUTRO",Z57)))</formula>
    </cfRule>
    <cfRule type="containsText" dxfId="7148" priority="1665" operator="containsText" text="BULLISH">
      <formula>NOT(ISERROR(SEARCH("BULLISH",Z57)))</formula>
    </cfRule>
    <cfRule type="containsText" dxfId="7147" priority="1666" operator="containsText" text="BEARISH">
      <formula>NOT(ISERROR(SEARCH("BEARISH",Z57)))</formula>
    </cfRule>
    <cfRule type="containsBlanks" dxfId="7146" priority="1667">
      <formula>LEN(TRIM(Z57))=0</formula>
    </cfRule>
  </conditionalFormatting>
  <conditionalFormatting sqref="V60:V629">
    <cfRule type="colorScale" priority="1663">
      <colorScale>
        <cfvo type="formula" val="-0.0001"/>
        <cfvo type="formula" val="0"/>
        <cfvo type="formula" val="0.00001"/>
        <color rgb="FFF8696B"/>
        <color rgb="FFCCCCCC"/>
        <color rgb="FF57BB8A"/>
      </colorScale>
    </cfRule>
  </conditionalFormatting>
  <conditionalFormatting sqref="S60:S629">
    <cfRule type="colorScale" priority="1377">
      <colorScale>
        <cfvo type="formula" val="-0.0001"/>
        <cfvo type="formula" val="0"/>
        <cfvo type="formula" val="0.00001"/>
        <color rgb="FFF8696B"/>
        <color rgb="FFCCCCCC"/>
        <color rgb="FF57BB8A"/>
      </colorScale>
    </cfRule>
  </conditionalFormatting>
  <conditionalFormatting sqref="V21">
    <cfRule type="cellIs" dxfId="7145" priority="1070" operator="equal">
      <formula>"-"</formula>
    </cfRule>
    <cfRule type="cellIs" dxfId="7144" priority="1071" operator="lessThan">
      <formula>0</formula>
    </cfRule>
    <cfRule type="cellIs" dxfId="7143" priority="1072" operator="greaterThan">
      <formula>0</formula>
    </cfRule>
  </conditionalFormatting>
  <conditionalFormatting sqref="W12">
    <cfRule type="containsText" dxfId="7142" priority="1103" operator="containsText" text="NEUTRO">
      <formula>NOT(ISERROR(SEARCH("NEUTRO",W12)))</formula>
    </cfRule>
    <cfRule type="containsText" dxfId="7141" priority="1104" operator="containsText" text="BULLISH">
      <formula>NOT(ISERROR(SEARCH("BULLISH",W12)))</formula>
    </cfRule>
    <cfRule type="containsText" dxfId="7140" priority="1105" operator="containsText" text="BEARISH">
      <formula>NOT(ISERROR(SEARCH("BEARISH",W12)))</formula>
    </cfRule>
    <cfRule type="containsBlanks" dxfId="7139" priority="1106">
      <formula>LEN(TRIM(W12))=0</formula>
    </cfRule>
  </conditionalFormatting>
  <conditionalFormatting sqref="W18:Y18">
    <cfRule type="containsText" dxfId="7138" priority="1099" operator="containsText" text="NEUTRO">
      <formula>NOT(ISERROR(SEARCH("NEUTRO",W18)))</formula>
    </cfRule>
    <cfRule type="containsText" dxfId="7137" priority="1100" operator="containsText" text="BULLISH">
      <formula>NOT(ISERROR(SEARCH("BULLISH",W18)))</formula>
    </cfRule>
    <cfRule type="containsText" dxfId="7136" priority="1101" operator="containsText" text="BEARISH">
      <formula>NOT(ISERROR(SEARCH("BEARISH",W18)))</formula>
    </cfRule>
    <cfRule type="containsBlanks" dxfId="7135" priority="1102">
      <formula>LEN(TRIM(W18))=0</formula>
    </cfRule>
  </conditionalFormatting>
  <conditionalFormatting sqref="W23">
    <cfRule type="containsText" dxfId="7134" priority="1095" operator="containsText" text="NEUTRO">
      <formula>NOT(ISERROR(SEARCH("NEUTRO",W23)))</formula>
    </cfRule>
    <cfRule type="containsText" dxfId="7133" priority="1096" operator="containsText" text="BULLISH">
      <formula>NOT(ISERROR(SEARCH("BULLISH",W23)))</formula>
    </cfRule>
    <cfRule type="containsText" dxfId="7132" priority="1097" operator="containsText" text="BEARISH">
      <formula>NOT(ISERROR(SEARCH("BEARISH",W23)))</formula>
    </cfRule>
    <cfRule type="containsBlanks" dxfId="7131" priority="1098">
      <formula>LEN(TRIM(W23))=0</formula>
    </cfRule>
  </conditionalFormatting>
  <conditionalFormatting sqref="W32">
    <cfRule type="containsText" dxfId="7130" priority="1091" operator="containsText" text="NEUTRO">
      <formula>NOT(ISERROR(SEARCH("NEUTRO",W32)))</formula>
    </cfRule>
    <cfRule type="containsText" dxfId="7129" priority="1092" operator="containsText" text="BULLISH">
      <formula>NOT(ISERROR(SEARCH("BULLISH",W32)))</formula>
    </cfRule>
    <cfRule type="containsText" dxfId="7128" priority="1093" operator="containsText" text="BEARISH">
      <formula>NOT(ISERROR(SEARCH("BEARISH",W32)))</formula>
    </cfRule>
    <cfRule type="containsBlanks" dxfId="7127" priority="1094">
      <formula>LEN(TRIM(W32))=0</formula>
    </cfRule>
  </conditionalFormatting>
  <conditionalFormatting sqref="W45">
    <cfRule type="containsText" dxfId="7126" priority="1087" operator="containsText" text="NEUTRO">
      <formula>NOT(ISERROR(SEARCH("NEUTRO",W45)))</formula>
    </cfRule>
    <cfRule type="containsText" dxfId="7125" priority="1088" operator="containsText" text="BULLISH">
      <formula>NOT(ISERROR(SEARCH("BULLISH",W45)))</formula>
    </cfRule>
    <cfRule type="containsText" dxfId="7124" priority="1089" operator="containsText" text="BEARISH">
      <formula>NOT(ISERROR(SEARCH("BEARISH",W45)))</formula>
    </cfRule>
    <cfRule type="containsBlanks" dxfId="7123" priority="1090">
      <formula>LEN(TRIM(W45))=0</formula>
    </cfRule>
  </conditionalFormatting>
  <conditionalFormatting sqref="W57">
    <cfRule type="containsText" dxfId="7122" priority="1083" operator="containsText" text="NEUTRO">
      <formula>NOT(ISERROR(SEARCH("NEUTRO",W57)))</formula>
    </cfRule>
    <cfRule type="containsText" dxfId="7121" priority="1084" operator="containsText" text="BULLISH">
      <formula>NOT(ISERROR(SEARCH("BULLISH",W57)))</formula>
    </cfRule>
    <cfRule type="containsText" dxfId="7120" priority="1085" operator="containsText" text="BEARISH">
      <formula>NOT(ISERROR(SEARCH("BEARISH",W57)))</formula>
    </cfRule>
    <cfRule type="containsBlanks" dxfId="7119" priority="1086">
      <formula>LEN(TRIM(W57))=0</formula>
    </cfRule>
  </conditionalFormatting>
  <conditionalFormatting sqref="Y59">
    <cfRule type="cellIs" dxfId="7118" priority="1111" operator="equal">
      <formula>"-"</formula>
    </cfRule>
    <cfRule type="cellIs" dxfId="7117" priority="1112" operator="lessThan">
      <formula>0</formula>
    </cfRule>
    <cfRule type="cellIs" dxfId="7116" priority="1113" operator="greaterThan">
      <formula>0</formula>
    </cfRule>
  </conditionalFormatting>
  <conditionalFormatting sqref="Y7:Y10">
    <cfRule type="cellIs" dxfId="7115" priority="1224" operator="equal">
      <formula>"-"</formula>
    </cfRule>
    <cfRule type="cellIs" dxfId="7114" priority="1225" operator="lessThan">
      <formula>0</formula>
    </cfRule>
    <cfRule type="cellIs" dxfId="7113" priority="1226" operator="greaterThan">
      <formula>0</formula>
    </cfRule>
  </conditionalFormatting>
  <conditionalFormatting sqref="Y11">
    <cfRule type="colorScale" priority="1227">
      <colorScale>
        <cfvo type="formula" val="-0.0001"/>
        <cfvo type="formula" val="0"/>
        <cfvo type="formula" val="0.00001"/>
        <color rgb="FFF8696B"/>
        <color rgb="FFCCCCCC"/>
        <color rgb="FF57BB8A"/>
      </colorScale>
    </cfRule>
  </conditionalFormatting>
  <conditionalFormatting sqref="Y16">
    <cfRule type="cellIs" dxfId="7112" priority="1221" operator="equal">
      <formula>"-"</formula>
    </cfRule>
    <cfRule type="cellIs" dxfId="7111" priority="1222" operator="lessThan">
      <formula>0</formula>
    </cfRule>
    <cfRule type="cellIs" dxfId="7110" priority="1223" operator="greaterThan">
      <formula>0</formula>
    </cfRule>
  </conditionalFormatting>
  <conditionalFormatting sqref="Y22">
    <cfRule type="cellIs" dxfId="7109" priority="1218" operator="equal">
      <formula>"-"</formula>
    </cfRule>
    <cfRule type="cellIs" dxfId="7108" priority="1219" operator="lessThan">
      <formula>0</formula>
    </cfRule>
    <cfRule type="cellIs" dxfId="7107" priority="1220" operator="greaterThan">
      <formula>0</formula>
    </cfRule>
  </conditionalFormatting>
  <conditionalFormatting sqref="Y21">
    <cfRule type="cellIs" dxfId="7106" priority="1215" operator="equal">
      <formula>"-"</formula>
    </cfRule>
    <cfRule type="cellIs" dxfId="7105" priority="1216" operator="lessThan">
      <formula>0</formula>
    </cfRule>
    <cfRule type="cellIs" dxfId="7104" priority="1217" operator="greaterThan">
      <formula>0</formula>
    </cfRule>
  </conditionalFormatting>
  <conditionalFormatting sqref="Y26">
    <cfRule type="cellIs" dxfId="7103" priority="1205" operator="equal">
      <formula>"-"</formula>
    </cfRule>
    <cfRule type="cellIs" dxfId="7102" priority="1206" operator="lessThan">
      <formula>0</formula>
    </cfRule>
    <cfRule type="cellIs" dxfId="7101" priority="1207" operator="greaterThan">
      <formula>0</formula>
    </cfRule>
  </conditionalFormatting>
  <conditionalFormatting sqref="Y27">
    <cfRule type="cellIs" dxfId="7100" priority="1211" operator="equal">
      <formula>"-"</formula>
    </cfRule>
    <cfRule type="cellIs" dxfId="7099" priority="1212" operator="lessThan">
      <formula>0</formula>
    </cfRule>
    <cfRule type="cellIs" dxfId="7098" priority="1213" operator="greaterThan">
      <formula>0</formula>
    </cfRule>
  </conditionalFormatting>
  <conditionalFormatting sqref="Y28">
    <cfRule type="cellIs" dxfId="7097" priority="1208" operator="equal">
      <formula>"-"</formula>
    </cfRule>
    <cfRule type="cellIs" dxfId="7096" priority="1209" operator="lessThan">
      <formula>0</formula>
    </cfRule>
    <cfRule type="cellIs" dxfId="7095" priority="1210" operator="greaterThan">
      <formula>0</formula>
    </cfRule>
  </conditionalFormatting>
  <conditionalFormatting sqref="Y29">
    <cfRule type="cellIs" dxfId="7094" priority="1202" operator="equal">
      <formula>"-"</formula>
    </cfRule>
    <cfRule type="cellIs" dxfId="7093" priority="1203" operator="lessThan">
      <formula>0</formula>
    </cfRule>
    <cfRule type="cellIs" dxfId="7092" priority="1204" operator="greaterThan">
      <formula>0</formula>
    </cfRule>
  </conditionalFormatting>
  <conditionalFormatting sqref="Y30">
    <cfRule type="cellIs" dxfId="7091" priority="1199" operator="equal">
      <formula>"-"</formula>
    </cfRule>
    <cfRule type="cellIs" dxfId="7090" priority="1200" operator="lessThan">
      <formula>0</formula>
    </cfRule>
    <cfRule type="cellIs" dxfId="7089" priority="1201" operator="greaterThan">
      <formula>0</formula>
    </cfRule>
  </conditionalFormatting>
  <conditionalFormatting sqref="Y31">
    <cfRule type="colorScale" priority="1214">
      <colorScale>
        <cfvo type="formula" val="-0.0001"/>
        <cfvo type="formula" val="0"/>
        <cfvo type="formula" val="0.00001"/>
        <color rgb="FFF8696B"/>
        <color rgb="FFCCCCCC"/>
        <color rgb="FF57BB8A"/>
      </colorScale>
    </cfRule>
  </conditionalFormatting>
  <conditionalFormatting sqref="Y37">
    <cfRule type="cellIs" dxfId="7088" priority="1189" operator="equal">
      <formula>"-"</formula>
    </cfRule>
    <cfRule type="cellIs" dxfId="7087" priority="1190" operator="lessThan">
      <formula>0</formula>
    </cfRule>
    <cfRule type="cellIs" dxfId="7086" priority="1191" operator="greaterThan">
      <formula>0</formula>
    </cfRule>
  </conditionalFormatting>
  <conditionalFormatting sqref="Y38">
    <cfRule type="cellIs" dxfId="7085" priority="1186" operator="equal">
      <formula>"-"</formula>
    </cfRule>
    <cfRule type="cellIs" dxfId="7084" priority="1187" operator="lessThan">
      <formula>0</formula>
    </cfRule>
    <cfRule type="cellIs" dxfId="7083" priority="1188" operator="greaterThan">
      <formula>0</formula>
    </cfRule>
  </conditionalFormatting>
  <conditionalFormatting sqref="Y39">
    <cfRule type="cellIs" dxfId="7082" priority="1195" operator="equal">
      <formula>"-"</formula>
    </cfRule>
    <cfRule type="cellIs" dxfId="7081" priority="1196" operator="lessThan">
      <formula>0</formula>
    </cfRule>
    <cfRule type="cellIs" dxfId="7080" priority="1197" operator="greaterThan">
      <formula>0</formula>
    </cfRule>
  </conditionalFormatting>
  <conditionalFormatting sqref="Y40">
    <cfRule type="cellIs" dxfId="7079" priority="1183" operator="equal">
      <formula>"-"</formula>
    </cfRule>
    <cfRule type="cellIs" dxfId="7078" priority="1184" operator="lessThan">
      <formula>0</formula>
    </cfRule>
    <cfRule type="cellIs" dxfId="7077" priority="1185" operator="greaterThan">
      <formula>0</formula>
    </cfRule>
  </conditionalFormatting>
  <conditionalFormatting sqref="Y41">
    <cfRule type="cellIs" dxfId="7076" priority="1180" operator="equal">
      <formula>"-"</formula>
    </cfRule>
    <cfRule type="cellIs" dxfId="7075" priority="1181" operator="lessThan">
      <formula>0</formula>
    </cfRule>
    <cfRule type="cellIs" dxfId="7074" priority="1182" operator="greaterThan">
      <formula>0</formula>
    </cfRule>
  </conditionalFormatting>
  <conditionalFormatting sqref="Y42">
    <cfRule type="cellIs" dxfId="7073" priority="1192" operator="equal">
      <formula>"-"</formula>
    </cfRule>
    <cfRule type="cellIs" dxfId="7072" priority="1193" operator="lessThan">
      <formula>0</formula>
    </cfRule>
    <cfRule type="cellIs" dxfId="7071" priority="1194" operator="greaterThan">
      <formula>0</formula>
    </cfRule>
  </conditionalFormatting>
  <conditionalFormatting sqref="Y43">
    <cfRule type="cellIs" dxfId="7070" priority="1177" operator="equal">
      <formula>"-"</formula>
    </cfRule>
    <cfRule type="cellIs" dxfId="7069" priority="1178" operator="lessThan">
      <formula>0</formula>
    </cfRule>
    <cfRule type="cellIs" dxfId="7068" priority="1179" operator="greaterThan">
      <formula>0</formula>
    </cfRule>
  </conditionalFormatting>
  <conditionalFormatting sqref="Y44">
    <cfRule type="colorScale" priority="1198">
      <colorScale>
        <cfvo type="formula" val="-0.0001"/>
        <cfvo type="formula" val="0"/>
        <cfvo type="formula" val="0.00001"/>
        <color rgb="FFF8696B"/>
        <color rgb="FFCCCCCC"/>
        <color rgb="FF57BB8A"/>
      </colorScale>
    </cfRule>
  </conditionalFormatting>
  <conditionalFormatting sqref="Y49">
    <cfRule type="cellIs" dxfId="7067" priority="1174" operator="equal">
      <formula>"-"</formula>
    </cfRule>
    <cfRule type="cellIs" dxfId="7066" priority="1175" operator="lessThan">
      <formula>0</formula>
    </cfRule>
    <cfRule type="cellIs" dxfId="7065" priority="1176" operator="greaterThan">
      <formula>0</formula>
    </cfRule>
  </conditionalFormatting>
  <conditionalFormatting sqref="Y50">
    <cfRule type="cellIs" dxfId="7064" priority="1171" operator="equal">
      <formula>"-"</formula>
    </cfRule>
    <cfRule type="cellIs" dxfId="7063" priority="1172" operator="lessThan">
      <formula>0</formula>
    </cfRule>
    <cfRule type="cellIs" dxfId="7062" priority="1173" operator="greaterThan">
      <formula>0</formula>
    </cfRule>
  </conditionalFormatting>
  <conditionalFormatting sqref="Y51">
    <cfRule type="cellIs" dxfId="7061" priority="1168" operator="equal">
      <formula>"-"</formula>
    </cfRule>
    <cfRule type="cellIs" dxfId="7060" priority="1169" operator="lessThan">
      <formula>0</formula>
    </cfRule>
    <cfRule type="cellIs" dxfId="7059" priority="1170" operator="greaterThan">
      <formula>0</formula>
    </cfRule>
  </conditionalFormatting>
  <conditionalFormatting sqref="Y52">
    <cfRule type="cellIs" dxfId="7058" priority="1165" operator="equal">
      <formula>"-"</formula>
    </cfRule>
    <cfRule type="cellIs" dxfId="7057" priority="1166" operator="lessThan">
      <formula>0</formula>
    </cfRule>
    <cfRule type="cellIs" dxfId="7056" priority="1167" operator="greaterThan">
      <formula>0</formula>
    </cfRule>
  </conditionalFormatting>
  <conditionalFormatting sqref="Y53">
    <cfRule type="cellIs" dxfId="7055" priority="1162" operator="equal">
      <formula>"-"</formula>
    </cfRule>
    <cfRule type="cellIs" dxfId="7054" priority="1163" operator="lessThan">
      <formula>0</formula>
    </cfRule>
    <cfRule type="cellIs" dxfId="7053" priority="1164" operator="greaterThan">
      <formula>0</formula>
    </cfRule>
  </conditionalFormatting>
  <conditionalFormatting sqref="Y54">
    <cfRule type="cellIs" dxfId="7052" priority="1156" operator="equal">
      <formula>"-"</formula>
    </cfRule>
    <cfRule type="cellIs" dxfId="7051" priority="1157" operator="lessThan">
      <formula>0</formula>
    </cfRule>
    <cfRule type="cellIs" dxfId="7050" priority="1158" operator="greaterThan">
      <formula>0</formula>
    </cfRule>
  </conditionalFormatting>
  <conditionalFormatting sqref="Y55">
    <cfRule type="cellIs" dxfId="7049" priority="1159" operator="equal">
      <formula>"-"</formula>
    </cfRule>
    <cfRule type="cellIs" dxfId="7048" priority="1160" operator="lessThan">
      <formula>0</formula>
    </cfRule>
    <cfRule type="cellIs" dxfId="7047" priority="1161" operator="greaterThan">
      <formula>0</formula>
    </cfRule>
  </conditionalFormatting>
  <conditionalFormatting sqref="Y3:Y6">
    <cfRule type="cellIs" dxfId="7046" priority="1153" operator="equal">
      <formula>"-"</formula>
    </cfRule>
    <cfRule type="cellIs" dxfId="7045" priority="1154" operator="lessThan">
      <formula>0</formula>
    </cfRule>
    <cfRule type="cellIs" dxfId="7044" priority="1155" operator="greaterThan">
      <formula>0</formula>
    </cfRule>
  </conditionalFormatting>
  <conditionalFormatting sqref="Y13:Y15">
    <cfRule type="cellIs" dxfId="7043" priority="1150" operator="equal">
      <formula>"-"</formula>
    </cfRule>
    <cfRule type="cellIs" dxfId="7042" priority="1151" operator="lessThan">
      <formula>0</formula>
    </cfRule>
    <cfRule type="cellIs" dxfId="7041" priority="1152" operator="greaterThan">
      <formula>0</formula>
    </cfRule>
  </conditionalFormatting>
  <conditionalFormatting sqref="Y19">
    <cfRule type="cellIs" dxfId="7040" priority="1147" operator="equal">
      <formula>"-"</formula>
    </cfRule>
    <cfRule type="cellIs" dxfId="7039" priority="1148" operator="lessThan">
      <formula>0</formula>
    </cfRule>
    <cfRule type="cellIs" dxfId="7038" priority="1149" operator="greaterThan">
      <formula>0</formula>
    </cfRule>
  </conditionalFormatting>
  <conditionalFormatting sqref="Y20">
    <cfRule type="cellIs" dxfId="7037" priority="1145" operator="lessThan">
      <formula>0</formula>
    </cfRule>
    <cfRule type="cellIs" dxfId="7036" priority="1146" operator="greaterThan">
      <formula>0</formula>
    </cfRule>
  </conditionalFormatting>
  <conditionalFormatting sqref="Y20">
    <cfRule type="cellIs" dxfId="7035" priority="1144" operator="equal">
      <formula>"-"</formula>
    </cfRule>
  </conditionalFormatting>
  <conditionalFormatting sqref="Y24">
    <cfRule type="cellIs" dxfId="7034" priority="1141" operator="equal">
      <formula>"-"</formula>
    </cfRule>
    <cfRule type="cellIs" dxfId="7033" priority="1142" operator="lessThan">
      <formula>0</formula>
    </cfRule>
    <cfRule type="cellIs" dxfId="7032" priority="1143" operator="greaterThan">
      <formula>0</formula>
    </cfRule>
  </conditionalFormatting>
  <conditionalFormatting sqref="Y25">
    <cfRule type="cellIs" dxfId="7031" priority="1138" operator="equal">
      <formula>"-"</formula>
    </cfRule>
    <cfRule type="cellIs" dxfId="7030" priority="1139" operator="lessThan">
      <formula>0</formula>
    </cfRule>
    <cfRule type="cellIs" dxfId="7029" priority="1140" operator="greaterThan">
      <formula>0</formula>
    </cfRule>
  </conditionalFormatting>
  <conditionalFormatting sqref="Y33">
    <cfRule type="cellIs" dxfId="7028" priority="1135" operator="equal">
      <formula>"-"</formula>
    </cfRule>
    <cfRule type="cellIs" dxfId="7027" priority="1136" operator="lessThan">
      <formula>0</formula>
    </cfRule>
    <cfRule type="cellIs" dxfId="7026" priority="1137" operator="greaterThan">
      <formula>0</formula>
    </cfRule>
  </conditionalFormatting>
  <conditionalFormatting sqref="Y34">
    <cfRule type="cellIs" dxfId="7025" priority="1132" operator="equal">
      <formula>"-"</formula>
    </cfRule>
    <cfRule type="cellIs" dxfId="7024" priority="1133" operator="lessThan">
      <formula>0</formula>
    </cfRule>
    <cfRule type="cellIs" dxfId="7023" priority="1134" operator="greaterThan">
      <formula>0</formula>
    </cfRule>
  </conditionalFormatting>
  <conditionalFormatting sqref="Y36">
    <cfRule type="cellIs" dxfId="7022" priority="1129" operator="equal">
      <formula>"-"</formula>
    </cfRule>
    <cfRule type="cellIs" dxfId="7021" priority="1130" operator="lessThan">
      <formula>0</formula>
    </cfRule>
    <cfRule type="cellIs" dxfId="7020" priority="1131" operator="greaterThan">
      <formula>0</formula>
    </cfRule>
  </conditionalFormatting>
  <conditionalFormatting sqref="Y35">
    <cfRule type="cellIs" dxfId="7019" priority="1126" operator="equal">
      <formula>"-"</formula>
    </cfRule>
    <cfRule type="cellIs" dxfId="7018" priority="1127" operator="lessThan">
      <formula>0</formula>
    </cfRule>
    <cfRule type="cellIs" dxfId="7017" priority="1128" operator="greaterThan">
      <formula>0</formula>
    </cfRule>
  </conditionalFormatting>
  <conditionalFormatting sqref="Y46">
    <cfRule type="cellIs" dxfId="7016" priority="1123" operator="equal">
      <formula>"-"</formula>
    </cfRule>
    <cfRule type="cellIs" dxfId="7015" priority="1124" operator="lessThan">
      <formula>0</formula>
    </cfRule>
    <cfRule type="cellIs" dxfId="7014" priority="1125" operator="greaterThan">
      <formula>0</formula>
    </cfRule>
  </conditionalFormatting>
  <conditionalFormatting sqref="Y47">
    <cfRule type="cellIs" dxfId="7013" priority="1120" operator="equal">
      <formula>"-"</formula>
    </cfRule>
    <cfRule type="cellIs" dxfId="7012" priority="1121" operator="lessThan">
      <formula>0</formula>
    </cfRule>
    <cfRule type="cellIs" dxfId="7011" priority="1122" operator="greaterThan">
      <formula>0</formula>
    </cfRule>
  </conditionalFormatting>
  <conditionalFormatting sqref="Y48">
    <cfRule type="cellIs" dxfId="7010" priority="1117" operator="equal">
      <formula>"-"</formula>
    </cfRule>
    <cfRule type="cellIs" dxfId="7009" priority="1118" operator="lessThan">
      <formula>0</formula>
    </cfRule>
    <cfRule type="cellIs" dxfId="7008" priority="1119" operator="greaterThan">
      <formula>0</formula>
    </cfRule>
  </conditionalFormatting>
  <conditionalFormatting sqref="Y58">
    <cfRule type="cellIs" dxfId="7007" priority="1114" operator="equal">
      <formula>"-"</formula>
    </cfRule>
    <cfRule type="cellIs" dxfId="7006" priority="1115" operator="lessThan">
      <formula>0</formula>
    </cfRule>
    <cfRule type="cellIs" dxfId="7005" priority="1116" operator="greaterThan">
      <formula>0</formula>
    </cfRule>
  </conditionalFormatting>
  <conditionalFormatting sqref="T32">
    <cfRule type="containsText" dxfId="7004" priority="946" operator="containsText" text="NEUTRO">
      <formula>NOT(ISERROR(SEARCH("NEUTRO",T32)))</formula>
    </cfRule>
    <cfRule type="containsText" dxfId="7003" priority="947" operator="containsText" text="BULLISH">
      <formula>NOT(ISERROR(SEARCH("BULLISH",T32)))</formula>
    </cfRule>
    <cfRule type="containsText" dxfId="7002" priority="948" operator="containsText" text="BEARISH">
      <formula>NOT(ISERROR(SEARCH("BEARISH",T32)))</formula>
    </cfRule>
    <cfRule type="containsBlanks" dxfId="7001" priority="949">
      <formula>LEN(TRIM(T32))=0</formula>
    </cfRule>
  </conditionalFormatting>
  <conditionalFormatting sqref="W2">
    <cfRule type="containsText" dxfId="7000" priority="1107" operator="containsText" text="NEUTRO">
      <formula>NOT(ISERROR(SEARCH("NEUTRO",W2)))</formula>
    </cfRule>
    <cfRule type="containsText" dxfId="6999" priority="1108" operator="containsText" text="BULLISH">
      <formula>NOT(ISERROR(SEARCH("BULLISH",W2)))</formula>
    </cfRule>
    <cfRule type="containsText" dxfId="6998" priority="1109" operator="containsText" text="BEARISH">
      <formula>NOT(ISERROR(SEARCH("BEARISH",W2)))</formula>
    </cfRule>
    <cfRule type="containsBlanks" dxfId="6997" priority="1110">
      <formula>LEN(TRIM(W2))=0</formula>
    </cfRule>
  </conditionalFormatting>
  <conditionalFormatting sqref="T12">
    <cfRule type="containsText" dxfId="6996" priority="958" operator="containsText" text="NEUTRO">
      <formula>NOT(ISERROR(SEARCH("NEUTRO",T12)))</formula>
    </cfRule>
    <cfRule type="containsText" dxfId="6995" priority="959" operator="containsText" text="BULLISH">
      <formula>NOT(ISERROR(SEARCH("BULLISH",T12)))</formula>
    </cfRule>
    <cfRule type="containsText" dxfId="6994" priority="960" operator="containsText" text="BEARISH">
      <formula>NOT(ISERROR(SEARCH("BEARISH",T12)))</formula>
    </cfRule>
    <cfRule type="containsBlanks" dxfId="6993" priority="961">
      <formula>LEN(TRIM(T12))=0</formula>
    </cfRule>
  </conditionalFormatting>
  <conditionalFormatting sqref="T18:V18">
    <cfRule type="containsText" dxfId="6992" priority="954" operator="containsText" text="NEUTRO">
      <formula>NOT(ISERROR(SEARCH("NEUTRO",T18)))</formula>
    </cfRule>
    <cfRule type="containsText" dxfId="6991" priority="955" operator="containsText" text="BULLISH">
      <formula>NOT(ISERROR(SEARCH("BULLISH",T18)))</formula>
    </cfRule>
    <cfRule type="containsText" dxfId="6990" priority="956" operator="containsText" text="BEARISH">
      <formula>NOT(ISERROR(SEARCH("BEARISH",T18)))</formula>
    </cfRule>
    <cfRule type="containsBlanks" dxfId="6989" priority="957">
      <formula>LEN(TRIM(T18))=0</formula>
    </cfRule>
  </conditionalFormatting>
  <conditionalFormatting sqref="T23">
    <cfRule type="containsText" dxfId="6988" priority="950" operator="containsText" text="NEUTRO">
      <formula>NOT(ISERROR(SEARCH("NEUTRO",T23)))</formula>
    </cfRule>
    <cfRule type="containsText" dxfId="6987" priority="951" operator="containsText" text="BULLISH">
      <formula>NOT(ISERROR(SEARCH("BULLISH",T23)))</formula>
    </cfRule>
    <cfRule type="containsText" dxfId="6986" priority="952" operator="containsText" text="BEARISH">
      <formula>NOT(ISERROR(SEARCH("BEARISH",T23)))</formula>
    </cfRule>
    <cfRule type="containsBlanks" dxfId="6985" priority="953">
      <formula>LEN(TRIM(T23))=0</formula>
    </cfRule>
  </conditionalFormatting>
  <conditionalFormatting sqref="T45">
    <cfRule type="containsText" dxfId="6984" priority="942" operator="containsText" text="NEUTRO">
      <formula>NOT(ISERROR(SEARCH("NEUTRO",T45)))</formula>
    </cfRule>
    <cfRule type="containsText" dxfId="6983" priority="943" operator="containsText" text="BULLISH">
      <formula>NOT(ISERROR(SEARCH("BULLISH",T45)))</formula>
    </cfRule>
    <cfRule type="containsText" dxfId="6982" priority="944" operator="containsText" text="BEARISH">
      <formula>NOT(ISERROR(SEARCH("BEARISH",T45)))</formula>
    </cfRule>
    <cfRule type="containsBlanks" dxfId="6981" priority="945">
      <formula>LEN(TRIM(T45))=0</formula>
    </cfRule>
  </conditionalFormatting>
  <conditionalFormatting sqref="T57">
    <cfRule type="containsText" dxfId="6980" priority="938" operator="containsText" text="NEUTRO">
      <formula>NOT(ISERROR(SEARCH("NEUTRO",T57)))</formula>
    </cfRule>
    <cfRule type="containsText" dxfId="6979" priority="939" operator="containsText" text="BULLISH">
      <formula>NOT(ISERROR(SEARCH("BULLISH",T57)))</formula>
    </cfRule>
    <cfRule type="containsText" dxfId="6978" priority="940" operator="containsText" text="BEARISH">
      <formula>NOT(ISERROR(SEARCH("BEARISH",T57)))</formula>
    </cfRule>
    <cfRule type="containsBlanks" dxfId="6977" priority="941">
      <formula>LEN(TRIM(T57))=0</formula>
    </cfRule>
  </conditionalFormatting>
  <conditionalFormatting sqref="V27">
    <cfRule type="cellIs" dxfId="6976" priority="1066" operator="equal">
      <formula>"-"</formula>
    </cfRule>
    <cfRule type="cellIs" dxfId="6975" priority="1067" operator="lessThan">
      <formula>0</formula>
    </cfRule>
    <cfRule type="cellIs" dxfId="6974" priority="1068" operator="greaterThan">
      <formula>0</formula>
    </cfRule>
  </conditionalFormatting>
  <conditionalFormatting sqref="V39">
    <cfRule type="cellIs" dxfId="6973" priority="1050" operator="equal">
      <formula>"-"</formula>
    </cfRule>
    <cfRule type="cellIs" dxfId="6972" priority="1051" operator="lessThan">
      <formula>0</formula>
    </cfRule>
    <cfRule type="cellIs" dxfId="6971" priority="1052" operator="greaterThan">
      <formula>0</formula>
    </cfRule>
  </conditionalFormatting>
  <conditionalFormatting sqref="V42">
    <cfRule type="cellIs" dxfId="6970" priority="1047" operator="equal">
      <formula>"-"</formula>
    </cfRule>
    <cfRule type="cellIs" dxfId="6969" priority="1048" operator="lessThan">
      <formula>0</formula>
    </cfRule>
    <cfRule type="cellIs" dxfId="6968" priority="1049" operator="greaterThan">
      <formula>0</formula>
    </cfRule>
  </conditionalFormatting>
  <conditionalFormatting sqref="V37">
    <cfRule type="cellIs" dxfId="6967" priority="1044" operator="equal">
      <formula>"-"</formula>
    </cfRule>
    <cfRule type="cellIs" dxfId="6966" priority="1045" operator="lessThan">
      <formula>0</formula>
    </cfRule>
    <cfRule type="cellIs" dxfId="6965" priority="1046" operator="greaterThan">
      <formula>0</formula>
    </cfRule>
  </conditionalFormatting>
  <conditionalFormatting sqref="V59">
    <cfRule type="cellIs" dxfId="6964" priority="966" operator="equal">
      <formula>"-"</formula>
    </cfRule>
    <cfRule type="cellIs" dxfId="6963" priority="967" operator="lessThan">
      <formula>0</formula>
    </cfRule>
    <cfRule type="cellIs" dxfId="6962" priority="968" operator="greaterThan">
      <formula>0</formula>
    </cfRule>
  </conditionalFormatting>
  <conditionalFormatting sqref="V7:V10">
    <cfRule type="cellIs" dxfId="6961" priority="1079" operator="equal">
      <formula>"-"</formula>
    </cfRule>
    <cfRule type="cellIs" dxfId="6960" priority="1080" operator="lessThan">
      <formula>0</formula>
    </cfRule>
    <cfRule type="cellIs" dxfId="6959" priority="1081" operator="greaterThan">
      <formula>0</formula>
    </cfRule>
  </conditionalFormatting>
  <conditionalFormatting sqref="V11">
    <cfRule type="colorScale" priority="1082">
      <colorScale>
        <cfvo type="formula" val="-0.0001"/>
        <cfvo type="formula" val="0"/>
        <cfvo type="formula" val="0.00001"/>
        <color rgb="FFF8696B"/>
        <color rgb="FFCCCCCC"/>
        <color rgb="FF57BB8A"/>
      </colorScale>
    </cfRule>
  </conditionalFormatting>
  <conditionalFormatting sqref="V16">
    <cfRule type="cellIs" dxfId="6958" priority="1076" operator="equal">
      <formula>"-"</formula>
    </cfRule>
    <cfRule type="cellIs" dxfId="6957" priority="1077" operator="lessThan">
      <formula>0</formula>
    </cfRule>
    <cfRule type="cellIs" dxfId="6956" priority="1078" operator="greaterThan">
      <formula>0</formula>
    </cfRule>
  </conditionalFormatting>
  <conditionalFormatting sqref="V22">
    <cfRule type="cellIs" dxfId="6955" priority="1073" operator="equal">
      <formula>"-"</formula>
    </cfRule>
    <cfRule type="cellIs" dxfId="6954" priority="1074" operator="lessThan">
      <formula>0</formula>
    </cfRule>
    <cfRule type="cellIs" dxfId="6953" priority="1075" operator="greaterThan">
      <formula>0</formula>
    </cfRule>
  </conditionalFormatting>
  <conditionalFormatting sqref="V26">
    <cfRule type="cellIs" dxfId="6952" priority="1060" operator="equal">
      <formula>"-"</formula>
    </cfRule>
    <cfRule type="cellIs" dxfId="6951" priority="1061" operator="lessThan">
      <formula>0</formula>
    </cfRule>
    <cfRule type="cellIs" dxfId="6950" priority="1062" operator="greaterThan">
      <formula>0</formula>
    </cfRule>
  </conditionalFormatting>
  <conditionalFormatting sqref="V28">
    <cfRule type="cellIs" dxfId="6949" priority="1063" operator="equal">
      <formula>"-"</formula>
    </cfRule>
    <cfRule type="cellIs" dxfId="6948" priority="1064" operator="lessThan">
      <formula>0</formula>
    </cfRule>
    <cfRule type="cellIs" dxfId="6947" priority="1065" operator="greaterThan">
      <formula>0</formula>
    </cfRule>
  </conditionalFormatting>
  <conditionalFormatting sqref="V29">
    <cfRule type="cellIs" dxfId="6946" priority="1057" operator="equal">
      <formula>"-"</formula>
    </cfRule>
    <cfRule type="cellIs" dxfId="6945" priority="1058" operator="lessThan">
      <formula>0</formula>
    </cfRule>
    <cfRule type="cellIs" dxfId="6944" priority="1059" operator="greaterThan">
      <formula>0</formula>
    </cfRule>
  </conditionalFormatting>
  <conditionalFormatting sqref="V30">
    <cfRule type="cellIs" dxfId="6943" priority="1054" operator="equal">
      <formula>"-"</formula>
    </cfRule>
    <cfRule type="cellIs" dxfId="6942" priority="1055" operator="lessThan">
      <formula>0</formula>
    </cfRule>
    <cfRule type="cellIs" dxfId="6941" priority="1056" operator="greaterThan">
      <formula>0</formula>
    </cfRule>
  </conditionalFormatting>
  <conditionalFormatting sqref="V31">
    <cfRule type="colorScale" priority="1069">
      <colorScale>
        <cfvo type="formula" val="-0.0001"/>
        <cfvo type="formula" val="0"/>
        <cfvo type="formula" val="0.00001"/>
        <color rgb="FFF8696B"/>
        <color rgb="FFCCCCCC"/>
        <color rgb="FF57BB8A"/>
      </colorScale>
    </cfRule>
  </conditionalFormatting>
  <conditionalFormatting sqref="V38">
    <cfRule type="cellIs" dxfId="6940" priority="1041" operator="equal">
      <formula>"-"</formula>
    </cfRule>
    <cfRule type="cellIs" dxfId="6939" priority="1042" operator="lessThan">
      <formula>0</formula>
    </cfRule>
    <cfRule type="cellIs" dxfId="6938" priority="1043" operator="greaterThan">
      <formula>0</formula>
    </cfRule>
  </conditionalFormatting>
  <conditionalFormatting sqref="V40">
    <cfRule type="cellIs" dxfId="6937" priority="1038" operator="equal">
      <formula>"-"</formula>
    </cfRule>
    <cfRule type="cellIs" dxfId="6936" priority="1039" operator="lessThan">
      <formula>0</formula>
    </cfRule>
    <cfRule type="cellIs" dxfId="6935" priority="1040" operator="greaterThan">
      <formula>0</formula>
    </cfRule>
  </conditionalFormatting>
  <conditionalFormatting sqref="V41">
    <cfRule type="cellIs" dxfId="6934" priority="1035" operator="equal">
      <formula>"-"</formula>
    </cfRule>
    <cfRule type="cellIs" dxfId="6933" priority="1036" operator="lessThan">
      <formula>0</formula>
    </cfRule>
    <cfRule type="cellIs" dxfId="6932" priority="1037" operator="greaterThan">
      <formula>0</formula>
    </cfRule>
  </conditionalFormatting>
  <conditionalFormatting sqref="V43">
    <cfRule type="cellIs" dxfId="6931" priority="1032" operator="equal">
      <formula>"-"</formula>
    </cfRule>
    <cfRule type="cellIs" dxfId="6930" priority="1033" operator="lessThan">
      <formula>0</formula>
    </cfRule>
    <cfRule type="cellIs" dxfId="6929" priority="1034" operator="greaterThan">
      <formula>0</formula>
    </cfRule>
  </conditionalFormatting>
  <conditionalFormatting sqref="V44">
    <cfRule type="colorScale" priority="1053">
      <colorScale>
        <cfvo type="formula" val="-0.0001"/>
        <cfvo type="formula" val="0"/>
        <cfvo type="formula" val="0.00001"/>
        <color rgb="FFF8696B"/>
        <color rgb="FFCCCCCC"/>
        <color rgb="FF57BB8A"/>
      </colorScale>
    </cfRule>
  </conditionalFormatting>
  <conditionalFormatting sqref="V49">
    <cfRule type="cellIs" dxfId="6928" priority="1029" operator="equal">
      <formula>"-"</formula>
    </cfRule>
    <cfRule type="cellIs" dxfId="6927" priority="1030" operator="lessThan">
      <formula>0</formula>
    </cfRule>
    <cfRule type="cellIs" dxfId="6926" priority="1031" operator="greaterThan">
      <formula>0</formula>
    </cfRule>
  </conditionalFormatting>
  <conditionalFormatting sqref="V50">
    <cfRule type="cellIs" dxfId="6925" priority="1026" operator="equal">
      <formula>"-"</formula>
    </cfRule>
    <cfRule type="cellIs" dxfId="6924" priority="1027" operator="lessThan">
      <formula>0</formula>
    </cfRule>
    <cfRule type="cellIs" dxfId="6923" priority="1028" operator="greaterThan">
      <formula>0</formula>
    </cfRule>
  </conditionalFormatting>
  <conditionalFormatting sqref="V51">
    <cfRule type="cellIs" dxfId="6922" priority="1023" operator="equal">
      <formula>"-"</formula>
    </cfRule>
    <cfRule type="cellIs" dxfId="6921" priority="1024" operator="lessThan">
      <formula>0</formula>
    </cfRule>
    <cfRule type="cellIs" dxfId="6920" priority="1025" operator="greaterThan">
      <formula>0</formula>
    </cfRule>
  </conditionalFormatting>
  <conditionalFormatting sqref="V52">
    <cfRule type="cellIs" dxfId="6919" priority="1020" operator="equal">
      <formula>"-"</formula>
    </cfRule>
    <cfRule type="cellIs" dxfId="6918" priority="1021" operator="lessThan">
      <formula>0</formula>
    </cfRule>
    <cfRule type="cellIs" dxfId="6917" priority="1022" operator="greaterThan">
      <formula>0</formula>
    </cfRule>
  </conditionalFormatting>
  <conditionalFormatting sqref="V53">
    <cfRule type="cellIs" dxfId="6916" priority="1017" operator="equal">
      <formula>"-"</formula>
    </cfRule>
    <cfRule type="cellIs" dxfId="6915" priority="1018" operator="lessThan">
      <formula>0</formula>
    </cfRule>
    <cfRule type="cellIs" dxfId="6914" priority="1019" operator="greaterThan">
      <formula>0</formula>
    </cfRule>
  </conditionalFormatting>
  <conditionalFormatting sqref="V54">
    <cfRule type="cellIs" dxfId="6913" priority="1011" operator="equal">
      <formula>"-"</formula>
    </cfRule>
    <cfRule type="cellIs" dxfId="6912" priority="1012" operator="lessThan">
      <formula>0</formula>
    </cfRule>
    <cfRule type="cellIs" dxfId="6911" priority="1013" operator="greaterThan">
      <formula>0</formula>
    </cfRule>
  </conditionalFormatting>
  <conditionalFormatting sqref="V55">
    <cfRule type="cellIs" dxfId="6910" priority="1014" operator="equal">
      <formula>"-"</formula>
    </cfRule>
    <cfRule type="cellIs" dxfId="6909" priority="1015" operator="lessThan">
      <formula>0</formula>
    </cfRule>
    <cfRule type="cellIs" dxfId="6908" priority="1016" operator="greaterThan">
      <formula>0</formula>
    </cfRule>
  </conditionalFormatting>
  <conditionalFormatting sqref="V3:V6">
    <cfRule type="cellIs" dxfId="6907" priority="1008" operator="equal">
      <formula>"-"</formula>
    </cfRule>
    <cfRule type="cellIs" dxfId="6906" priority="1009" operator="lessThan">
      <formula>0</formula>
    </cfRule>
    <cfRule type="cellIs" dxfId="6905" priority="1010" operator="greaterThan">
      <formula>0</formula>
    </cfRule>
  </conditionalFormatting>
  <conditionalFormatting sqref="V13:V15">
    <cfRule type="cellIs" dxfId="6904" priority="1005" operator="equal">
      <formula>"-"</formula>
    </cfRule>
    <cfRule type="cellIs" dxfId="6903" priority="1006" operator="lessThan">
      <formula>0</formula>
    </cfRule>
    <cfRule type="cellIs" dxfId="6902" priority="1007" operator="greaterThan">
      <formula>0</formula>
    </cfRule>
  </conditionalFormatting>
  <conditionalFormatting sqref="V19">
    <cfRule type="cellIs" dxfId="6901" priority="1002" operator="equal">
      <formula>"-"</formula>
    </cfRule>
    <cfRule type="cellIs" dxfId="6900" priority="1003" operator="lessThan">
      <formula>0</formula>
    </cfRule>
    <cfRule type="cellIs" dxfId="6899" priority="1004" operator="greaterThan">
      <formula>0</formula>
    </cfRule>
  </conditionalFormatting>
  <conditionalFormatting sqref="V20">
    <cfRule type="cellIs" dxfId="6898" priority="1000" operator="lessThan">
      <formula>0</formula>
    </cfRule>
    <cfRule type="cellIs" dxfId="6897" priority="1001" operator="greaterThan">
      <formula>0</formula>
    </cfRule>
  </conditionalFormatting>
  <conditionalFormatting sqref="V20">
    <cfRule type="cellIs" dxfId="6896" priority="999" operator="equal">
      <formula>"-"</formula>
    </cfRule>
  </conditionalFormatting>
  <conditionalFormatting sqref="V24">
    <cfRule type="cellIs" dxfId="6895" priority="996" operator="equal">
      <formula>"-"</formula>
    </cfRule>
    <cfRule type="cellIs" dxfId="6894" priority="997" operator="lessThan">
      <formula>0</formula>
    </cfRule>
    <cfRule type="cellIs" dxfId="6893" priority="998" operator="greaterThan">
      <formula>0</formula>
    </cfRule>
  </conditionalFormatting>
  <conditionalFormatting sqref="V25">
    <cfRule type="cellIs" dxfId="6892" priority="993" operator="equal">
      <formula>"-"</formula>
    </cfRule>
    <cfRule type="cellIs" dxfId="6891" priority="994" operator="lessThan">
      <formula>0</formula>
    </cfRule>
    <cfRule type="cellIs" dxfId="6890" priority="995" operator="greaterThan">
      <formula>0</formula>
    </cfRule>
  </conditionalFormatting>
  <conditionalFormatting sqref="V33">
    <cfRule type="cellIs" dxfId="6889" priority="990" operator="equal">
      <formula>"-"</formula>
    </cfRule>
    <cfRule type="cellIs" dxfId="6888" priority="991" operator="lessThan">
      <formula>0</formula>
    </cfRule>
    <cfRule type="cellIs" dxfId="6887" priority="992" operator="greaterThan">
      <formula>0</formula>
    </cfRule>
  </conditionalFormatting>
  <conditionalFormatting sqref="V34">
    <cfRule type="cellIs" dxfId="6886" priority="987" operator="equal">
      <formula>"-"</formula>
    </cfRule>
    <cfRule type="cellIs" dxfId="6885" priority="988" operator="lessThan">
      <formula>0</formula>
    </cfRule>
    <cfRule type="cellIs" dxfId="6884" priority="989" operator="greaterThan">
      <formula>0</formula>
    </cfRule>
  </conditionalFormatting>
  <conditionalFormatting sqref="V36">
    <cfRule type="cellIs" dxfId="6883" priority="984" operator="equal">
      <formula>"-"</formula>
    </cfRule>
    <cfRule type="cellIs" dxfId="6882" priority="985" operator="lessThan">
      <formula>0</formula>
    </cfRule>
    <cfRule type="cellIs" dxfId="6881" priority="986" operator="greaterThan">
      <formula>0</formula>
    </cfRule>
  </conditionalFormatting>
  <conditionalFormatting sqref="V35">
    <cfRule type="cellIs" dxfId="6880" priority="981" operator="equal">
      <formula>"-"</formula>
    </cfRule>
    <cfRule type="cellIs" dxfId="6879" priority="982" operator="lessThan">
      <formula>0</formula>
    </cfRule>
    <cfRule type="cellIs" dxfId="6878" priority="983" operator="greaterThan">
      <formula>0</formula>
    </cfRule>
  </conditionalFormatting>
  <conditionalFormatting sqref="V46">
    <cfRule type="cellIs" dxfId="6877" priority="978" operator="equal">
      <formula>"-"</formula>
    </cfRule>
    <cfRule type="cellIs" dxfId="6876" priority="979" operator="lessThan">
      <formula>0</formula>
    </cfRule>
    <cfRule type="cellIs" dxfId="6875" priority="980" operator="greaterThan">
      <formula>0</formula>
    </cfRule>
  </conditionalFormatting>
  <conditionalFormatting sqref="V47">
    <cfRule type="cellIs" dxfId="6874" priority="975" operator="equal">
      <formula>"-"</formula>
    </cfRule>
    <cfRule type="cellIs" dxfId="6873" priority="976" operator="lessThan">
      <formula>0</formula>
    </cfRule>
    <cfRule type="cellIs" dxfId="6872" priority="977" operator="greaterThan">
      <formula>0</formula>
    </cfRule>
  </conditionalFormatting>
  <conditionalFormatting sqref="V48">
    <cfRule type="cellIs" dxfId="6871" priority="972" operator="equal">
      <formula>"-"</formula>
    </cfRule>
    <cfRule type="cellIs" dxfId="6870" priority="973" operator="lessThan">
      <formula>0</formula>
    </cfRule>
    <cfRule type="cellIs" dxfId="6869" priority="974" operator="greaterThan">
      <formula>0</formula>
    </cfRule>
  </conditionalFormatting>
  <conditionalFormatting sqref="V58">
    <cfRule type="cellIs" dxfId="6868" priority="969" operator="equal">
      <formula>"-"</formula>
    </cfRule>
    <cfRule type="cellIs" dxfId="6867" priority="970" operator="lessThan">
      <formula>0</formula>
    </cfRule>
    <cfRule type="cellIs" dxfId="6866" priority="971" operator="greaterThan">
      <formula>0</formula>
    </cfRule>
  </conditionalFormatting>
  <conditionalFormatting sqref="T2">
    <cfRule type="containsText" dxfId="6865" priority="962" operator="containsText" text="NEUTRO">
      <formula>NOT(ISERROR(SEARCH("NEUTRO",T2)))</formula>
    </cfRule>
    <cfRule type="containsText" dxfId="6864" priority="963" operator="containsText" text="BULLISH">
      <formula>NOT(ISERROR(SEARCH("BULLISH",T2)))</formula>
    </cfRule>
    <cfRule type="containsText" dxfId="6863" priority="964" operator="containsText" text="BEARISH">
      <formula>NOT(ISERROR(SEARCH("BEARISH",T2)))</formula>
    </cfRule>
    <cfRule type="containsBlanks" dxfId="6862" priority="965">
      <formula>LEN(TRIM(T2))=0</formula>
    </cfRule>
  </conditionalFormatting>
  <conditionalFormatting sqref="S21">
    <cfRule type="cellIs" dxfId="6861" priority="925" operator="equal">
      <formula>"-"</formula>
    </cfRule>
    <cfRule type="cellIs" dxfId="6860" priority="926" operator="lessThan">
      <formula>0</formula>
    </cfRule>
    <cfRule type="cellIs" dxfId="6859" priority="927" operator="greaterThan">
      <formula>0</formula>
    </cfRule>
  </conditionalFormatting>
  <conditionalFormatting sqref="S27">
    <cfRule type="cellIs" dxfId="6858" priority="922" operator="equal">
      <formula>"-"</formula>
    </cfRule>
    <cfRule type="cellIs" dxfId="6857" priority="923" operator="lessThan">
      <formula>0</formula>
    </cfRule>
    <cfRule type="cellIs" dxfId="6856" priority="924" operator="greaterThan">
      <formula>0</formula>
    </cfRule>
  </conditionalFormatting>
  <conditionalFormatting sqref="S39">
    <cfRule type="cellIs" dxfId="6855" priority="906" operator="equal">
      <formula>"-"</formula>
    </cfRule>
    <cfRule type="cellIs" dxfId="6854" priority="907" operator="lessThan">
      <formula>0</formula>
    </cfRule>
    <cfRule type="cellIs" dxfId="6853" priority="908" operator="greaterThan">
      <formula>0</formula>
    </cfRule>
  </conditionalFormatting>
  <conditionalFormatting sqref="S42">
    <cfRule type="cellIs" dxfId="6852" priority="903" operator="equal">
      <formula>"-"</formula>
    </cfRule>
    <cfRule type="cellIs" dxfId="6851" priority="904" operator="lessThan">
      <formula>0</formula>
    </cfRule>
    <cfRule type="cellIs" dxfId="6850" priority="905" operator="greaterThan">
      <formula>0</formula>
    </cfRule>
  </conditionalFormatting>
  <conditionalFormatting sqref="S37">
    <cfRule type="cellIs" dxfId="6849" priority="900" operator="equal">
      <formula>"-"</formula>
    </cfRule>
    <cfRule type="cellIs" dxfId="6848" priority="901" operator="lessThan">
      <formula>0</formula>
    </cfRule>
    <cfRule type="cellIs" dxfId="6847" priority="902" operator="greaterThan">
      <formula>0</formula>
    </cfRule>
  </conditionalFormatting>
  <conditionalFormatting sqref="S59">
    <cfRule type="cellIs" dxfId="6846" priority="822" operator="equal">
      <formula>"-"</formula>
    </cfRule>
    <cfRule type="cellIs" dxfId="6845" priority="823" operator="lessThan">
      <formula>0</formula>
    </cfRule>
    <cfRule type="cellIs" dxfId="6844" priority="824" operator="greaterThan">
      <formula>0</formula>
    </cfRule>
  </conditionalFormatting>
  <conditionalFormatting sqref="S7:S10">
    <cfRule type="cellIs" dxfId="6843" priority="934" operator="equal">
      <formula>"-"</formula>
    </cfRule>
    <cfRule type="cellIs" dxfId="6842" priority="935" operator="lessThan">
      <formula>0</formula>
    </cfRule>
    <cfRule type="cellIs" dxfId="6841" priority="936" operator="greaterThan">
      <formula>0</formula>
    </cfRule>
  </conditionalFormatting>
  <conditionalFormatting sqref="S11">
    <cfRule type="colorScale" priority="937">
      <colorScale>
        <cfvo type="formula" val="-0.0001"/>
        <cfvo type="formula" val="0"/>
        <cfvo type="formula" val="0.00001"/>
        <color rgb="FFF8696B"/>
        <color rgb="FFCCCCCC"/>
        <color rgb="FF57BB8A"/>
      </colorScale>
    </cfRule>
  </conditionalFormatting>
  <conditionalFormatting sqref="S16">
    <cfRule type="cellIs" dxfId="6840" priority="931" operator="equal">
      <formula>"-"</formula>
    </cfRule>
    <cfRule type="cellIs" dxfId="6839" priority="932" operator="lessThan">
      <formula>0</formula>
    </cfRule>
    <cfRule type="cellIs" dxfId="6838" priority="933" operator="greaterThan">
      <formula>0</formula>
    </cfRule>
  </conditionalFormatting>
  <conditionalFormatting sqref="S22">
    <cfRule type="cellIs" dxfId="6837" priority="928" operator="equal">
      <formula>"-"</formula>
    </cfRule>
    <cfRule type="cellIs" dxfId="6836" priority="929" operator="lessThan">
      <formula>0</formula>
    </cfRule>
    <cfRule type="cellIs" dxfId="6835" priority="930" operator="greaterThan">
      <formula>0</formula>
    </cfRule>
  </conditionalFormatting>
  <conditionalFormatting sqref="S26">
    <cfRule type="cellIs" dxfId="6834" priority="916" operator="equal">
      <formula>"-"</formula>
    </cfRule>
    <cfRule type="cellIs" dxfId="6833" priority="917" operator="lessThan">
      <formula>0</formula>
    </cfRule>
    <cfRule type="cellIs" dxfId="6832" priority="918" operator="greaterThan">
      <formula>0</formula>
    </cfRule>
  </conditionalFormatting>
  <conditionalFormatting sqref="S28">
    <cfRule type="cellIs" dxfId="6831" priority="919" operator="equal">
      <formula>"-"</formula>
    </cfRule>
    <cfRule type="cellIs" dxfId="6830" priority="920" operator="lessThan">
      <formula>0</formula>
    </cfRule>
    <cfRule type="cellIs" dxfId="6829" priority="921" operator="greaterThan">
      <formula>0</formula>
    </cfRule>
  </conditionalFormatting>
  <conditionalFormatting sqref="S29">
    <cfRule type="cellIs" dxfId="6828" priority="913" operator="equal">
      <formula>"-"</formula>
    </cfRule>
    <cfRule type="cellIs" dxfId="6827" priority="914" operator="lessThan">
      <formula>0</formula>
    </cfRule>
    <cfRule type="cellIs" dxfId="6826" priority="915" operator="greaterThan">
      <formula>0</formula>
    </cfRule>
  </conditionalFormatting>
  <conditionalFormatting sqref="S30:S31">
    <cfRule type="cellIs" dxfId="6825" priority="910" operator="equal">
      <formula>"-"</formula>
    </cfRule>
    <cfRule type="cellIs" dxfId="6824" priority="911" operator="lessThan">
      <formula>0</formula>
    </cfRule>
    <cfRule type="cellIs" dxfId="6823" priority="912" operator="greaterThan">
      <formula>0</formula>
    </cfRule>
  </conditionalFormatting>
  <conditionalFormatting sqref="S38">
    <cfRule type="cellIs" dxfId="6822" priority="897" operator="equal">
      <formula>"-"</formula>
    </cfRule>
    <cfRule type="cellIs" dxfId="6821" priority="898" operator="lessThan">
      <formula>0</formula>
    </cfRule>
    <cfRule type="cellIs" dxfId="6820" priority="899" operator="greaterThan">
      <formula>0</formula>
    </cfRule>
  </conditionalFormatting>
  <conditionalFormatting sqref="S40">
    <cfRule type="cellIs" dxfId="6819" priority="894" operator="equal">
      <formula>"-"</formula>
    </cfRule>
    <cfRule type="cellIs" dxfId="6818" priority="895" operator="lessThan">
      <formula>0</formula>
    </cfRule>
    <cfRule type="cellIs" dxfId="6817" priority="896" operator="greaterThan">
      <formula>0</formula>
    </cfRule>
  </conditionalFormatting>
  <conditionalFormatting sqref="S41">
    <cfRule type="cellIs" dxfId="6816" priority="891" operator="equal">
      <formula>"-"</formula>
    </cfRule>
    <cfRule type="cellIs" dxfId="6815" priority="892" operator="lessThan">
      <formula>0</formula>
    </cfRule>
    <cfRule type="cellIs" dxfId="6814" priority="893" operator="greaterThan">
      <formula>0</formula>
    </cfRule>
  </conditionalFormatting>
  <conditionalFormatting sqref="S43">
    <cfRule type="cellIs" dxfId="6813" priority="888" operator="equal">
      <formula>"-"</formula>
    </cfRule>
    <cfRule type="cellIs" dxfId="6812" priority="889" operator="lessThan">
      <formula>0</formula>
    </cfRule>
    <cfRule type="cellIs" dxfId="6811" priority="890" operator="greaterThan">
      <formula>0</formula>
    </cfRule>
  </conditionalFormatting>
  <conditionalFormatting sqref="S44">
    <cfRule type="colorScale" priority="909">
      <colorScale>
        <cfvo type="formula" val="-0.0001"/>
        <cfvo type="formula" val="0"/>
        <cfvo type="formula" val="0.00001"/>
        <color rgb="FFF8696B"/>
        <color rgb="FFCCCCCC"/>
        <color rgb="FF57BB8A"/>
      </colorScale>
    </cfRule>
  </conditionalFormatting>
  <conditionalFormatting sqref="S49">
    <cfRule type="cellIs" dxfId="6810" priority="885" operator="equal">
      <formula>"-"</formula>
    </cfRule>
    <cfRule type="cellIs" dxfId="6809" priority="886" operator="lessThan">
      <formula>0</formula>
    </cfRule>
    <cfRule type="cellIs" dxfId="6808" priority="887" operator="greaterThan">
      <formula>0</formula>
    </cfRule>
  </conditionalFormatting>
  <conditionalFormatting sqref="S50">
    <cfRule type="cellIs" dxfId="6807" priority="882" operator="equal">
      <formula>"-"</formula>
    </cfRule>
    <cfRule type="cellIs" dxfId="6806" priority="883" operator="lessThan">
      <formula>0</formula>
    </cfRule>
    <cfRule type="cellIs" dxfId="6805" priority="884" operator="greaterThan">
      <formula>0</formula>
    </cfRule>
  </conditionalFormatting>
  <conditionalFormatting sqref="S51">
    <cfRule type="cellIs" dxfId="6804" priority="879" operator="equal">
      <formula>"-"</formula>
    </cfRule>
    <cfRule type="cellIs" dxfId="6803" priority="880" operator="lessThan">
      <formula>0</formula>
    </cfRule>
    <cfRule type="cellIs" dxfId="6802" priority="881" operator="greaterThan">
      <formula>0</formula>
    </cfRule>
  </conditionalFormatting>
  <conditionalFormatting sqref="S52">
    <cfRule type="cellIs" dxfId="6801" priority="876" operator="equal">
      <formula>"-"</formula>
    </cfRule>
    <cfRule type="cellIs" dxfId="6800" priority="877" operator="lessThan">
      <formula>0</formula>
    </cfRule>
    <cfRule type="cellIs" dxfId="6799" priority="878" operator="greaterThan">
      <formula>0</formula>
    </cfRule>
  </conditionalFormatting>
  <conditionalFormatting sqref="S53">
    <cfRule type="cellIs" dxfId="6798" priority="873" operator="equal">
      <formula>"-"</formula>
    </cfRule>
    <cfRule type="cellIs" dxfId="6797" priority="874" operator="lessThan">
      <formula>0</formula>
    </cfRule>
    <cfRule type="cellIs" dxfId="6796" priority="875" operator="greaterThan">
      <formula>0</formula>
    </cfRule>
  </conditionalFormatting>
  <conditionalFormatting sqref="S54">
    <cfRule type="cellIs" dxfId="6795" priority="867" operator="equal">
      <formula>"-"</formula>
    </cfRule>
    <cfRule type="cellIs" dxfId="6794" priority="868" operator="lessThan">
      <formula>0</formula>
    </cfRule>
    <cfRule type="cellIs" dxfId="6793" priority="869" operator="greaterThan">
      <formula>0</formula>
    </cfRule>
  </conditionalFormatting>
  <conditionalFormatting sqref="S55">
    <cfRule type="cellIs" dxfId="6792" priority="870" operator="equal">
      <formula>"-"</formula>
    </cfRule>
    <cfRule type="cellIs" dxfId="6791" priority="871" operator="lessThan">
      <formula>0</formula>
    </cfRule>
    <cfRule type="cellIs" dxfId="6790" priority="872" operator="greaterThan">
      <formula>0</formula>
    </cfRule>
  </conditionalFormatting>
  <conditionalFormatting sqref="S3:S6">
    <cfRule type="cellIs" dxfId="6789" priority="864" operator="equal">
      <formula>"-"</formula>
    </cfRule>
    <cfRule type="cellIs" dxfId="6788" priority="865" operator="lessThan">
      <formula>0</formula>
    </cfRule>
    <cfRule type="cellIs" dxfId="6787" priority="866" operator="greaterThan">
      <formula>0</formula>
    </cfRule>
  </conditionalFormatting>
  <conditionalFormatting sqref="S13:S15">
    <cfRule type="cellIs" dxfId="6786" priority="861" operator="equal">
      <formula>"-"</formula>
    </cfRule>
    <cfRule type="cellIs" dxfId="6785" priority="862" operator="lessThan">
      <formula>0</formula>
    </cfRule>
    <cfRule type="cellIs" dxfId="6784" priority="863" operator="greaterThan">
      <formula>0</formula>
    </cfRule>
  </conditionalFormatting>
  <conditionalFormatting sqref="S19">
    <cfRule type="cellIs" dxfId="6783" priority="858" operator="equal">
      <formula>"-"</formula>
    </cfRule>
    <cfRule type="cellIs" dxfId="6782" priority="859" operator="lessThan">
      <formula>0</formula>
    </cfRule>
    <cfRule type="cellIs" dxfId="6781" priority="860" operator="greaterThan">
      <formula>0</formula>
    </cfRule>
  </conditionalFormatting>
  <conditionalFormatting sqref="S20">
    <cfRule type="cellIs" dxfId="6780" priority="856" operator="lessThan">
      <formula>0</formula>
    </cfRule>
    <cfRule type="cellIs" dxfId="6779" priority="857" operator="greaterThan">
      <formula>0</formula>
    </cfRule>
  </conditionalFormatting>
  <conditionalFormatting sqref="S20">
    <cfRule type="cellIs" dxfId="6778" priority="855" operator="equal">
      <formula>"-"</formula>
    </cfRule>
  </conditionalFormatting>
  <conditionalFormatting sqref="S24">
    <cfRule type="cellIs" dxfId="6777" priority="852" operator="equal">
      <formula>"-"</formula>
    </cfRule>
    <cfRule type="cellIs" dxfId="6776" priority="853" operator="lessThan">
      <formula>0</formula>
    </cfRule>
    <cfRule type="cellIs" dxfId="6775" priority="854" operator="greaterThan">
      <formula>0</formula>
    </cfRule>
  </conditionalFormatting>
  <conditionalFormatting sqref="S25">
    <cfRule type="cellIs" dxfId="6774" priority="849" operator="equal">
      <formula>"-"</formula>
    </cfRule>
    <cfRule type="cellIs" dxfId="6773" priority="850" operator="lessThan">
      <formula>0</formula>
    </cfRule>
    <cfRule type="cellIs" dxfId="6772" priority="851" operator="greaterThan">
      <formula>0</formula>
    </cfRule>
  </conditionalFormatting>
  <conditionalFormatting sqref="S33">
    <cfRule type="cellIs" dxfId="6771" priority="846" operator="equal">
      <formula>"-"</formula>
    </cfRule>
    <cfRule type="cellIs" dxfId="6770" priority="847" operator="lessThan">
      <formula>0</formula>
    </cfRule>
    <cfRule type="cellIs" dxfId="6769" priority="848" operator="greaterThan">
      <formula>0</formula>
    </cfRule>
  </conditionalFormatting>
  <conditionalFormatting sqref="S34">
    <cfRule type="cellIs" dxfId="6768" priority="843" operator="equal">
      <formula>"-"</formula>
    </cfRule>
    <cfRule type="cellIs" dxfId="6767" priority="844" operator="lessThan">
      <formula>0</formula>
    </cfRule>
    <cfRule type="cellIs" dxfId="6766" priority="845" operator="greaterThan">
      <formula>0</formula>
    </cfRule>
  </conditionalFormatting>
  <conditionalFormatting sqref="S36">
    <cfRule type="cellIs" dxfId="6765" priority="840" operator="equal">
      <formula>"-"</formula>
    </cfRule>
    <cfRule type="cellIs" dxfId="6764" priority="841" operator="lessThan">
      <formula>0</formula>
    </cfRule>
    <cfRule type="cellIs" dxfId="6763" priority="842" operator="greaterThan">
      <formula>0</formula>
    </cfRule>
  </conditionalFormatting>
  <conditionalFormatting sqref="S35">
    <cfRule type="cellIs" dxfId="6762" priority="837" operator="equal">
      <formula>"-"</formula>
    </cfRule>
    <cfRule type="cellIs" dxfId="6761" priority="838" operator="lessThan">
      <formula>0</formula>
    </cfRule>
    <cfRule type="cellIs" dxfId="6760" priority="839" operator="greaterThan">
      <formula>0</formula>
    </cfRule>
  </conditionalFormatting>
  <conditionalFormatting sqref="S46">
    <cfRule type="cellIs" dxfId="6759" priority="834" operator="equal">
      <formula>"-"</formula>
    </cfRule>
    <cfRule type="cellIs" dxfId="6758" priority="835" operator="lessThan">
      <formula>0</formula>
    </cfRule>
    <cfRule type="cellIs" dxfId="6757" priority="836" operator="greaterThan">
      <formula>0</formula>
    </cfRule>
  </conditionalFormatting>
  <conditionalFormatting sqref="S47">
    <cfRule type="cellIs" dxfId="6756" priority="831" operator="equal">
      <formula>"-"</formula>
    </cfRule>
    <cfRule type="cellIs" dxfId="6755" priority="832" operator="lessThan">
      <formula>0</formula>
    </cfRule>
    <cfRule type="cellIs" dxfId="6754" priority="833" operator="greaterThan">
      <formula>0</formula>
    </cfRule>
  </conditionalFormatting>
  <conditionalFormatting sqref="S48">
    <cfRule type="cellIs" dxfId="6753" priority="828" operator="equal">
      <formula>"-"</formula>
    </cfRule>
    <cfRule type="cellIs" dxfId="6752" priority="829" operator="lessThan">
      <formula>0</formula>
    </cfRule>
    <cfRule type="cellIs" dxfId="6751" priority="830" operator="greaterThan">
      <formula>0</formula>
    </cfRule>
  </conditionalFormatting>
  <conditionalFormatting sqref="S58">
    <cfRule type="cellIs" dxfId="6750" priority="825" operator="equal">
      <formula>"-"</formula>
    </cfRule>
    <cfRule type="cellIs" dxfId="6749" priority="826" operator="lessThan">
      <formula>0</formula>
    </cfRule>
    <cfRule type="cellIs" dxfId="6748" priority="827" operator="greaterThan">
      <formula>0</formula>
    </cfRule>
  </conditionalFormatting>
  <conditionalFormatting sqref="Q2">
    <cfRule type="containsText" dxfId="6747" priority="790" operator="containsText" text="NEUTRO">
      <formula>NOT(ISERROR(SEARCH("NEUTRO",Q2)))</formula>
    </cfRule>
    <cfRule type="containsText" dxfId="6746" priority="791" operator="containsText" text="BULLISH">
      <formula>NOT(ISERROR(SEARCH("BULLISH",Q2)))</formula>
    </cfRule>
    <cfRule type="containsText" dxfId="6745" priority="792" operator="containsText" text="BEARISH">
      <formula>NOT(ISERROR(SEARCH("BEARISH",Q2)))</formula>
    </cfRule>
    <cfRule type="containsBlanks" dxfId="6744" priority="793">
      <formula>LEN(TRIM(Q2))=0</formula>
    </cfRule>
  </conditionalFormatting>
  <conditionalFormatting sqref="Q12">
    <cfRule type="containsText" dxfId="6743" priority="786" operator="containsText" text="NEUTRO">
      <formula>NOT(ISERROR(SEARCH("NEUTRO",Q12)))</formula>
    </cfRule>
    <cfRule type="containsText" dxfId="6742" priority="787" operator="containsText" text="BULLISH">
      <formula>NOT(ISERROR(SEARCH("BULLISH",Q12)))</formula>
    </cfRule>
    <cfRule type="containsText" dxfId="6741" priority="788" operator="containsText" text="BEARISH">
      <formula>NOT(ISERROR(SEARCH("BEARISH",Q12)))</formula>
    </cfRule>
    <cfRule type="containsBlanks" dxfId="6740" priority="789">
      <formula>LEN(TRIM(Q12))=0</formula>
    </cfRule>
  </conditionalFormatting>
  <conditionalFormatting sqref="R18:S18">
    <cfRule type="containsText" dxfId="6739" priority="810" operator="containsText" text="NEUTRO">
      <formula>NOT(ISERROR(SEARCH("NEUTRO",R18)))</formula>
    </cfRule>
    <cfRule type="containsText" dxfId="6738" priority="811" operator="containsText" text="BULLISH">
      <formula>NOT(ISERROR(SEARCH("BULLISH",R18)))</formula>
    </cfRule>
    <cfRule type="containsText" dxfId="6737" priority="812" operator="containsText" text="BEARISH">
      <formula>NOT(ISERROR(SEARCH("BEARISH",R18)))</formula>
    </cfRule>
    <cfRule type="containsBlanks" dxfId="6736" priority="813">
      <formula>LEN(TRIM(R18))=0</formula>
    </cfRule>
  </conditionalFormatting>
  <conditionalFormatting sqref="Q23">
    <cfRule type="containsText" dxfId="6735" priority="778" operator="containsText" text="NEUTRO">
      <formula>NOT(ISERROR(SEARCH("NEUTRO",Q23)))</formula>
    </cfRule>
    <cfRule type="containsText" dxfId="6734" priority="779" operator="containsText" text="BULLISH">
      <formula>NOT(ISERROR(SEARCH("BULLISH",Q23)))</formula>
    </cfRule>
    <cfRule type="containsText" dxfId="6733" priority="780" operator="containsText" text="BEARISH">
      <formula>NOT(ISERROR(SEARCH("BEARISH",Q23)))</formula>
    </cfRule>
    <cfRule type="containsBlanks" dxfId="6732" priority="781">
      <formula>LEN(TRIM(Q23))=0</formula>
    </cfRule>
  </conditionalFormatting>
  <conditionalFormatting sqref="Q32">
    <cfRule type="containsText" dxfId="6731" priority="774" operator="containsText" text="NEUTRO">
      <formula>NOT(ISERROR(SEARCH("NEUTRO",Q32)))</formula>
    </cfRule>
    <cfRule type="containsText" dxfId="6730" priority="775" operator="containsText" text="BULLISH">
      <formula>NOT(ISERROR(SEARCH("BULLISH",Q32)))</formula>
    </cfRule>
    <cfRule type="containsText" dxfId="6729" priority="776" operator="containsText" text="BEARISH">
      <formula>NOT(ISERROR(SEARCH("BEARISH",Q32)))</formula>
    </cfRule>
    <cfRule type="containsBlanks" dxfId="6728" priority="777">
      <formula>LEN(TRIM(Q32))=0</formula>
    </cfRule>
  </conditionalFormatting>
  <conditionalFormatting sqref="Q45">
    <cfRule type="containsText" dxfId="6727" priority="770" operator="containsText" text="NEUTRO">
      <formula>NOT(ISERROR(SEARCH("NEUTRO",Q45)))</formula>
    </cfRule>
    <cfRule type="containsText" dxfId="6726" priority="771" operator="containsText" text="BULLISH">
      <formula>NOT(ISERROR(SEARCH("BULLISH",Q45)))</formula>
    </cfRule>
    <cfRule type="containsText" dxfId="6725" priority="772" operator="containsText" text="BEARISH">
      <formula>NOT(ISERROR(SEARCH("BEARISH",Q45)))</formula>
    </cfRule>
    <cfRule type="containsBlanks" dxfId="6724" priority="773">
      <formula>LEN(TRIM(Q45))=0</formula>
    </cfRule>
  </conditionalFormatting>
  <conditionalFormatting sqref="Q57">
    <cfRule type="containsText" dxfId="6723" priority="766" operator="containsText" text="NEUTRO">
      <formula>NOT(ISERROR(SEARCH("NEUTRO",Q57)))</formula>
    </cfRule>
    <cfRule type="containsText" dxfId="6722" priority="767" operator="containsText" text="BULLISH">
      <formula>NOT(ISERROR(SEARCH("BULLISH",Q57)))</formula>
    </cfRule>
    <cfRule type="containsText" dxfId="6721" priority="768" operator="containsText" text="BEARISH">
      <formula>NOT(ISERROR(SEARCH("BEARISH",Q57)))</formula>
    </cfRule>
    <cfRule type="containsBlanks" dxfId="6720" priority="769">
      <formula>LEN(TRIM(Q57))=0</formula>
    </cfRule>
  </conditionalFormatting>
  <conditionalFormatting sqref="Q18">
    <cfRule type="containsText" dxfId="6719" priority="782" operator="containsText" text="NEUTRO">
      <formula>NOT(ISERROR(SEARCH("NEUTRO",Q18)))</formula>
    </cfRule>
    <cfRule type="containsText" dxfId="6718" priority="783" operator="containsText" text="BULLISH">
      <formula>NOT(ISERROR(SEARCH("BULLISH",Q18)))</formula>
    </cfRule>
    <cfRule type="containsText" dxfId="6717" priority="784" operator="containsText" text="BEARISH">
      <formula>NOT(ISERROR(SEARCH("BEARISH",Q18)))</formula>
    </cfRule>
    <cfRule type="containsBlanks" dxfId="6716" priority="785">
      <formula>LEN(TRIM(Q18))=0</formula>
    </cfRule>
  </conditionalFormatting>
  <conditionalFormatting sqref="P60:P629">
    <cfRule type="colorScale" priority="765">
      <colorScale>
        <cfvo type="formula" val="-0.0001"/>
        <cfvo type="formula" val="0"/>
        <cfvo type="formula" val="0.00001"/>
        <color rgb="FFF8696B"/>
        <color rgb="FFCCCCCC"/>
        <color rgb="FF57BB8A"/>
      </colorScale>
    </cfRule>
  </conditionalFormatting>
  <conditionalFormatting sqref="P21">
    <cfRule type="cellIs" dxfId="6715" priority="752" operator="equal">
      <formula>"-"</formula>
    </cfRule>
    <cfRule type="cellIs" dxfId="6714" priority="753" operator="lessThan">
      <formula>0</formula>
    </cfRule>
    <cfRule type="cellIs" dxfId="6713" priority="754" operator="greaterThan">
      <formula>0</formula>
    </cfRule>
  </conditionalFormatting>
  <conditionalFormatting sqref="P27">
    <cfRule type="cellIs" dxfId="6712" priority="749" operator="equal">
      <formula>"-"</formula>
    </cfRule>
    <cfRule type="cellIs" dxfId="6711" priority="750" operator="lessThan">
      <formula>0</formula>
    </cfRule>
    <cfRule type="cellIs" dxfId="6710" priority="751" operator="greaterThan">
      <formula>0</formula>
    </cfRule>
  </conditionalFormatting>
  <conditionalFormatting sqref="P39">
    <cfRule type="cellIs" dxfId="6709" priority="733" operator="equal">
      <formula>"-"</formula>
    </cfRule>
    <cfRule type="cellIs" dxfId="6708" priority="734" operator="lessThan">
      <formula>0</formula>
    </cfRule>
    <cfRule type="cellIs" dxfId="6707" priority="735" operator="greaterThan">
      <formula>0</formula>
    </cfRule>
  </conditionalFormatting>
  <conditionalFormatting sqref="P42">
    <cfRule type="cellIs" dxfId="6706" priority="730" operator="equal">
      <formula>"-"</formula>
    </cfRule>
    <cfRule type="cellIs" dxfId="6705" priority="731" operator="lessThan">
      <formula>0</formula>
    </cfRule>
    <cfRule type="cellIs" dxfId="6704" priority="732" operator="greaterThan">
      <formula>0</formula>
    </cfRule>
  </conditionalFormatting>
  <conditionalFormatting sqref="P37">
    <cfRule type="cellIs" dxfId="6703" priority="727" operator="equal">
      <formula>"-"</formula>
    </cfRule>
    <cfRule type="cellIs" dxfId="6702" priority="728" operator="lessThan">
      <formula>0</formula>
    </cfRule>
    <cfRule type="cellIs" dxfId="6701" priority="729" operator="greaterThan">
      <formula>0</formula>
    </cfRule>
  </conditionalFormatting>
  <conditionalFormatting sqref="P59">
    <cfRule type="cellIs" dxfId="6700" priority="649" operator="equal">
      <formula>"-"</formula>
    </cfRule>
    <cfRule type="cellIs" dxfId="6699" priority="650" operator="lessThan">
      <formula>0</formula>
    </cfRule>
    <cfRule type="cellIs" dxfId="6698" priority="651" operator="greaterThan">
      <formula>0</formula>
    </cfRule>
  </conditionalFormatting>
  <conditionalFormatting sqref="P7:P10">
    <cfRule type="cellIs" dxfId="6697" priority="761" operator="equal">
      <formula>"-"</formula>
    </cfRule>
    <cfRule type="cellIs" dxfId="6696" priority="762" operator="lessThan">
      <formula>0</formula>
    </cfRule>
    <cfRule type="cellIs" dxfId="6695" priority="763" operator="greaterThan">
      <formula>0</formula>
    </cfRule>
  </conditionalFormatting>
  <conditionalFormatting sqref="P11">
    <cfRule type="colorScale" priority="764">
      <colorScale>
        <cfvo type="formula" val="-0.0001"/>
        <cfvo type="formula" val="0"/>
        <cfvo type="formula" val="0.00001"/>
        <color rgb="FFF8696B"/>
        <color rgb="FFCCCCCC"/>
        <color rgb="FF57BB8A"/>
      </colorScale>
    </cfRule>
  </conditionalFormatting>
  <conditionalFormatting sqref="P16">
    <cfRule type="cellIs" dxfId="6694" priority="758" operator="equal">
      <formula>"-"</formula>
    </cfRule>
    <cfRule type="cellIs" dxfId="6693" priority="759" operator="lessThan">
      <formula>0</formula>
    </cfRule>
    <cfRule type="cellIs" dxfId="6692" priority="760" operator="greaterThan">
      <formula>0</formula>
    </cfRule>
  </conditionalFormatting>
  <conditionalFormatting sqref="P22">
    <cfRule type="cellIs" dxfId="6691" priority="755" operator="equal">
      <formula>"-"</formula>
    </cfRule>
    <cfRule type="cellIs" dxfId="6690" priority="756" operator="lessThan">
      <formula>0</formula>
    </cfRule>
    <cfRule type="cellIs" dxfId="6689" priority="757" operator="greaterThan">
      <formula>0</formula>
    </cfRule>
  </conditionalFormatting>
  <conditionalFormatting sqref="P26">
    <cfRule type="cellIs" dxfId="6688" priority="743" operator="equal">
      <formula>"-"</formula>
    </cfRule>
    <cfRule type="cellIs" dxfId="6687" priority="744" operator="lessThan">
      <formula>0</formula>
    </cfRule>
    <cfRule type="cellIs" dxfId="6686" priority="745" operator="greaterThan">
      <formula>0</formula>
    </cfRule>
  </conditionalFormatting>
  <conditionalFormatting sqref="P28">
    <cfRule type="cellIs" dxfId="6685" priority="746" operator="equal">
      <formula>"-"</formula>
    </cfRule>
    <cfRule type="cellIs" dxfId="6684" priority="747" operator="lessThan">
      <formula>0</formula>
    </cfRule>
    <cfRule type="cellIs" dxfId="6683" priority="748" operator="greaterThan">
      <formula>0</formula>
    </cfRule>
  </conditionalFormatting>
  <conditionalFormatting sqref="P29">
    <cfRule type="cellIs" dxfId="6682" priority="740" operator="equal">
      <formula>"-"</formula>
    </cfRule>
    <cfRule type="cellIs" dxfId="6681" priority="741" operator="lessThan">
      <formula>0</formula>
    </cfRule>
    <cfRule type="cellIs" dxfId="6680" priority="742" operator="greaterThan">
      <formula>0</formula>
    </cfRule>
  </conditionalFormatting>
  <conditionalFormatting sqref="P30:P31">
    <cfRule type="cellIs" dxfId="6679" priority="737" operator="equal">
      <formula>"-"</formula>
    </cfRule>
    <cfRule type="cellIs" dxfId="6678" priority="738" operator="lessThan">
      <formula>0</formula>
    </cfRule>
    <cfRule type="cellIs" dxfId="6677" priority="739" operator="greaterThan">
      <formula>0</formula>
    </cfRule>
  </conditionalFormatting>
  <conditionalFormatting sqref="P38">
    <cfRule type="cellIs" dxfId="6676" priority="724" operator="equal">
      <formula>"-"</formula>
    </cfRule>
    <cfRule type="cellIs" dxfId="6675" priority="725" operator="lessThan">
      <formula>0</formula>
    </cfRule>
    <cfRule type="cellIs" dxfId="6674" priority="726" operator="greaterThan">
      <formula>0</formula>
    </cfRule>
  </conditionalFormatting>
  <conditionalFormatting sqref="P40">
    <cfRule type="cellIs" dxfId="6673" priority="721" operator="equal">
      <formula>"-"</formula>
    </cfRule>
    <cfRule type="cellIs" dxfId="6672" priority="722" operator="lessThan">
      <formula>0</formula>
    </cfRule>
    <cfRule type="cellIs" dxfId="6671" priority="723" operator="greaterThan">
      <formula>0</formula>
    </cfRule>
  </conditionalFormatting>
  <conditionalFormatting sqref="P41">
    <cfRule type="cellIs" dxfId="6670" priority="718" operator="equal">
      <formula>"-"</formula>
    </cfRule>
    <cfRule type="cellIs" dxfId="6669" priority="719" operator="lessThan">
      <formula>0</formula>
    </cfRule>
    <cfRule type="cellIs" dxfId="6668" priority="720" operator="greaterThan">
      <formula>0</formula>
    </cfRule>
  </conditionalFormatting>
  <conditionalFormatting sqref="P43">
    <cfRule type="cellIs" dxfId="6667" priority="715" operator="equal">
      <formula>"-"</formula>
    </cfRule>
    <cfRule type="cellIs" dxfId="6666" priority="716" operator="lessThan">
      <formula>0</formula>
    </cfRule>
    <cfRule type="cellIs" dxfId="6665" priority="717" operator="greaterThan">
      <formula>0</formula>
    </cfRule>
  </conditionalFormatting>
  <conditionalFormatting sqref="P44">
    <cfRule type="colorScale" priority="736">
      <colorScale>
        <cfvo type="formula" val="-0.0001"/>
        <cfvo type="formula" val="0"/>
        <cfvo type="formula" val="0.00001"/>
        <color rgb="FFF8696B"/>
        <color rgb="FFCCCCCC"/>
        <color rgb="FF57BB8A"/>
      </colorScale>
    </cfRule>
  </conditionalFormatting>
  <conditionalFormatting sqref="P49">
    <cfRule type="cellIs" dxfId="6664" priority="712" operator="equal">
      <formula>"-"</formula>
    </cfRule>
    <cfRule type="cellIs" dxfId="6663" priority="713" operator="lessThan">
      <formula>0</formula>
    </cfRule>
    <cfRule type="cellIs" dxfId="6662" priority="714" operator="greaterThan">
      <formula>0</formula>
    </cfRule>
  </conditionalFormatting>
  <conditionalFormatting sqref="P50">
    <cfRule type="cellIs" dxfId="6661" priority="709" operator="equal">
      <formula>"-"</formula>
    </cfRule>
    <cfRule type="cellIs" dxfId="6660" priority="710" operator="lessThan">
      <formula>0</formula>
    </cfRule>
    <cfRule type="cellIs" dxfId="6659" priority="711" operator="greaterThan">
      <formula>0</formula>
    </cfRule>
  </conditionalFormatting>
  <conditionalFormatting sqref="P51">
    <cfRule type="cellIs" dxfId="6658" priority="706" operator="equal">
      <formula>"-"</formula>
    </cfRule>
    <cfRule type="cellIs" dxfId="6657" priority="707" operator="lessThan">
      <formula>0</formula>
    </cfRule>
    <cfRule type="cellIs" dxfId="6656" priority="708" operator="greaterThan">
      <formula>0</formula>
    </cfRule>
  </conditionalFormatting>
  <conditionalFormatting sqref="P52">
    <cfRule type="cellIs" dxfId="6655" priority="703" operator="equal">
      <formula>"-"</formula>
    </cfRule>
    <cfRule type="cellIs" dxfId="6654" priority="704" operator="lessThan">
      <formula>0</formula>
    </cfRule>
    <cfRule type="cellIs" dxfId="6653" priority="705" operator="greaterThan">
      <formula>0</formula>
    </cfRule>
  </conditionalFormatting>
  <conditionalFormatting sqref="P53">
    <cfRule type="cellIs" dxfId="6652" priority="700" operator="equal">
      <formula>"-"</formula>
    </cfRule>
    <cfRule type="cellIs" dxfId="6651" priority="701" operator="lessThan">
      <formula>0</formula>
    </cfRule>
    <cfRule type="cellIs" dxfId="6650" priority="702" operator="greaterThan">
      <formula>0</formula>
    </cfRule>
  </conditionalFormatting>
  <conditionalFormatting sqref="P54">
    <cfRule type="cellIs" dxfId="6649" priority="694" operator="equal">
      <formula>"-"</formula>
    </cfRule>
    <cfRule type="cellIs" dxfId="6648" priority="695" operator="lessThan">
      <formula>0</formula>
    </cfRule>
    <cfRule type="cellIs" dxfId="6647" priority="696" operator="greaterThan">
      <formula>0</formula>
    </cfRule>
  </conditionalFormatting>
  <conditionalFormatting sqref="P55">
    <cfRule type="cellIs" dxfId="6646" priority="697" operator="equal">
      <formula>"-"</formula>
    </cfRule>
    <cfRule type="cellIs" dxfId="6645" priority="698" operator="lessThan">
      <formula>0</formula>
    </cfRule>
    <cfRule type="cellIs" dxfId="6644" priority="699" operator="greaterThan">
      <formula>0</formula>
    </cfRule>
  </conditionalFormatting>
  <conditionalFormatting sqref="P3:P6">
    <cfRule type="cellIs" dxfId="6643" priority="691" operator="equal">
      <formula>"-"</formula>
    </cfRule>
    <cfRule type="cellIs" dxfId="6642" priority="692" operator="lessThan">
      <formula>0</formula>
    </cfRule>
    <cfRule type="cellIs" dxfId="6641" priority="693" operator="greaterThan">
      <formula>0</formula>
    </cfRule>
  </conditionalFormatting>
  <conditionalFormatting sqref="P13:P15">
    <cfRule type="cellIs" dxfId="6640" priority="688" operator="equal">
      <formula>"-"</formula>
    </cfRule>
    <cfRule type="cellIs" dxfId="6639" priority="689" operator="lessThan">
      <formula>0</formula>
    </cfRule>
    <cfRule type="cellIs" dxfId="6638" priority="690" operator="greaterThan">
      <formula>0</formula>
    </cfRule>
  </conditionalFormatting>
  <conditionalFormatting sqref="P19">
    <cfRule type="cellIs" dxfId="6637" priority="685" operator="equal">
      <formula>"-"</formula>
    </cfRule>
    <cfRule type="cellIs" dxfId="6636" priority="686" operator="lessThan">
      <formula>0</formula>
    </cfRule>
    <cfRule type="cellIs" dxfId="6635" priority="687" operator="greaterThan">
      <formula>0</formula>
    </cfRule>
  </conditionalFormatting>
  <conditionalFormatting sqref="P20">
    <cfRule type="cellIs" dxfId="6634" priority="683" operator="lessThan">
      <formula>0</formula>
    </cfRule>
    <cfRule type="cellIs" dxfId="6633" priority="684" operator="greaterThan">
      <formula>0</formula>
    </cfRule>
  </conditionalFormatting>
  <conditionalFormatting sqref="P20">
    <cfRule type="cellIs" dxfId="6632" priority="682" operator="equal">
      <formula>"-"</formula>
    </cfRule>
  </conditionalFormatting>
  <conditionalFormatting sqref="P24">
    <cfRule type="cellIs" dxfId="6631" priority="679" operator="equal">
      <formula>"-"</formula>
    </cfRule>
    <cfRule type="cellIs" dxfId="6630" priority="680" operator="lessThan">
      <formula>0</formula>
    </cfRule>
    <cfRule type="cellIs" dxfId="6629" priority="681" operator="greaterThan">
      <formula>0</formula>
    </cfRule>
  </conditionalFormatting>
  <conditionalFormatting sqref="P25">
    <cfRule type="cellIs" dxfId="6628" priority="676" operator="equal">
      <formula>"-"</formula>
    </cfRule>
    <cfRule type="cellIs" dxfId="6627" priority="677" operator="lessThan">
      <formula>0</formula>
    </cfRule>
    <cfRule type="cellIs" dxfId="6626" priority="678" operator="greaterThan">
      <formula>0</formula>
    </cfRule>
  </conditionalFormatting>
  <conditionalFormatting sqref="P33">
    <cfRule type="cellIs" dxfId="6625" priority="673" operator="equal">
      <formula>"-"</formula>
    </cfRule>
    <cfRule type="cellIs" dxfId="6624" priority="674" operator="lessThan">
      <formula>0</formula>
    </cfRule>
    <cfRule type="cellIs" dxfId="6623" priority="675" operator="greaterThan">
      <formula>0</formula>
    </cfRule>
  </conditionalFormatting>
  <conditionalFormatting sqref="P34">
    <cfRule type="cellIs" dxfId="6622" priority="670" operator="equal">
      <formula>"-"</formula>
    </cfRule>
    <cfRule type="cellIs" dxfId="6621" priority="671" operator="lessThan">
      <formula>0</formula>
    </cfRule>
    <cfRule type="cellIs" dxfId="6620" priority="672" operator="greaterThan">
      <formula>0</formula>
    </cfRule>
  </conditionalFormatting>
  <conditionalFormatting sqref="P36">
    <cfRule type="cellIs" dxfId="6619" priority="667" operator="equal">
      <formula>"-"</formula>
    </cfRule>
    <cfRule type="cellIs" dxfId="6618" priority="668" operator="lessThan">
      <formula>0</formula>
    </cfRule>
    <cfRule type="cellIs" dxfId="6617" priority="669" operator="greaterThan">
      <formula>0</formula>
    </cfRule>
  </conditionalFormatting>
  <conditionalFormatting sqref="P35">
    <cfRule type="cellIs" dxfId="6616" priority="664" operator="equal">
      <formula>"-"</formula>
    </cfRule>
    <cfRule type="cellIs" dxfId="6615" priority="665" operator="lessThan">
      <formula>0</formula>
    </cfRule>
    <cfRule type="cellIs" dxfId="6614" priority="666" operator="greaterThan">
      <formula>0</formula>
    </cfRule>
  </conditionalFormatting>
  <conditionalFormatting sqref="P46">
    <cfRule type="cellIs" dxfId="6613" priority="661" operator="equal">
      <formula>"-"</formula>
    </cfRule>
    <cfRule type="cellIs" dxfId="6612" priority="662" operator="lessThan">
      <formula>0</formula>
    </cfRule>
    <cfRule type="cellIs" dxfId="6611" priority="663" operator="greaterThan">
      <formula>0</formula>
    </cfRule>
  </conditionalFormatting>
  <conditionalFormatting sqref="P47">
    <cfRule type="cellIs" dxfId="6610" priority="658" operator="equal">
      <formula>"-"</formula>
    </cfRule>
    <cfRule type="cellIs" dxfId="6609" priority="659" operator="lessThan">
      <formula>0</formula>
    </cfRule>
    <cfRule type="cellIs" dxfId="6608" priority="660" operator="greaterThan">
      <formula>0</formula>
    </cfRule>
  </conditionalFormatting>
  <conditionalFormatting sqref="P48">
    <cfRule type="cellIs" dxfId="6607" priority="655" operator="equal">
      <formula>"-"</formula>
    </cfRule>
    <cfRule type="cellIs" dxfId="6606" priority="656" operator="lessThan">
      <formula>0</formula>
    </cfRule>
    <cfRule type="cellIs" dxfId="6605" priority="657" operator="greaterThan">
      <formula>0</formula>
    </cfRule>
  </conditionalFormatting>
  <conditionalFormatting sqref="P58">
    <cfRule type="cellIs" dxfId="6604" priority="652" operator="equal">
      <formula>"-"</formula>
    </cfRule>
    <cfRule type="cellIs" dxfId="6603" priority="653" operator="lessThan">
      <formula>0</formula>
    </cfRule>
    <cfRule type="cellIs" dxfId="6602" priority="654" operator="greaterThan">
      <formula>0</formula>
    </cfRule>
  </conditionalFormatting>
  <conditionalFormatting sqref="N2">
    <cfRule type="containsText" dxfId="6601" priority="641" operator="containsText" text="NEUTRO">
      <formula>NOT(ISERROR(SEARCH("NEUTRO",N2)))</formula>
    </cfRule>
    <cfRule type="containsText" dxfId="6600" priority="642" operator="containsText" text="BULLISH">
      <formula>NOT(ISERROR(SEARCH("BULLISH",N2)))</formula>
    </cfRule>
    <cfRule type="containsText" dxfId="6599" priority="643" operator="containsText" text="BEARISH">
      <formula>NOT(ISERROR(SEARCH("BEARISH",N2)))</formula>
    </cfRule>
    <cfRule type="containsBlanks" dxfId="6598" priority="644">
      <formula>LEN(TRIM(N2))=0</formula>
    </cfRule>
  </conditionalFormatting>
  <conditionalFormatting sqref="N12">
    <cfRule type="containsText" dxfId="6597" priority="637" operator="containsText" text="NEUTRO">
      <formula>NOT(ISERROR(SEARCH("NEUTRO",N12)))</formula>
    </cfRule>
    <cfRule type="containsText" dxfId="6596" priority="638" operator="containsText" text="BULLISH">
      <formula>NOT(ISERROR(SEARCH("BULLISH",N12)))</formula>
    </cfRule>
    <cfRule type="containsText" dxfId="6595" priority="639" operator="containsText" text="BEARISH">
      <formula>NOT(ISERROR(SEARCH("BEARISH",N12)))</formula>
    </cfRule>
    <cfRule type="containsBlanks" dxfId="6594" priority="640">
      <formula>LEN(TRIM(N12))=0</formula>
    </cfRule>
  </conditionalFormatting>
  <conditionalFormatting sqref="O18:P18">
    <cfRule type="containsText" dxfId="6593" priority="633" operator="containsText" text="NEUTRO">
      <formula>NOT(ISERROR(SEARCH("NEUTRO",O18)))</formula>
    </cfRule>
    <cfRule type="containsText" dxfId="6592" priority="634" operator="containsText" text="BULLISH">
      <formula>NOT(ISERROR(SEARCH("BULLISH",O18)))</formula>
    </cfRule>
    <cfRule type="containsText" dxfId="6591" priority="635" operator="containsText" text="BEARISH">
      <formula>NOT(ISERROR(SEARCH("BEARISH",O18)))</formula>
    </cfRule>
    <cfRule type="containsBlanks" dxfId="6590" priority="636">
      <formula>LEN(TRIM(O18))=0</formula>
    </cfRule>
  </conditionalFormatting>
  <conditionalFormatting sqref="N18">
    <cfRule type="containsText" dxfId="6589" priority="629" operator="containsText" text="NEUTRO">
      <formula>NOT(ISERROR(SEARCH("NEUTRO",N18)))</formula>
    </cfRule>
    <cfRule type="containsText" dxfId="6588" priority="630" operator="containsText" text="BULLISH">
      <formula>NOT(ISERROR(SEARCH("BULLISH",N18)))</formula>
    </cfRule>
    <cfRule type="containsText" dxfId="6587" priority="631" operator="containsText" text="BEARISH">
      <formula>NOT(ISERROR(SEARCH("BEARISH",N18)))</formula>
    </cfRule>
    <cfRule type="containsBlanks" dxfId="6586" priority="632">
      <formula>LEN(TRIM(N18))=0</formula>
    </cfRule>
  </conditionalFormatting>
  <conditionalFormatting sqref="N23">
    <cfRule type="containsText" dxfId="6585" priority="625" operator="containsText" text="NEUTRO">
      <formula>NOT(ISERROR(SEARCH("NEUTRO",N23)))</formula>
    </cfRule>
    <cfRule type="containsText" dxfId="6584" priority="626" operator="containsText" text="BULLISH">
      <formula>NOT(ISERROR(SEARCH("BULLISH",N23)))</formula>
    </cfRule>
    <cfRule type="containsText" dxfId="6583" priority="627" operator="containsText" text="BEARISH">
      <formula>NOT(ISERROR(SEARCH("BEARISH",N23)))</formula>
    </cfRule>
    <cfRule type="containsBlanks" dxfId="6582" priority="628">
      <formula>LEN(TRIM(N23))=0</formula>
    </cfRule>
  </conditionalFormatting>
  <conditionalFormatting sqref="N32">
    <cfRule type="containsText" dxfId="6581" priority="621" operator="containsText" text="NEUTRO">
      <formula>NOT(ISERROR(SEARCH("NEUTRO",N32)))</formula>
    </cfRule>
    <cfRule type="containsText" dxfId="6580" priority="622" operator="containsText" text="BULLISH">
      <formula>NOT(ISERROR(SEARCH("BULLISH",N32)))</formula>
    </cfRule>
    <cfRule type="containsText" dxfId="6579" priority="623" operator="containsText" text="BEARISH">
      <formula>NOT(ISERROR(SEARCH("BEARISH",N32)))</formula>
    </cfRule>
    <cfRule type="containsBlanks" dxfId="6578" priority="624">
      <formula>LEN(TRIM(N32))=0</formula>
    </cfRule>
  </conditionalFormatting>
  <conditionalFormatting sqref="N45">
    <cfRule type="containsText" dxfId="6577" priority="617" operator="containsText" text="NEUTRO">
      <formula>NOT(ISERROR(SEARCH("NEUTRO",N45)))</formula>
    </cfRule>
    <cfRule type="containsText" dxfId="6576" priority="618" operator="containsText" text="BULLISH">
      <formula>NOT(ISERROR(SEARCH("BULLISH",N45)))</formula>
    </cfRule>
    <cfRule type="containsText" dxfId="6575" priority="619" operator="containsText" text="BEARISH">
      <formula>NOT(ISERROR(SEARCH("BEARISH",N45)))</formula>
    </cfRule>
    <cfRule type="containsBlanks" dxfId="6574" priority="620">
      <formula>LEN(TRIM(N45))=0</formula>
    </cfRule>
  </conditionalFormatting>
  <conditionalFormatting sqref="N57">
    <cfRule type="containsText" dxfId="6573" priority="613" operator="containsText" text="NEUTRO">
      <formula>NOT(ISERROR(SEARCH("NEUTRO",N57)))</formula>
    </cfRule>
    <cfRule type="containsText" dxfId="6572" priority="614" operator="containsText" text="BULLISH">
      <formula>NOT(ISERROR(SEARCH("BULLISH",N57)))</formula>
    </cfRule>
    <cfRule type="containsText" dxfId="6571" priority="615" operator="containsText" text="BEARISH">
      <formula>NOT(ISERROR(SEARCH("BEARISH",N57)))</formula>
    </cfRule>
    <cfRule type="containsBlanks" dxfId="6570" priority="616">
      <formula>LEN(TRIM(N57))=0</formula>
    </cfRule>
  </conditionalFormatting>
  <conditionalFormatting sqref="M60:M629">
    <cfRule type="colorScale" priority="612">
      <colorScale>
        <cfvo type="formula" val="-0.0001"/>
        <cfvo type="formula" val="0"/>
        <cfvo type="formula" val="0.00001"/>
        <color rgb="FFF8696B"/>
        <color rgb="FFCCCCCC"/>
        <color rgb="FF57BB8A"/>
      </colorScale>
    </cfRule>
  </conditionalFormatting>
  <conditionalFormatting sqref="M21">
    <cfRule type="cellIs" dxfId="6569" priority="599" operator="equal">
      <formula>"-"</formula>
    </cfRule>
    <cfRule type="cellIs" dxfId="6568" priority="600" operator="lessThan">
      <formula>0</formula>
    </cfRule>
    <cfRule type="cellIs" dxfId="6567" priority="601" operator="greaterThan">
      <formula>0</formula>
    </cfRule>
  </conditionalFormatting>
  <conditionalFormatting sqref="M27">
    <cfRule type="cellIs" dxfId="6566" priority="596" operator="equal">
      <formula>"-"</formula>
    </cfRule>
    <cfRule type="cellIs" dxfId="6565" priority="597" operator="lessThan">
      <formula>0</formula>
    </cfRule>
    <cfRule type="cellIs" dxfId="6564" priority="598" operator="greaterThan">
      <formula>0</formula>
    </cfRule>
  </conditionalFormatting>
  <conditionalFormatting sqref="M39">
    <cfRule type="cellIs" dxfId="6563" priority="580" operator="equal">
      <formula>"-"</formula>
    </cfRule>
    <cfRule type="cellIs" dxfId="6562" priority="581" operator="lessThan">
      <formula>0</formula>
    </cfRule>
    <cfRule type="cellIs" dxfId="6561" priority="582" operator="greaterThan">
      <formula>0</formula>
    </cfRule>
  </conditionalFormatting>
  <conditionalFormatting sqref="M42">
    <cfRule type="cellIs" dxfId="6560" priority="577" operator="equal">
      <formula>"-"</formula>
    </cfRule>
    <cfRule type="cellIs" dxfId="6559" priority="578" operator="lessThan">
      <formula>0</formula>
    </cfRule>
    <cfRule type="cellIs" dxfId="6558" priority="579" operator="greaterThan">
      <formula>0</formula>
    </cfRule>
  </conditionalFormatting>
  <conditionalFormatting sqref="M37">
    <cfRule type="cellIs" dxfId="6557" priority="574" operator="equal">
      <formula>"-"</formula>
    </cfRule>
    <cfRule type="cellIs" dxfId="6556" priority="575" operator="lessThan">
      <formula>0</formula>
    </cfRule>
    <cfRule type="cellIs" dxfId="6555" priority="576" operator="greaterThan">
      <formula>0</formula>
    </cfRule>
  </conditionalFormatting>
  <conditionalFormatting sqref="M59">
    <cfRule type="cellIs" dxfId="6554" priority="496" operator="equal">
      <formula>"-"</formula>
    </cfRule>
    <cfRule type="cellIs" dxfId="6553" priority="497" operator="lessThan">
      <formula>0</formula>
    </cfRule>
    <cfRule type="cellIs" dxfId="6552" priority="498" operator="greaterThan">
      <formula>0</formula>
    </cfRule>
  </conditionalFormatting>
  <conditionalFormatting sqref="M7:M10">
    <cfRule type="cellIs" dxfId="6551" priority="608" operator="equal">
      <formula>"-"</formula>
    </cfRule>
    <cfRule type="cellIs" dxfId="6550" priority="609" operator="lessThan">
      <formula>0</formula>
    </cfRule>
    <cfRule type="cellIs" dxfId="6549" priority="610" operator="greaterThan">
      <formula>0</formula>
    </cfRule>
  </conditionalFormatting>
  <conditionalFormatting sqref="M11">
    <cfRule type="colorScale" priority="611">
      <colorScale>
        <cfvo type="formula" val="-0.0001"/>
        <cfvo type="formula" val="0"/>
        <cfvo type="formula" val="0.00001"/>
        <color rgb="FFF8696B"/>
        <color rgb="FFCCCCCC"/>
        <color rgb="FF57BB8A"/>
      </colorScale>
    </cfRule>
  </conditionalFormatting>
  <conditionalFormatting sqref="M16">
    <cfRule type="cellIs" dxfId="6548" priority="605" operator="equal">
      <formula>"-"</formula>
    </cfRule>
    <cfRule type="cellIs" dxfId="6547" priority="606" operator="lessThan">
      <formula>0</formula>
    </cfRule>
    <cfRule type="cellIs" dxfId="6546" priority="607" operator="greaterThan">
      <formula>0</formula>
    </cfRule>
  </conditionalFormatting>
  <conditionalFormatting sqref="M22">
    <cfRule type="cellIs" dxfId="6545" priority="602" operator="equal">
      <formula>"-"</formula>
    </cfRule>
    <cfRule type="cellIs" dxfId="6544" priority="603" operator="lessThan">
      <formula>0</formula>
    </cfRule>
    <cfRule type="cellIs" dxfId="6543" priority="604" operator="greaterThan">
      <formula>0</formula>
    </cfRule>
  </conditionalFormatting>
  <conditionalFormatting sqref="M26">
    <cfRule type="cellIs" dxfId="6542" priority="590" operator="equal">
      <formula>"-"</formula>
    </cfRule>
    <cfRule type="cellIs" dxfId="6541" priority="591" operator="lessThan">
      <formula>0</formula>
    </cfRule>
    <cfRule type="cellIs" dxfId="6540" priority="592" operator="greaterThan">
      <formula>0</formula>
    </cfRule>
  </conditionalFormatting>
  <conditionalFormatting sqref="M28">
    <cfRule type="cellIs" dxfId="6539" priority="593" operator="equal">
      <formula>"-"</formula>
    </cfRule>
    <cfRule type="cellIs" dxfId="6538" priority="594" operator="lessThan">
      <formula>0</formula>
    </cfRule>
    <cfRule type="cellIs" dxfId="6537" priority="595" operator="greaterThan">
      <formula>0</formula>
    </cfRule>
  </conditionalFormatting>
  <conditionalFormatting sqref="M29">
    <cfRule type="cellIs" dxfId="6536" priority="587" operator="equal">
      <formula>"-"</formula>
    </cfRule>
    <cfRule type="cellIs" dxfId="6535" priority="588" operator="lessThan">
      <formula>0</formula>
    </cfRule>
    <cfRule type="cellIs" dxfId="6534" priority="589" operator="greaterThan">
      <formula>0</formula>
    </cfRule>
  </conditionalFormatting>
  <conditionalFormatting sqref="M30:M31">
    <cfRule type="cellIs" dxfId="6533" priority="584" operator="equal">
      <formula>"-"</formula>
    </cfRule>
    <cfRule type="cellIs" dxfId="6532" priority="585" operator="lessThan">
      <formula>0</formula>
    </cfRule>
    <cfRule type="cellIs" dxfId="6531" priority="586" operator="greaterThan">
      <formula>0</formula>
    </cfRule>
  </conditionalFormatting>
  <conditionalFormatting sqref="M38">
    <cfRule type="cellIs" dxfId="6530" priority="571" operator="equal">
      <formula>"-"</formula>
    </cfRule>
    <cfRule type="cellIs" dxfId="6529" priority="572" operator="lessThan">
      <formula>0</formula>
    </cfRule>
    <cfRule type="cellIs" dxfId="6528" priority="573" operator="greaterThan">
      <formula>0</formula>
    </cfRule>
  </conditionalFormatting>
  <conditionalFormatting sqref="M40">
    <cfRule type="cellIs" dxfId="6527" priority="568" operator="equal">
      <formula>"-"</formula>
    </cfRule>
    <cfRule type="cellIs" dxfId="6526" priority="569" operator="lessThan">
      <formula>0</formula>
    </cfRule>
    <cfRule type="cellIs" dxfId="6525" priority="570" operator="greaterThan">
      <formula>0</formula>
    </cfRule>
  </conditionalFormatting>
  <conditionalFormatting sqref="M41">
    <cfRule type="cellIs" dxfId="6524" priority="565" operator="equal">
      <formula>"-"</formula>
    </cfRule>
    <cfRule type="cellIs" dxfId="6523" priority="566" operator="lessThan">
      <formula>0</formula>
    </cfRule>
    <cfRule type="cellIs" dxfId="6522" priority="567" operator="greaterThan">
      <formula>0</formula>
    </cfRule>
  </conditionalFormatting>
  <conditionalFormatting sqref="M43">
    <cfRule type="cellIs" dxfId="6521" priority="562" operator="equal">
      <formula>"-"</formula>
    </cfRule>
    <cfRule type="cellIs" dxfId="6520" priority="563" operator="lessThan">
      <formula>0</formula>
    </cfRule>
    <cfRule type="cellIs" dxfId="6519" priority="564" operator="greaterThan">
      <formula>0</formula>
    </cfRule>
  </conditionalFormatting>
  <conditionalFormatting sqref="M44">
    <cfRule type="colorScale" priority="583">
      <colorScale>
        <cfvo type="formula" val="-0.0001"/>
        <cfvo type="formula" val="0"/>
        <cfvo type="formula" val="0.00001"/>
        <color rgb="FFF8696B"/>
        <color rgb="FFCCCCCC"/>
        <color rgb="FF57BB8A"/>
      </colorScale>
    </cfRule>
  </conditionalFormatting>
  <conditionalFormatting sqref="M49">
    <cfRule type="cellIs" dxfId="6518" priority="559" operator="equal">
      <formula>"-"</formula>
    </cfRule>
    <cfRule type="cellIs" dxfId="6517" priority="560" operator="lessThan">
      <formula>0</formula>
    </cfRule>
    <cfRule type="cellIs" dxfId="6516" priority="561" operator="greaterThan">
      <formula>0</formula>
    </cfRule>
  </conditionalFormatting>
  <conditionalFormatting sqref="M50">
    <cfRule type="cellIs" dxfId="6515" priority="556" operator="equal">
      <formula>"-"</formula>
    </cfRule>
    <cfRule type="cellIs" dxfId="6514" priority="557" operator="lessThan">
      <formula>0</formula>
    </cfRule>
    <cfRule type="cellIs" dxfId="6513" priority="558" operator="greaterThan">
      <formula>0</formula>
    </cfRule>
  </conditionalFormatting>
  <conditionalFormatting sqref="M51">
    <cfRule type="cellIs" dxfId="6512" priority="553" operator="equal">
      <formula>"-"</formula>
    </cfRule>
    <cfRule type="cellIs" dxfId="6511" priority="554" operator="lessThan">
      <formula>0</formula>
    </cfRule>
    <cfRule type="cellIs" dxfId="6510" priority="555" operator="greaterThan">
      <formula>0</formula>
    </cfRule>
  </conditionalFormatting>
  <conditionalFormatting sqref="M52">
    <cfRule type="cellIs" dxfId="6509" priority="550" operator="equal">
      <formula>"-"</formula>
    </cfRule>
    <cfRule type="cellIs" dxfId="6508" priority="551" operator="lessThan">
      <formula>0</formula>
    </cfRule>
    <cfRule type="cellIs" dxfId="6507" priority="552" operator="greaterThan">
      <formula>0</formula>
    </cfRule>
  </conditionalFormatting>
  <conditionalFormatting sqref="M53">
    <cfRule type="cellIs" dxfId="6506" priority="547" operator="equal">
      <formula>"-"</formula>
    </cfRule>
    <cfRule type="cellIs" dxfId="6505" priority="548" operator="lessThan">
      <formula>0</formula>
    </cfRule>
    <cfRule type="cellIs" dxfId="6504" priority="549" operator="greaterThan">
      <formula>0</formula>
    </cfRule>
  </conditionalFormatting>
  <conditionalFormatting sqref="M54">
    <cfRule type="cellIs" dxfId="6503" priority="541" operator="equal">
      <formula>"-"</formula>
    </cfRule>
    <cfRule type="cellIs" dxfId="6502" priority="542" operator="lessThan">
      <formula>0</formula>
    </cfRule>
    <cfRule type="cellIs" dxfId="6501" priority="543" operator="greaterThan">
      <formula>0</formula>
    </cfRule>
  </conditionalFormatting>
  <conditionalFormatting sqref="M55">
    <cfRule type="cellIs" dxfId="6500" priority="544" operator="equal">
      <formula>"-"</formula>
    </cfRule>
    <cfRule type="cellIs" dxfId="6499" priority="545" operator="lessThan">
      <formula>0</formula>
    </cfRule>
    <cfRule type="cellIs" dxfId="6498" priority="546" operator="greaterThan">
      <formula>0</formula>
    </cfRule>
  </conditionalFormatting>
  <conditionalFormatting sqref="M3:M6">
    <cfRule type="cellIs" dxfId="6497" priority="538" operator="equal">
      <formula>"-"</formula>
    </cfRule>
    <cfRule type="cellIs" dxfId="6496" priority="539" operator="lessThan">
      <formula>0</formula>
    </cfRule>
    <cfRule type="cellIs" dxfId="6495" priority="540" operator="greaterThan">
      <formula>0</formula>
    </cfRule>
  </conditionalFormatting>
  <conditionalFormatting sqref="M13:M15">
    <cfRule type="cellIs" dxfId="6494" priority="535" operator="equal">
      <formula>"-"</formula>
    </cfRule>
    <cfRule type="cellIs" dxfId="6493" priority="536" operator="lessThan">
      <formula>0</formula>
    </cfRule>
    <cfRule type="cellIs" dxfId="6492" priority="537" operator="greaterThan">
      <formula>0</formula>
    </cfRule>
  </conditionalFormatting>
  <conditionalFormatting sqref="M19">
    <cfRule type="cellIs" dxfId="6491" priority="532" operator="equal">
      <formula>"-"</formula>
    </cfRule>
    <cfRule type="cellIs" dxfId="6490" priority="533" operator="lessThan">
      <formula>0</formula>
    </cfRule>
    <cfRule type="cellIs" dxfId="6489" priority="534" operator="greaterThan">
      <formula>0</formula>
    </cfRule>
  </conditionalFormatting>
  <conditionalFormatting sqref="M20">
    <cfRule type="cellIs" dxfId="6488" priority="530" operator="lessThan">
      <formula>0</formula>
    </cfRule>
    <cfRule type="cellIs" dxfId="6487" priority="531" operator="greaterThan">
      <formula>0</formula>
    </cfRule>
  </conditionalFormatting>
  <conditionalFormatting sqref="M20">
    <cfRule type="cellIs" dxfId="6486" priority="529" operator="equal">
      <formula>"-"</formula>
    </cfRule>
  </conditionalFormatting>
  <conditionalFormatting sqref="M24">
    <cfRule type="cellIs" dxfId="6485" priority="526" operator="equal">
      <formula>"-"</formula>
    </cfRule>
    <cfRule type="cellIs" dxfId="6484" priority="527" operator="lessThan">
      <formula>0</formula>
    </cfRule>
    <cfRule type="cellIs" dxfId="6483" priority="528" operator="greaterThan">
      <formula>0</formula>
    </cfRule>
  </conditionalFormatting>
  <conditionalFormatting sqref="M25">
    <cfRule type="cellIs" dxfId="6482" priority="523" operator="equal">
      <formula>"-"</formula>
    </cfRule>
    <cfRule type="cellIs" dxfId="6481" priority="524" operator="lessThan">
      <formula>0</formula>
    </cfRule>
    <cfRule type="cellIs" dxfId="6480" priority="525" operator="greaterThan">
      <formula>0</formula>
    </cfRule>
  </conditionalFormatting>
  <conditionalFormatting sqref="M33">
    <cfRule type="cellIs" dxfId="6479" priority="520" operator="equal">
      <formula>"-"</formula>
    </cfRule>
    <cfRule type="cellIs" dxfId="6478" priority="521" operator="lessThan">
      <formula>0</formula>
    </cfRule>
    <cfRule type="cellIs" dxfId="6477" priority="522" operator="greaterThan">
      <formula>0</formula>
    </cfRule>
  </conditionalFormatting>
  <conditionalFormatting sqref="M34">
    <cfRule type="cellIs" dxfId="6476" priority="517" operator="equal">
      <formula>"-"</formula>
    </cfRule>
    <cfRule type="cellIs" dxfId="6475" priority="518" operator="lessThan">
      <formula>0</formula>
    </cfRule>
    <cfRule type="cellIs" dxfId="6474" priority="519" operator="greaterThan">
      <formula>0</formula>
    </cfRule>
  </conditionalFormatting>
  <conditionalFormatting sqref="M36">
    <cfRule type="cellIs" dxfId="6473" priority="514" operator="equal">
      <formula>"-"</formula>
    </cfRule>
    <cfRule type="cellIs" dxfId="6472" priority="515" operator="lessThan">
      <formula>0</formula>
    </cfRule>
    <cfRule type="cellIs" dxfId="6471" priority="516" operator="greaterThan">
      <formula>0</formula>
    </cfRule>
  </conditionalFormatting>
  <conditionalFormatting sqref="M35">
    <cfRule type="cellIs" dxfId="6470" priority="511" operator="equal">
      <formula>"-"</formula>
    </cfRule>
    <cfRule type="cellIs" dxfId="6469" priority="512" operator="lessThan">
      <formula>0</formula>
    </cfRule>
    <cfRule type="cellIs" dxfId="6468" priority="513" operator="greaterThan">
      <formula>0</formula>
    </cfRule>
  </conditionalFormatting>
  <conditionalFormatting sqref="M46">
    <cfRule type="cellIs" dxfId="6467" priority="508" operator="equal">
      <formula>"-"</formula>
    </cfRule>
    <cfRule type="cellIs" dxfId="6466" priority="509" operator="lessThan">
      <formula>0</formula>
    </cfRule>
    <cfRule type="cellIs" dxfId="6465" priority="510" operator="greaterThan">
      <formula>0</formula>
    </cfRule>
  </conditionalFormatting>
  <conditionalFormatting sqref="M47">
    <cfRule type="cellIs" dxfId="6464" priority="505" operator="equal">
      <formula>"-"</formula>
    </cfRule>
    <cfRule type="cellIs" dxfId="6463" priority="506" operator="lessThan">
      <formula>0</formula>
    </cfRule>
    <cfRule type="cellIs" dxfId="6462" priority="507" operator="greaterThan">
      <formula>0</formula>
    </cfRule>
  </conditionalFormatting>
  <conditionalFormatting sqref="M48">
    <cfRule type="cellIs" dxfId="6461" priority="502" operator="equal">
      <formula>"-"</formula>
    </cfRule>
    <cfRule type="cellIs" dxfId="6460" priority="503" operator="lessThan">
      <formula>0</formula>
    </cfRule>
    <cfRule type="cellIs" dxfId="6459" priority="504" operator="greaterThan">
      <formula>0</formula>
    </cfRule>
  </conditionalFormatting>
  <conditionalFormatting sqref="M58">
    <cfRule type="cellIs" dxfId="6458" priority="499" operator="equal">
      <formula>"-"</formula>
    </cfRule>
    <cfRule type="cellIs" dxfId="6457" priority="500" operator="lessThan">
      <formula>0</formula>
    </cfRule>
    <cfRule type="cellIs" dxfId="6456" priority="501" operator="greaterThan">
      <formula>0</formula>
    </cfRule>
  </conditionalFormatting>
  <conditionalFormatting sqref="K2">
    <cfRule type="containsText" dxfId="6455" priority="488" operator="containsText" text="NEUTRO">
      <formula>NOT(ISERROR(SEARCH("NEUTRO",K2)))</formula>
    </cfRule>
    <cfRule type="containsText" dxfId="6454" priority="489" operator="containsText" text="BULLISH">
      <formula>NOT(ISERROR(SEARCH("BULLISH",K2)))</formula>
    </cfRule>
    <cfRule type="containsText" dxfId="6453" priority="490" operator="containsText" text="BEARISH">
      <formula>NOT(ISERROR(SEARCH("BEARISH",K2)))</formula>
    </cfRule>
    <cfRule type="containsBlanks" dxfId="6452" priority="491">
      <formula>LEN(TRIM(K2))=0</formula>
    </cfRule>
  </conditionalFormatting>
  <conditionalFormatting sqref="K12">
    <cfRule type="containsText" dxfId="6451" priority="484" operator="containsText" text="NEUTRO">
      <formula>NOT(ISERROR(SEARCH("NEUTRO",K12)))</formula>
    </cfRule>
    <cfRule type="containsText" dxfId="6450" priority="485" operator="containsText" text="BULLISH">
      <formula>NOT(ISERROR(SEARCH("BULLISH",K12)))</formula>
    </cfRule>
    <cfRule type="containsText" dxfId="6449" priority="486" operator="containsText" text="BEARISH">
      <formula>NOT(ISERROR(SEARCH("BEARISH",K12)))</formula>
    </cfRule>
    <cfRule type="containsBlanks" dxfId="6448" priority="487">
      <formula>LEN(TRIM(K12))=0</formula>
    </cfRule>
  </conditionalFormatting>
  <conditionalFormatting sqref="L18:M18">
    <cfRule type="containsText" dxfId="6447" priority="480" operator="containsText" text="NEUTRO">
      <formula>NOT(ISERROR(SEARCH("NEUTRO",L18)))</formula>
    </cfRule>
    <cfRule type="containsText" dxfId="6446" priority="481" operator="containsText" text="BULLISH">
      <formula>NOT(ISERROR(SEARCH("BULLISH",L18)))</formula>
    </cfRule>
    <cfRule type="containsText" dxfId="6445" priority="482" operator="containsText" text="BEARISH">
      <formula>NOT(ISERROR(SEARCH("BEARISH",L18)))</formula>
    </cfRule>
    <cfRule type="containsBlanks" dxfId="6444" priority="483">
      <formula>LEN(TRIM(L18))=0</formula>
    </cfRule>
  </conditionalFormatting>
  <conditionalFormatting sqref="K18">
    <cfRule type="containsText" dxfId="6443" priority="476" operator="containsText" text="NEUTRO">
      <formula>NOT(ISERROR(SEARCH("NEUTRO",K18)))</formula>
    </cfRule>
    <cfRule type="containsText" dxfId="6442" priority="477" operator="containsText" text="BULLISH">
      <formula>NOT(ISERROR(SEARCH("BULLISH",K18)))</formula>
    </cfRule>
    <cfRule type="containsText" dxfId="6441" priority="478" operator="containsText" text="BEARISH">
      <formula>NOT(ISERROR(SEARCH("BEARISH",K18)))</formula>
    </cfRule>
    <cfRule type="containsBlanks" dxfId="6440" priority="479">
      <formula>LEN(TRIM(K18))=0</formula>
    </cfRule>
  </conditionalFormatting>
  <conditionalFormatting sqref="K23">
    <cfRule type="containsText" dxfId="6439" priority="472" operator="containsText" text="NEUTRO">
      <formula>NOT(ISERROR(SEARCH("NEUTRO",K23)))</formula>
    </cfRule>
    <cfRule type="containsText" dxfId="6438" priority="473" operator="containsText" text="BULLISH">
      <formula>NOT(ISERROR(SEARCH("BULLISH",K23)))</formula>
    </cfRule>
    <cfRule type="containsText" dxfId="6437" priority="474" operator="containsText" text="BEARISH">
      <formula>NOT(ISERROR(SEARCH("BEARISH",K23)))</formula>
    </cfRule>
    <cfRule type="containsBlanks" dxfId="6436" priority="475">
      <formula>LEN(TRIM(K23))=0</formula>
    </cfRule>
  </conditionalFormatting>
  <conditionalFormatting sqref="K32">
    <cfRule type="containsText" dxfId="6435" priority="468" operator="containsText" text="NEUTRO">
      <formula>NOT(ISERROR(SEARCH("NEUTRO",K32)))</formula>
    </cfRule>
    <cfRule type="containsText" dxfId="6434" priority="469" operator="containsText" text="BULLISH">
      <formula>NOT(ISERROR(SEARCH("BULLISH",K32)))</formula>
    </cfRule>
    <cfRule type="containsText" dxfId="6433" priority="470" operator="containsText" text="BEARISH">
      <formula>NOT(ISERROR(SEARCH("BEARISH",K32)))</formula>
    </cfRule>
    <cfRule type="containsBlanks" dxfId="6432" priority="471">
      <formula>LEN(TRIM(K32))=0</formula>
    </cfRule>
  </conditionalFormatting>
  <conditionalFormatting sqref="K45">
    <cfRule type="containsText" dxfId="6431" priority="464" operator="containsText" text="NEUTRO">
      <formula>NOT(ISERROR(SEARCH("NEUTRO",K45)))</formula>
    </cfRule>
    <cfRule type="containsText" dxfId="6430" priority="465" operator="containsText" text="BULLISH">
      <formula>NOT(ISERROR(SEARCH("BULLISH",K45)))</formula>
    </cfRule>
    <cfRule type="containsText" dxfId="6429" priority="466" operator="containsText" text="BEARISH">
      <formula>NOT(ISERROR(SEARCH("BEARISH",K45)))</formula>
    </cfRule>
    <cfRule type="containsBlanks" dxfId="6428" priority="467">
      <formula>LEN(TRIM(K45))=0</formula>
    </cfRule>
  </conditionalFormatting>
  <conditionalFormatting sqref="K57">
    <cfRule type="containsText" dxfId="6427" priority="460" operator="containsText" text="NEUTRO">
      <formula>NOT(ISERROR(SEARCH("NEUTRO",K57)))</formula>
    </cfRule>
    <cfRule type="containsText" dxfId="6426" priority="461" operator="containsText" text="BULLISH">
      <formula>NOT(ISERROR(SEARCH("BULLISH",K57)))</formula>
    </cfRule>
    <cfRule type="containsText" dxfId="6425" priority="462" operator="containsText" text="BEARISH">
      <formula>NOT(ISERROR(SEARCH("BEARISH",K57)))</formula>
    </cfRule>
    <cfRule type="containsBlanks" dxfId="6424" priority="463">
      <formula>LEN(TRIM(K57))=0</formula>
    </cfRule>
  </conditionalFormatting>
  <conditionalFormatting sqref="J60:J629">
    <cfRule type="colorScale" priority="459">
      <colorScale>
        <cfvo type="formula" val="-0.0001"/>
        <cfvo type="formula" val="0"/>
        <cfvo type="formula" val="0.00001"/>
        <color rgb="FFF8696B"/>
        <color rgb="FFCCCCCC"/>
        <color rgb="FF57BB8A"/>
      </colorScale>
    </cfRule>
  </conditionalFormatting>
  <conditionalFormatting sqref="J21">
    <cfRule type="cellIs" dxfId="6423" priority="446" operator="equal">
      <formula>"-"</formula>
    </cfRule>
    <cfRule type="cellIs" dxfId="6422" priority="447" operator="lessThan">
      <formula>0</formula>
    </cfRule>
    <cfRule type="cellIs" dxfId="6421" priority="448" operator="greaterThan">
      <formula>0</formula>
    </cfRule>
  </conditionalFormatting>
  <conditionalFormatting sqref="J27">
    <cfRule type="cellIs" dxfId="6420" priority="443" operator="equal">
      <formula>"-"</formula>
    </cfRule>
    <cfRule type="cellIs" dxfId="6419" priority="444" operator="lessThan">
      <formula>0</formula>
    </cfRule>
    <cfRule type="cellIs" dxfId="6418" priority="445" operator="greaterThan">
      <formula>0</formula>
    </cfRule>
  </conditionalFormatting>
  <conditionalFormatting sqref="J39">
    <cfRule type="cellIs" dxfId="6417" priority="427" operator="equal">
      <formula>"-"</formula>
    </cfRule>
    <cfRule type="cellIs" dxfId="6416" priority="428" operator="lessThan">
      <formula>0</formula>
    </cfRule>
    <cfRule type="cellIs" dxfId="6415" priority="429" operator="greaterThan">
      <formula>0</formula>
    </cfRule>
  </conditionalFormatting>
  <conditionalFormatting sqref="J42">
    <cfRule type="cellIs" dxfId="6414" priority="424" operator="equal">
      <formula>"-"</formula>
    </cfRule>
    <cfRule type="cellIs" dxfId="6413" priority="425" operator="lessThan">
      <formula>0</formula>
    </cfRule>
    <cfRule type="cellIs" dxfId="6412" priority="426" operator="greaterThan">
      <formula>0</formula>
    </cfRule>
  </conditionalFormatting>
  <conditionalFormatting sqref="J37">
    <cfRule type="cellIs" dxfId="6411" priority="421" operator="equal">
      <formula>"-"</formula>
    </cfRule>
    <cfRule type="cellIs" dxfId="6410" priority="422" operator="lessThan">
      <formula>0</formula>
    </cfRule>
    <cfRule type="cellIs" dxfId="6409" priority="423" operator="greaterThan">
      <formula>0</formula>
    </cfRule>
  </conditionalFormatting>
  <conditionalFormatting sqref="J59">
    <cfRule type="cellIs" dxfId="6408" priority="343" operator="equal">
      <formula>"-"</formula>
    </cfRule>
    <cfRule type="cellIs" dxfId="6407" priority="344" operator="lessThan">
      <formula>0</formula>
    </cfRule>
    <cfRule type="cellIs" dxfId="6406" priority="345" operator="greaterThan">
      <formula>0</formula>
    </cfRule>
  </conditionalFormatting>
  <conditionalFormatting sqref="J7:J10">
    <cfRule type="cellIs" dxfId="6405" priority="455" operator="equal">
      <formula>"-"</formula>
    </cfRule>
    <cfRule type="cellIs" dxfId="6404" priority="456" operator="lessThan">
      <formula>0</formula>
    </cfRule>
    <cfRule type="cellIs" dxfId="6403" priority="457" operator="greaterThan">
      <formula>0</formula>
    </cfRule>
  </conditionalFormatting>
  <conditionalFormatting sqref="J11">
    <cfRule type="colorScale" priority="458">
      <colorScale>
        <cfvo type="formula" val="-0.0001"/>
        <cfvo type="formula" val="0"/>
        <cfvo type="formula" val="0.00001"/>
        <color rgb="FFF8696B"/>
        <color rgb="FFCCCCCC"/>
        <color rgb="FF57BB8A"/>
      </colorScale>
    </cfRule>
  </conditionalFormatting>
  <conditionalFormatting sqref="J16">
    <cfRule type="cellIs" dxfId="6402" priority="452" operator="equal">
      <formula>"-"</formula>
    </cfRule>
    <cfRule type="cellIs" dxfId="6401" priority="453" operator="lessThan">
      <formula>0</formula>
    </cfRule>
    <cfRule type="cellIs" dxfId="6400" priority="454" operator="greaterThan">
      <formula>0</formula>
    </cfRule>
  </conditionalFormatting>
  <conditionalFormatting sqref="J22">
    <cfRule type="cellIs" dxfId="6399" priority="449" operator="equal">
      <formula>"-"</formula>
    </cfRule>
    <cfRule type="cellIs" dxfId="6398" priority="450" operator="lessThan">
      <formula>0</formula>
    </cfRule>
    <cfRule type="cellIs" dxfId="6397" priority="451" operator="greaterThan">
      <formula>0</formula>
    </cfRule>
  </conditionalFormatting>
  <conditionalFormatting sqref="J26">
    <cfRule type="cellIs" dxfId="6396" priority="437" operator="equal">
      <formula>"-"</formula>
    </cfRule>
    <cfRule type="cellIs" dxfId="6395" priority="438" operator="lessThan">
      <formula>0</formula>
    </cfRule>
    <cfRule type="cellIs" dxfId="6394" priority="439" operator="greaterThan">
      <formula>0</formula>
    </cfRule>
  </conditionalFormatting>
  <conditionalFormatting sqref="J28">
    <cfRule type="cellIs" dxfId="6393" priority="440" operator="equal">
      <formula>"-"</formula>
    </cfRule>
    <cfRule type="cellIs" dxfId="6392" priority="441" operator="lessThan">
      <formula>0</formula>
    </cfRule>
    <cfRule type="cellIs" dxfId="6391" priority="442" operator="greaterThan">
      <formula>0</formula>
    </cfRule>
  </conditionalFormatting>
  <conditionalFormatting sqref="J29">
    <cfRule type="cellIs" dxfId="6390" priority="434" operator="equal">
      <formula>"-"</formula>
    </cfRule>
    <cfRule type="cellIs" dxfId="6389" priority="435" operator="lessThan">
      <formula>0</formula>
    </cfRule>
    <cfRule type="cellIs" dxfId="6388" priority="436" operator="greaterThan">
      <formula>0</formula>
    </cfRule>
  </conditionalFormatting>
  <conditionalFormatting sqref="J30:J31">
    <cfRule type="cellIs" dxfId="6387" priority="431" operator="equal">
      <formula>"-"</formula>
    </cfRule>
    <cfRule type="cellIs" dxfId="6386" priority="432" operator="lessThan">
      <formula>0</formula>
    </cfRule>
    <cfRule type="cellIs" dxfId="6385" priority="433" operator="greaterThan">
      <formula>0</formula>
    </cfRule>
  </conditionalFormatting>
  <conditionalFormatting sqref="J38">
    <cfRule type="cellIs" dxfId="6384" priority="418" operator="equal">
      <formula>"-"</formula>
    </cfRule>
    <cfRule type="cellIs" dxfId="6383" priority="419" operator="lessThan">
      <formula>0</formula>
    </cfRule>
    <cfRule type="cellIs" dxfId="6382" priority="420" operator="greaterThan">
      <formula>0</formula>
    </cfRule>
  </conditionalFormatting>
  <conditionalFormatting sqref="J40">
    <cfRule type="cellIs" dxfId="6381" priority="415" operator="equal">
      <formula>"-"</formula>
    </cfRule>
    <cfRule type="cellIs" dxfId="6380" priority="416" operator="lessThan">
      <formula>0</formula>
    </cfRule>
    <cfRule type="cellIs" dxfId="6379" priority="417" operator="greaterThan">
      <formula>0</formula>
    </cfRule>
  </conditionalFormatting>
  <conditionalFormatting sqref="J41">
    <cfRule type="cellIs" dxfId="6378" priority="412" operator="equal">
      <formula>"-"</formula>
    </cfRule>
    <cfRule type="cellIs" dxfId="6377" priority="413" operator="lessThan">
      <formula>0</formula>
    </cfRule>
    <cfRule type="cellIs" dxfId="6376" priority="414" operator="greaterThan">
      <formula>0</formula>
    </cfRule>
  </conditionalFormatting>
  <conditionalFormatting sqref="J43">
    <cfRule type="cellIs" dxfId="6375" priority="409" operator="equal">
      <formula>"-"</formula>
    </cfRule>
    <cfRule type="cellIs" dxfId="6374" priority="410" operator="lessThan">
      <formula>0</formula>
    </cfRule>
    <cfRule type="cellIs" dxfId="6373" priority="411" operator="greaterThan">
      <formula>0</formula>
    </cfRule>
  </conditionalFormatting>
  <conditionalFormatting sqref="J44">
    <cfRule type="colorScale" priority="430">
      <colorScale>
        <cfvo type="formula" val="-0.0001"/>
        <cfvo type="formula" val="0"/>
        <cfvo type="formula" val="0.00001"/>
        <color rgb="FFF8696B"/>
        <color rgb="FFCCCCCC"/>
        <color rgb="FF57BB8A"/>
      </colorScale>
    </cfRule>
  </conditionalFormatting>
  <conditionalFormatting sqref="J49">
    <cfRule type="cellIs" dxfId="6372" priority="406" operator="equal">
      <formula>"-"</formula>
    </cfRule>
    <cfRule type="cellIs" dxfId="6371" priority="407" operator="lessThan">
      <formula>0</formula>
    </cfRule>
    <cfRule type="cellIs" dxfId="6370" priority="408" operator="greaterThan">
      <formula>0</formula>
    </cfRule>
  </conditionalFormatting>
  <conditionalFormatting sqref="J50">
    <cfRule type="cellIs" dxfId="6369" priority="403" operator="equal">
      <formula>"-"</formula>
    </cfRule>
    <cfRule type="cellIs" dxfId="6368" priority="404" operator="lessThan">
      <formula>0</formula>
    </cfRule>
    <cfRule type="cellIs" dxfId="6367" priority="405" operator="greaterThan">
      <formula>0</formula>
    </cfRule>
  </conditionalFormatting>
  <conditionalFormatting sqref="J51">
    <cfRule type="cellIs" dxfId="6366" priority="400" operator="equal">
      <formula>"-"</formula>
    </cfRule>
    <cfRule type="cellIs" dxfId="6365" priority="401" operator="lessThan">
      <formula>0</formula>
    </cfRule>
    <cfRule type="cellIs" dxfId="6364" priority="402" operator="greaterThan">
      <formula>0</formula>
    </cfRule>
  </conditionalFormatting>
  <conditionalFormatting sqref="J52">
    <cfRule type="cellIs" dxfId="6363" priority="397" operator="equal">
      <formula>"-"</formula>
    </cfRule>
    <cfRule type="cellIs" dxfId="6362" priority="398" operator="lessThan">
      <formula>0</formula>
    </cfRule>
    <cfRule type="cellIs" dxfId="6361" priority="399" operator="greaterThan">
      <formula>0</formula>
    </cfRule>
  </conditionalFormatting>
  <conditionalFormatting sqref="J53">
    <cfRule type="cellIs" dxfId="6360" priority="394" operator="equal">
      <formula>"-"</formula>
    </cfRule>
    <cfRule type="cellIs" dxfId="6359" priority="395" operator="lessThan">
      <formula>0</formula>
    </cfRule>
    <cfRule type="cellIs" dxfId="6358" priority="396" operator="greaterThan">
      <formula>0</formula>
    </cfRule>
  </conditionalFormatting>
  <conditionalFormatting sqref="J54">
    <cfRule type="cellIs" dxfId="6357" priority="388" operator="equal">
      <formula>"-"</formula>
    </cfRule>
    <cfRule type="cellIs" dxfId="6356" priority="389" operator="lessThan">
      <formula>0</formula>
    </cfRule>
    <cfRule type="cellIs" dxfId="6355" priority="390" operator="greaterThan">
      <formula>0</formula>
    </cfRule>
  </conditionalFormatting>
  <conditionalFormatting sqref="J55">
    <cfRule type="cellIs" dxfId="6354" priority="391" operator="equal">
      <formula>"-"</formula>
    </cfRule>
    <cfRule type="cellIs" dxfId="6353" priority="392" operator="lessThan">
      <formula>0</formula>
    </cfRule>
    <cfRule type="cellIs" dxfId="6352" priority="393" operator="greaterThan">
      <formula>0</formula>
    </cfRule>
  </conditionalFormatting>
  <conditionalFormatting sqref="J3:J6">
    <cfRule type="cellIs" dxfId="6351" priority="385" operator="equal">
      <formula>"-"</formula>
    </cfRule>
    <cfRule type="cellIs" dxfId="6350" priority="386" operator="lessThan">
      <formula>0</formula>
    </cfRule>
    <cfRule type="cellIs" dxfId="6349" priority="387" operator="greaterThan">
      <formula>0</formula>
    </cfRule>
  </conditionalFormatting>
  <conditionalFormatting sqref="J13:J15">
    <cfRule type="cellIs" dxfId="6348" priority="382" operator="equal">
      <formula>"-"</formula>
    </cfRule>
    <cfRule type="cellIs" dxfId="6347" priority="383" operator="lessThan">
      <formula>0</formula>
    </cfRule>
    <cfRule type="cellIs" dxfId="6346" priority="384" operator="greaterThan">
      <formula>0</formula>
    </cfRule>
  </conditionalFormatting>
  <conditionalFormatting sqref="J19">
    <cfRule type="cellIs" dxfId="6345" priority="379" operator="equal">
      <formula>"-"</formula>
    </cfRule>
    <cfRule type="cellIs" dxfId="6344" priority="380" operator="lessThan">
      <formula>0</formula>
    </cfRule>
    <cfRule type="cellIs" dxfId="6343" priority="381" operator="greaterThan">
      <formula>0</formula>
    </cfRule>
  </conditionalFormatting>
  <conditionalFormatting sqref="J20">
    <cfRule type="cellIs" dxfId="6342" priority="377" operator="lessThan">
      <formula>0</formula>
    </cfRule>
    <cfRule type="cellIs" dxfId="6341" priority="378" operator="greaterThan">
      <formula>0</formula>
    </cfRule>
  </conditionalFormatting>
  <conditionalFormatting sqref="J20">
    <cfRule type="cellIs" dxfId="6340" priority="376" operator="equal">
      <formula>"-"</formula>
    </cfRule>
  </conditionalFormatting>
  <conditionalFormatting sqref="J24">
    <cfRule type="cellIs" dxfId="6339" priority="373" operator="equal">
      <formula>"-"</formula>
    </cfRule>
    <cfRule type="cellIs" dxfId="6338" priority="374" operator="lessThan">
      <formula>0</formula>
    </cfRule>
    <cfRule type="cellIs" dxfId="6337" priority="375" operator="greaterThan">
      <formula>0</formula>
    </cfRule>
  </conditionalFormatting>
  <conditionalFormatting sqref="J25">
    <cfRule type="cellIs" dxfId="6336" priority="370" operator="equal">
      <formula>"-"</formula>
    </cfRule>
    <cfRule type="cellIs" dxfId="6335" priority="371" operator="lessThan">
      <formula>0</formula>
    </cfRule>
    <cfRule type="cellIs" dxfId="6334" priority="372" operator="greaterThan">
      <formula>0</formula>
    </cfRule>
  </conditionalFormatting>
  <conditionalFormatting sqref="J33">
    <cfRule type="cellIs" dxfId="6333" priority="367" operator="equal">
      <formula>"-"</formula>
    </cfRule>
    <cfRule type="cellIs" dxfId="6332" priority="368" operator="lessThan">
      <formula>0</formula>
    </cfRule>
    <cfRule type="cellIs" dxfId="6331" priority="369" operator="greaterThan">
      <formula>0</formula>
    </cfRule>
  </conditionalFormatting>
  <conditionalFormatting sqref="J34">
    <cfRule type="cellIs" dxfId="6330" priority="364" operator="equal">
      <formula>"-"</formula>
    </cfRule>
    <cfRule type="cellIs" dxfId="6329" priority="365" operator="lessThan">
      <formula>0</formula>
    </cfRule>
    <cfRule type="cellIs" dxfId="6328" priority="366" operator="greaterThan">
      <formula>0</formula>
    </cfRule>
  </conditionalFormatting>
  <conditionalFormatting sqref="J36">
    <cfRule type="cellIs" dxfId="6327" priority="361" operator="equal">
      <formula>"-"</formula>
    </cfRule>
    <cfRule type="cellIs" dxfId="6326" priority="362" operator="lessThan">
      <formula>0</formula>
    </cfRule>
    <cfRule type="cellIs" dxfId="6325" priority="363" operator="greaterThan">
      <formula>0</formula>
    </cfRule>
  </conditionalFormatting>
  <conditionalFormatting sqref="J35">
    <cfRule type="cellIs" dxfId="6324" priority="358" operator="equal">
      <formula>"-"</formula>
    </cfRule>
    <cfRule type="cellIs" dxfId="6323" priority="359" operator="lessThan">
      <formula>0</formula>
    </cfRule>
    <cfRule type="cellIs" dxfId="6322" priority="360" operator="greaterThan">
      <formula>0</formula>
    </cfRule>
  </conditionalFormatting>
  <conditionalFormatting sqref="J46">
    <cfRule type="cellIs" dxfId="6321" priority="355" operator="equal">
      <formula>"-"</formula>
    </cfRule>
    <cfRule type="cellIs" dxfId="6320" priority="356" operator="lessThan">
      <formula>0</formula>
    </cfRule>
    <cfRule type="cellIs" dxfId="6319" priority="357" operator="greaterThan">
      <formula>0</formula>
    </cfRule>
  </conditionalFormatting>
  <conditionalFormatting sqref="J47">
    <cfRule type="cellIs" dxfId="6318" priority="352" operator="equal">
      <formula>"-"</formula>
    </cfRule>
    <cfRule type="cellIs" dxfId="6317" priority="353" operator="lessThan">
      <formula>0</formula>
    </cfRule>
    <cfRule type="cellIs" dxfId="6316" priority="354" operator="greaterThan">
      <formula>0</formula>
    </cfRule>
  </conditionalFormatting>
  <conditionalFormatting sqref="J48">
    <cfRule type="cellIs" dxfId="6315" priority="349" operator="equal">
      <formula>"-"</formula>
    </cfRule>
    <cfRule type="cellIs" dxfId="6314" priority="350" operator="lessThan">
      <formula>0</formula>
    </cfRule>
    <cfRule type="cellIs" dxfId="6313" priority="351" operator="greaterThan">
      <formula>0</formula>
    </cfRule>
  </conditionalFormatting>
  <conditionalFormatting sqref="J58">
    <cfRule type="cellIs" dxfId="6312" priority="346" operator="equal">
      <formula>"-"</formula>
    </cfRule>
    <cfRule type="cellIs" dxfId="6311" priority="347" operator="lessThan">
      <formula>0</formula>
    </cfRule>
    <cfRule type="cellIs" dxfId="6310" priority="348" operator="greaterThan">
      <formula>0</formula>
    </cfRule>
  </conditionalFormatting>
  <conditionalFormatting sqref="H2">
    <cfRule type="containsText" dxfId="6309" priority="335" operator="containsText" text="NEUTRO">
      <formula>NOT(ISERROR(SEARCH("NEUTRO",H2)))</formula>
    </cfRule>
    <cfRule type="containsText" dxfId="6308" priority="336" operator="containsText" text="BULLISH">
      <formula>NOT(ISERROR(SEARCH("BULLISH",H2)))</formula>
    </cfRule>
    <cfRule type="containsText" dxfId="6307" priority="337" operator="containsText" text="BEARISH">
      <formula>NOT(ISERROR(SEARCH("BEARISH",H2)))</formula>
    </cfRule>
    <cfRule type="containsBlanks" dxfId="6306" priority="338">
      <formula>LEN(TRIM(H2))=0</formula>
    </cfRule>
  </conditionalFormatting>
  <conditionalFormatting sqref="H12">
    <cfRule type="containsText" dxfId="6305" priority="331" operator="containsText" text="NEUTRO">
      <formula>NOT(ISERROR(SEARCH("NEUTRO",H12)))</formula>
    </cfRule>
    <cfRule type="containsText" dxfId="6304" priority="332" operator="containsText" text="BULLISH">
      <formula>NOT(ISERROR(SEARCH("BULLISH",H12)))</formula>
    </cfRule>
    <cfRule type="containsText" dxfId="6303" priority="333" operator="containsText" text="BEARISH">
      <formula>NOT(ISERROR(SEARCH("BEARISH",H12)))</formula>
    </cfRule>
    <cfRule type="containsBlanks" dxfId="6302" priority="334">
      <formula>LEN(TRIM(H12))=0</formula>
    </cfRule>
  </conditionalFormatting>
  <conditionalFormatting sqref="I18:J18">
    <cfRule type="containsText" dxfId="6301" priority="327" operator="containsText" text="NEUTRO">
      <formula>NOT(ISERROR(SEARCH("NEUTRO",I18)))</formula>
    </cfRule>
    <cfRule type="containsText" dxfId="6300" priority="328" operator="containsText" text="BULLISH">
      <formula>NOT(ISERROR(SEARCH("BULLISH",I18)))</formula>
    </cfRule>
    <cfRule type="containsText" dxfId="6299" priority="329" operator="containsText" text="BEARISH">
      <formula>NOT(ISERROR(SEARCH("BEARISH",I18)))</formula>
    </cfRule>
    <cfRule type="containsBlanks" dxfId="6298" priority="330">
      <formula>LEN(TRIM(I18))=0</formula>
    </cfRule>
  </conditionalFormatting>
  <conditionalFormatting sqref="H18">
    <cfRule type="containsText" dxfId="6297" priority="323" operator="containsText" text="NEUTRO">
      <formula>NOT(ISERROR(SEARCH("NEUTRO",H18)))</formula>
    </cfRule>
    <cfRule type="containsText" dxfId="6296" priority="324" operator="containsText" text="BULLISH">
      <formula>NOT(ISERROR(SEARCH("BULLISH",H18)))</formula>
    </cfRule>
    <cfRule type="containsText" dxfId="6295" priority="325" operator="containsText" text="BEARISH">
      <formula>NOT(ISERROR(SEARCH("BEARISH",H18)))</formula>
    </cfRule>
    <cfRule type="containsBlanks" dxfId="6294" priority="326">
      <formula>LEN(TRIM(H18))=0</formula>
    </cfRule>
  </conditionalFormatting>
  <conditionalFormatting sqref="H23">
    <cfRule type="containsText" dxfId="6293" priority="319" operator="containsText" text="NEUTRO">
      <formula>NOT(ISERROR(SEARCH("NEUTRO",H23)))</formula>
    </cfRule>
    <cfRule type="containsText" dxfId="6292" priority="320" operator="containsText" text="BULLISH">
      <formula>NOT(ISERROR(SEARCH("BULLISH",H23)))</formula>
    </cfRule>
    <cfRule type="containsText" dxfId="6291" priority="321" operator="containsText" text="BEARISH">
      <formula>NOT(ISERROR(SEARCH("BEARISH",H23)))</formula>
    </cfRule>
    <cfRule type="containsBlanks" dxfId="6290" priority="322">
      <formula>LEN(TRIM(H23))=0</formula>
    </cfRule>
  </conditionalFormatting>
  <conditionalFormatting sqref="H32">
    <cfRule type="containsText" dxfId="6289" priority="315" operator="containsText" text="NEUTRO">
      <formula>NOT(ISERROR(SEARCH("NEUTRO",H32)))</formula>
    </cfRule>
    <cfRule type="containsText" dxfId="6288" priority="316" operator="containsText" text="BULLISH">
      <formula>NOT(ISERROR(SEARCH("BULLISH",H32)))</formula>
    </cfRule>
    <cfRule type="containsText" dxfId="6287" priority="317" operator="containsText" text="BEARISH">
      <formula>NOT(ISERROR(SEARCH("BEARISH",H32)))</formula>
    </cfRule>
    <cfRule type="containsBlanks" dxfId="6286" priority="318">
      <formula>LEN(TRIM(H32))=0</formula>
    </cfRule>
  </conditionalFormatting>
  <conditionalFormatting sqref="H45">
    <cfRule type="containsText" dxfId="6285" priority="311" operator="containsText" text="NEUTRO">
      <formula>NOT(ISERROR(SEARCH("NEUTRO",H45)))</formula>
    </cfRule>
    <cfRule type="containsText" dxfId="6284" priority="312" operator="containsText" text="BULLISH">
      <formula>NOT(ISERROR(SEARCH("BULLISH",H45)))</formula>
    </cfRule>
    <cfRule type="containsText" dxfId="6283" priority="313" operator="containsText" text="BEARISH">
      <formula>NOT(ISERROR(SEARCH("BEARISH",H45)))</formula>
    </cfRule>
    <cfRule type="containsBlanks" dxfId="6282" priority="314">
      <formula>LEN(TRIM(H45))=0</formula>
    </cfRule>
  </conditionalFormatting>
  <conditionalFormatting sqref="H57">
    <cfRule type="containsText" dxfId="6281" priority="307" operator="containsText" text="NEUTRO">
      <formula>NOT(ISERROR(SEARCH("NEUTRO",H57)))</formula>
    </cfRule>
    <cfRule type="containsText" dxfId="6280" priority="308" operator="containsText" text="BULLISH">
      <formula>NOT(ISERROR(SEARCH("BULLISH",H57)))</formula>
    </cfRule>
    <cfRule type="containsText" dxfId="6279" priority="309" operator="containsText" text="BEARISH">
      <formula>NOT(ISERROR(SEARCH("BEARISH",H57)))</formula>
    </cfRule>
    <cfRule type="containsBlanks" dxfId="6278" priority="310">
      <formula>LEN(TRIM(H57))=0</formula>
    </cfRule>
  </conditionalFormatting>
  <conditionalFormatting sqref="G60:G629">
    <cfRule type="colorScale" priority="306">
      <colorScale>
        <cfvo type="formula" val="-0.0001"/>
        <cfvo type="formula" val="0"/>
        <cfvo type="formula" val="0.00001"/>
        <color rgb="FFF8696B"/>
        <color rgb="FFCCCCCC"/>
        <color rgb="FF57BB8A"/>
      </colorScale>
    </cfRule>
  </conditionalFormatting>
  <conditionalFormatting sqref="G21">
    <cfRule type="cellIs" dxfId="6277" priority="293" operator="equal">
      <formula>"-"</formula>
    </cfRule>
    <cfRule type="cellIs" dxfId="6276" priority="294" operator="lessThan">
      <formula>0</formula>
    </cfRule>
    <cfRule type="cellIs" dxfId="6275" priority="295" operator="greaterThan">
      <formula>0</formula>
    </cfRule>
  </conditionalFormatting>
  <conditionalFormatting sqref="G27">
    <cfRule type="cellIs" dxfId="6274" priority="290" operator="equal">
      <formula>"-"</formula>
    </cfRule>
    <cfRule type="cellIs" dxfId="6273" priority="291" operator="lessThan">
      <formula>0</formula>
    </cfRule>
    <cfRule type="cellIs" dxfId="6272" priority="292" operator="greaterThan">
      <formula>0</formula>
    </cfRule>
  </conditionalFormatting>
  <conditionalFormatting sqref="G39">
    <cfRule type="cellIs" dxfId="6271" priority="274" operator="equal">
      <formula>"-"</formula>
    </cfRule>
    <cfRule type="cellIs" dxfId="6270" priority="275" operator="lessThan">
      <formula>0</formula>
    </cfRule>
    <cfRule type="cellIs" dxfId="6269" priority="276" operator="greaterThan">
      <formula>0</formula>
    </cfRule>
  </conditionalFormatting>
  <conditionalFormatting sqref="G42">
    <cfRule type="cellIs" dxfId="6268" priority="271" operator="equal">
      <formula>"-"</formula>
    </cfRule>
    <cfRule type="cellIs" dxfId="6267" priority="272" operator="lessThan">
      <formula>0</formula>
    </cfRule>
    <cfRule type="cellIs" dxfId="6266" priority="273" operator="greaterThan">
      <formula>0</formula>
    </cfRule>
  </conditionalFormatting>
  <conditionalFormatting sqref="G37">
    <cfRule type="cellIs" dxfId="6265" priority="268" operator="equal">
      <formula>"-"</formula>
    </cfRule>
    <cfRule type="cellIs" dxfId="6264" priority="269" operator="lessThan">
      <formula>0</formula>
    </cfRule>
    <cfRule type="cellIs" dxfId="6263" priority="270" operator="greaterThan">
      <formula>0</formula>
    </cfRule>
  </conditionalFormatting>
  <conditionalFormatting sqref="G59">
    <cfRule type="cellIs" dxfId="6262" priority="190" operator="equal">
      <formula>"-"</formula>
    </cfRule>
    <cfRule type="cellIs" dxfId="6261" priority="191" operator="lessThan">
      <formula>0</formula>
    </cfRule>
    <cfRule type="cellIs" dxfId="6260" priority="192" operator="greaterThan">
      <formula>0</formula>
    </cfRule>
  </conditionalFormatting>
  <conditionalFormatting sqref="G7:G10">
    <cfRule type="cellIs" dxfId="6259" priority="302" operator="equal">
      <formula>"-"</formula>
    </cfRule>
    <cfRule type="cellIs" dxfId="6258" priority="303" operator="lessThan">
      <formula>0</formula>
    </cfRule>
    <cfRule type="cellIs" dxfId="6257" priority="304" operator="greaterThan">
      <formula>0</formula>
    </cfRule>
  </conditionalFormatting>
  <conditionalFormatting sqref="G11">
    <cfRule type="colorScale" priority="305">
      <colorScale>
        <cfvo type="formula" val="-0.0001"/>
        <cfvo type="formula" val="0"/>
        <cfvo type="formula" val="0.00001"/>
        <color rgb="FFF8696B"/>
        <color rgb="FFCCCCCC"/>
        <color rgb="FF57BB8A"/>
      </colorScale>
    </cfRule>
  </conditionalFormatting>
  <conditionalFormatting sqref="G16">
    <cfRule type="cellIs" dxfId="6256" priority="299" operator="equal">
      <formula>"-"</formula>
    </cfRule>
    <cfRule type="cellIs" dxfId="6255" priority="300" operator="lessThan">
      <formula>0</formula>
    </cfRule>
    <cfRule type="cellIs" dxfId="6254" priority="301" operator="greaterThan">
      <formula>0</formula>
    </cfRule>
  </conditionalFormatting>
  <conditionalFormatting sqref="G22">
    <cfRule type="cellIs" dxfId="6253" priority="296" operator="equal">
      <formula>"-"</formula>
    </cfRule>
    <cfRule type="cellIs" dxfId="6252" priority="297" operator="lessThan">
      <formula>0</formula>
    </cfRule>
    <cfRule type="cellIs" dxfId="6251" priority="298" operator="greaterThan">
      <formula>0</formula>
    </cfRule>
  </conditionalFormatting>
  <conditionalFormatting sqref="G26">
    <cfRule type="cellIs" dxfId="6250" priority="284" operator="equal">
      <formula>"-"</formula>
    </cfRule>
    <cfRule type="cellIs" dxfId="6249" priority="285" operator="lessThan">
      <formula>0</formula>
    </cfRule>
    <cfRule type="cellIs" dxfId="6248" priority="286" operator="greaterThan">
      <formula>0</formula>
    </cfRule>
  </conditionalFormatting>
  <conditionalFormatting sqref="G28">
    <cfRule type="cellIs" dxfId="6247" priority="287" operator="equal">
      <formula>"-"</formula>
    </cfRule>
    <cfRule type="cellIs" dxfId="6246" priority="288" operator="lessThan">
      <formula>0</formula>
    </cfRule>
    <cfRule type="cellIs" dxfId="6245" priority="289" operator="greaterThan">
      <formula>0</formula>
    </cfRule>
  </conditionalFormatting>
  <conditionalFormatting sqref="G29">
    <cfRule type="cellIs" dxfId="6244" priority="281" operator="equal">
      <formula>"-"</formula>
    </cfRule>
    <cfRule type="cellIs" dxfId="6243" priority="282" operator="lessThan">
      <formula>0</formula>
    </cfRule>
    <cfRule type="cellIs" dxfId="6242" priority="283" operator="greaterThan">
      <formula>0</formula>
    </cfRule>
  </conditionalFormatting>
  <conditionalFormatting sqref="G30:G31">
    <cfRule type="cellIs" dxfId="6241" priority="278" operator="equal">
      <formula>"-"</formula>
    </cfRule>
    <cfRule type="cellIs" dxfId="6240" priority="279" operator="lessThan">
      <formula>0</formula>
    </cfRule>
    <cfRule type="cellIs" dxfId="6239" priority="280" operator="greaterThan">
      <formula>0</formula>
    </cfRule>
  </conditionalFormatting>
  <conditionalFormatting sqref="G38">
    <cfRule type="cellIs" dxfId="6238" priority="265" operator="equal">
      <formula>"-"</formula>
    </cfRule>
    <cfRule type="cellIs" dxfId="6237" priority="266" operator="lessThan">
      <formula>0</formula>
    </cfRule>
    <cfRule type="cellIs" dxfId="6236" priority="267" operator="greaterThan">
      <formula>0</formula>
    </cfRule>
  </conditionalFormatting>
  <conditionalFormatting sqref="G40">
    <cfRule type="cellIs" dxfId="6235" priority="262" operator="equal">
      <formula>"-"</formula>
    </cfRule>
    <cfRule type="cellIs" dxfId="6234" priority="263" operator="lessThan">
      <formula>0</formula>
    </cfRule>
    <cfRule type="cellIs" dxfId="6233" priority="264" operator="greaterThan">
      <formula>0</formula>
    </cfRule>
  </conditionalFormatting>
  <conditionalFormatting sqref="G41">
    <cfRule type="cellIs" dxfId="6232" priority="259" operator="equal">
      <formula>"-"</formula>
    </cfRule>
    <cfRule type="cellIs" dxfId="6231" priority="260" operator="lessThan">
      <formula>0</formula>
    </cfRule>
    <cfRule type="cellIs" dxfId="6230" priority="261" operator="greaterThan">
      <formula>0</formula>
    </cfRule>
  </conditionalFormatting>
  <conditionalFormatting sqref="G43">
    <cfRule type="cellIs" dxfId="6229" priority="256" operator="equal">
      <formula>"-"</formula>
    </cfRule>
    <cfRule type="cellIs" dxfId="6228" priority="257" operator="lessThan">
      <formula>0</formula>
    </cfRule>
    <cfRule type="cellIs" dxfId="6227" priority="258" operator="greaterThan">
      <formula>0</formula>
    </cfRule>
  </conditionalFormatting>
  <conditionalFormatting sqref="G44">
    <cfRule type="colorScale" priority="277">
      <colorScale>
        <cfvo type="formula" val="-0.0001"/>
        <cfvo type="formula" val="0"/>
        <cfvo type="formula" val="0.00001"/>
        <color rgb="FFF8696B"/>
        <color rgb="FFCCCCCC"/>
        <color rgb="FF57BB8A"/>
      </colorScale>
    </cfRule>
  </conditionalFormatting>
  <conditionalFormatting sqref="G49">
    <cfRule type="cellIs" dxfId="6226" priority="253" operator="equal">
      <formula>"-"</formula>
    </cfRule>
    <cfRule type="cellIs" dxfId="6225" priority="254" operator="lessThan">
      <formula>0</formula>
    </cfRule>
    <cfRule type="cellIs" dxfId="6224" priority="255" operator="greaterThan">
      <formula>0</formula>
    </cfRule>
  </conditionalFormatting>
  <conditionalFormatting sqref="G50">
    <cfRule type="cellIs" dxfId="6223" priority="250" operator="equal">
      <formula>"-"</formula>
    </cfRule>
    <cfRule type="cellIs" dxfId="6222" priority="251" operator="lessThan">
      <formula>0</formula>
    </cfRule>
    <cfRule type="cellIs" dxfId="6221" priority="252" operator="greaterThan">
      <formula>0</formula>
    </cfRule>
  </conditionalFormatting>
  <conditionalFormatting sqref="G51">
    <cfRule type="cellIs" dxfId="6220" priority="247" operator="equal">
      <formula>"-"</formula>
    </cfRule>
    <cfRule type="cellIs" dxfId="6219" priority="248" operator="lessThan">
      <formula>0</formula>
    </cfRule>
    <cfRule type="cellIs" dxfId="6218" priority="249" operator="greaterThan">
      <formula>0</formula>
    </cfRule>
  </conditionalFormatting>
  <conditionalFormatting sqref="G52">
    <cfRule type="cellIs" dxfId="6217" priority="244" operator="equal">
      <formula>"-"</formula>
    </cfRule>
    <cfRule type="cellIs" dxfId="6216" priority="245" operator="lessThan">
      <formula>0</formula>
    </cfRule>
    <cfRule type="cellIs" dxfId="6215" priority="246" operator="greaterThan">
      <formula>0</formula>
    </cfRule>
  </conditionalFormatting>
  <conditionalFormatting sqref="G53">
    <cfRule type="cellIs" dxfId="6214" priority="241" operator="equal">
      <formula>"-"</formula>
    </cfRule>
    <cfRule type="cellIs" dxfId="6213" priority="242" operator="lessThan">
      <formula>0</formula>
    </cfRule>
    <cfRule type="cellIs" dxfId="6212" priority="243" operator="greaterThan">
      <formula>0</formula>
    </cfRule>
  </conditionalFormatting>
  <conditionalFormatting sqref="G54">
    <cfRule type="cellIs" dxfId="6211" priority="235" operator="equal">
      <formula>"-"</formula>
    </cfRule>
    <cfRule type="cellIs" dxfId="6210" priority="236" operator="lessThan">
      <formula>0</formula>
    </cfRule>
    <cfRule type="cellIs" dxfId="6209" priority="237" operator="greaterThan">
      <formula>0</formula>
    </cfRule>
  </conditionalFormatting>
  <conditionalFormatting sqref="G55">
    <cfRule type="cellIs" dxfId="6208" priority="238" operator="equal">
      <formula>"-"</formula>
    </cfRule>
    <cfRule type="cellIs" dxfId="6207" priority="239" operator="lessThan">
      <formula>0</formula>
    </cfRule>
    <cfRule type="cellIs" dxfId="6206" priority="240" operator="greaterThan">
      <formula>0</formula>
    </cfRule>
  </conditionalFormatting>
  <conditionalFormatting sqref="G3:G6">
    <cfRule type="cellIs" dxfId="6205" priority="232" operator="equal">
      <formula>"-"</formula>
    </cfRule>
    <cfRule type="cellIs" dxfId="6204" priority="233" operator="lessThan">
      <formula>0</formula>
    </cfRule>
    <cfRule type="cellIs" dxfId="6203" priority="234" operator="greaterThan">
      <formula>0</formula>
    </cfRule>
  </conditionalFormatting>
  <conditionalFormatting sqref="G13:G15">
    <cfRule type="cellIs" dxfId="6202" priority="229" operator="equal">
      <formula>"-"</formula>
    </cfRule>
    <cfRule type="cellIs" dxfId="6201" priority="230" operator="lessThan">
      <formula>0</formula>
    </cfRule>
    <cfRule type="cellIs" dxfId="6200" priority="231" operator="greaterThan">
      <formula>0</formula>
    </cfRule>
  </conditionalFormatting>
  <conditionalFormatting sqref="G19">
    <cfRule type="cellIs" dxfId="6199" priority="226" operator="equal">
      <formula>"-"</formula>
    </cfRule>
    <cfRule type="cellIs" dxfId="6198" priority="227" operator="lessThan">
      <formula>0</formula>
    </cfRule>
    <cfRule type="cellIs" dxfId="6197" priority="228" operator="greaterThan">
      <formula>0</formula>
    </cfRule>
  </conditionalFormatting>
  <conditionalFormatting sqref="G20">
    <cfRule type="cellIs" dxfId="6196" priority="224" operator="lessThan">
      <formula>0</formula>
    </cfRule>
    <cfRule type="cellIs" dxfId="6195" priority="225" operator="greaterThan">
      <formula>0</formula>
    </cfRule>
  </conditionalFormatting>
  <conditionalFormatting sqref="G20">
    <cfRule type="cellIs" dxfId="6194" priority="223" operator="equal">
      <formula>"-"</formula>
    </cfRule>
  </conditionalFormatting>
  <conditionalFormatting sqref="G24">
    <cfRule type="cellIs" dxfId="6193" priority="220" operator="equal">
      <formula>"-"</formula>
    </cfRule>
    <cfRule type="cellIs" dxfId="6192" priority="221" operator="lessThan">
      <formula>0</formula>
    </cfRule>
    <cfRule type="cellIs" dxfId="6191" priority="222" operator="greaterThan">
      <formula>0</formula>
    </cfRule>
  </conditionalFormatting>
  <conditionalFormatting sqref="G25">
    <cfRule type="cellIs" dxfId="6190" priority="217" operator="equal">
      <formula>"-"</formula>
    </cfRule>
    <cfRule type="cellIs" dxfId="6189" priority="218" operator="lessThan">
      <formula>0</formula>
    </cfRule>
    <cfRule type="cellIs" dxfId="6188" priority="219" operator="greaterThan">
      <formula>0</formula>
    </cfRule>
  </conditionalFormatting>
  <conditionalFormatting sqref="G33">
    <cfRule type="cellIs" dxfId="6187" priority="214" operator="equal">
      <formula>"-"</formula>
    </cfRule>
    <cfRule type="cellIs" dxfId="6186" priority="215" operator="lessThan">
      <formula>0</formula>
    </cfRule>
    <cfRule type="cellIs" dxfId="6185" priority="216" operator="greaterThan">
      <formula>0</formula>
    </cfRule>
  </conditionalFormatting>
  <conditionalFormatting sqref="G34">
    <cfRule type="cellIs" dxfId="6184" priority="211" operator="equal">
      <formula>"-"</formula>
    </cfRule>
    <cfRule type="cellIs" dxfId="6183" priority="212" operator="lessThan">
      <formula>0</formula>
    </cfRule>
    <cfRule type="cellIs" dxfId="6182" priority="213" operator="greaterThan">
      <formula>0</formula>
    </cfRule>
  </conditionalFormatting>
  <conditionalFormatting sqref="G36">
    <cfRule type="cellIs" dxfId="6181" priority="208" operator="equal">
      <formula>"-"</formula>
    </cfRule>
    <cfRule type="cellIs" dxfId="6180" priority="209" operator="lessThan">
      <formula>0</formula>
    </cfRule>
    <cfRule type="cellIs" dxfId="6179" priority="210" operator="greaterThan">
      <formula>0</formula>
    </cfRule>
  </conditionalFormatting>
  <conditionalFormatting sqref="G35">
    <cfRule type="cellIs" dxfId="6178" priority="205" operator="equal">
      <formula>"-"</formula>
    </cfRule>
    <cfRule type="cellIs" dxfId="6177" priority="206" operator="lessThan">
      <formula>0</formula>
    </cfRule>
    <cfRule type="cellIs" dxfId="6176" priority="207" operator="greaterThan">
      <formula>0</formula>
    </cfRule>
  </conditionalFormatting>
  <conditionalFormatting sqref="G46">
    <cfRule type="cellIs" dxfId="6175" priority="202" operator="equal">
      <formula>"-"</formula>
    </cfRule>
    <cfRule type="cellIs" dxfId="6174" priority="203" operator="lessThan">
      <formula>0</formula>
    </cfRule>
    <cfRule type="cellIs" dxfId="6173" priority="204" operator="greaterThan">
      <formula>0</formula>
    </cfRule>
  </conditionalFormatting>
  <conditionalFormatting sqref="G47">
    <cfRule type="cellIs" dxfId="6172" priority="199" operator="equal">
      <formula>"-"</formula>
    </cfRule>
    <cfRule type="cellIs" dxfId="6171" priority="200" operator="lessThan">
      <formula>0</formula>
    </cfRule>
    <cfRule type="cellIs" dxfId="6170" priority="201" operator="greaterThan">
      <formula>0</formula>
    </cfRule>
  </conditionalFormatting>
  <conditionalFormatting sqref="G48">
    <cfRule type="cellIs" dxfId="6169" priority="196" operator="equal">
      <formula>"-"</formula>
    </cfRule>
    <cfRule type="cellIs" dxfId="6168" priority="197" operator="lessThan">
      <formula>0</formula>
    </cfRule>
    <cfRule type="cellIs" dxfId="6167" priority="198" operator="greaterThan">
      <formula>0</formula>
    </cfRule>
  </conditionalFormatting>
  <conditionalFormatting sqref="G58">
    <cfRule type="cellIs" dxfId="6166" priority="193" operator="equal">
      <formula>"-"</formula>
    </cfRule>
    <cfRule type="cellIs" dxfId="6165" priority="194" operator="lessThan">
      <formula>0</formula>
    </cfRule>
    <cfRule type="cellIs" dxfId="6164" priority="195" operator="greaterThan">
      <formula>0</formula>
    </cfRule>
  </conditionalFormatting>
  <conditionalFormatting sqref="E2">
    <cfRule type="containsText" dxfId="6163" priority="182" operator="containsText" text="NEUTRO">
      <formula>NOT(ISERROR(SEARCH("NEUTRO",E2)))</formula>
    </cfRule>
    <cfRule type="containsText" dxfId="6162" priority="183" operator="containsText" text="BULLISH">
      <formula>NOT(ISERROR(SEARCH("BULLISH",E2)))</formula>
    </cfRule>
    <cfRule type="containsText" dxfId="6161" priority="184" operator="containsText" text="BEARISH">
      <formula>NOT(ISERROR(SEARCH("BEARISH",E2)))</formula>
    </cfRule>
    <cfRule type="containsBlanks" dxfId="6160" priority="185">
      <formula>LEN(TRIM(E2))=0</formula>
    </cfRule>
  </conditionalFormatting>
  <conditionalFormatting sqref="E12">
    <cfRule type="containsText" dxfId="6159" priority="178" operator="containsText" text="NEUTRO">
      <formula>NOT(ISERROR(SEARCH("NEUTRO",E12)))</formula>
    </cfRule>
    <cfRule type="containsText" dxfId="6158" priority="179" operator="containsText" text="BULLISH">
      <formula>NOT(ISERROR(SEARCH("BULLISH",E12)))</formula>
    </cfRule>
    <cfRule type="containsText" dxfId="6157" priority="180" operator="containsText" text="BEARISH">
      <formula>NOT(ISERROR(SEARCH("BEARISH",E12)))</formula>
    </cfRule>
    <cfRule type="containsBlanks" dxfId="6156" priority="181">
      <formula>LEN(TRIM(E12))=0</formula>
    </cfRule>
  </conditionalFormatting>
  <conditionalFormatting sqref="F18:G18">
    <cfRule type="containsText" dxfId="6155" priority="174" operator="containsText" text="NEUTRO">
      <formula>NOT(ISERROR(SEARCH("NEUTRO",F18)))</formula>
    </cfRule>
    <cfRule type="containsText" dxfId="6154" priority="175" operator="containsText" text="BULLISH">
      <formula>NOT(ISERROR(SEARCH("BULLISH",F18)))</formula>
    </cfRule>
    <cfRule type="containsText" dxfId="6153" priority="176" operator="containsText" text="BEARISH">
      <formula>NOT(ISERROR(SEARCH("BEARISH",F18)))</formula>
    </cfRule>
    <cfRule type="containsBlanks" dxfId="6152" priority="177">
      <formula>LEN(TRIM(F18))=0</formula>
    </cfRule>
  </conditionalFormatting>
  <conditionalFormatting sqref="E18">
    <cfRule type="containsText" dxfId="6151" priority="170" operator="containsText" text="NEUTRO">
      <formula>NOT(ISERROR(SEARCH("NEUTRO",E18)))</formula>
    </cfRule>
    <cfRule type="containsText" dxfId="6150" priority="171" operator="containsText" text="BULLISH">
      <formula>NOT(ISERROR(SEARCH("BULLISH",E18)))</formula>
    </cfRule>
    <cfRule type="containsText" dxfId="6149" priority="172" operator="containsText" text="BEARISH">
      <formula>NOT(ISERROR(SEARCH("BEARISH",E18)))</formula>
    </cfRule>
    <cfRule type="containsBlanks" dxfId="6148" priority="173">
      <formula>LEN(TRIM(E18))=0</formula>
    </cfRule>
  </conditionalFormatting>
  <conditionalFormatting sqref="E23">
    <cfRule type="containsText" dxfId="6147" priority="166" operator="containsText" text="NEUTRO">
      <formula>NOT(ISERROR(SEARCH("NEUTRO",E23)))</formula>
    </cfRule>
    <cfRule type="containsText" dxfId="6146" priority="167" operator="containsText" text="BULLISH">
      <formula>NOT(ISERROR(SEARCH("BULLISH",E23)))</formula>
    </cfRule>
    <cfRule type="containsText" dxfId="6145" priority="168" operator="containsText" text="BEARISH">
      <formula>NOT(ISERROR(SEARCH("BEARISH",E23)))</formula>
    </cfRule>
    <cfRule type="containsBlanks" dxfId="6144" priority="169">
      <formula>LEN(TRIM(E23))=0</formula>
    </cfRule>
  </conditionalFormatting>
  <conditionalFormatting sqref="E32">
    <cfRule type="containsText" dxfId="6143" priority="162" operator="containsText" text="NEUTRO">
      <formula>NOT(ISERROR(SEARCH("NEUTRO",E32)))</formula>
    </cfRule>
    <cfRule type="containsText" dxfId="6142" priority="163" operator="containsText" text="BULLISH">
      <formula>NOT(ISERROR(SEARCH("BULLISH",E32)))</formula>
    </cfRule>
    <cfRule type="containsText" dxfId="6141" priority="164" operator="containsText" text="BEARISH">
      <formula>NOT(ISERROR(SEARCH("BEARISH",E32)))</formula>
    </cfRule>
    <cfRule type="containsBlanks" dxfId="6140" priority="165">
      <formula>LEN(TRIM(E32))=0</formula>
    </cfRule>
  </conditionalFormatting>
  <conditionalFormatting sqref="E45">
    <cfRule type="containsText" dxfId="6139" priority="158" operator="containsText" text="NEUTRO">
      <formula>NOT(ISERROR(SEARCH("NEUTRO",E45)))</formula>
    </cfRule>
    <cfRule type="containsText" dxfId="6138" priority="159" operator="containsText" text="BULLISH">
      <formula>NOT(ISERROR(SEARCH("BULLISH",E45)))</formula>
    </cfRule>
    <cfRule type="containsText" dxfId="6137" priority="160" operator="containsText" text="BEARISH">
      <formula>NOT(ISERROR(SEARCH("BEARISH",E45)))</formula>
    </cfRule>
    <cfRule type="containsBlanks" dxfId="6136" priority="161">
      <formula>LEN(TRIM(E45))=0</formula>
    </cfRule>
  </conditionalFormatting>
  <conditionalFormatting sqref="E57">
    <cfRule type="containsText" dxfId="6135" priority="154" operator="containsText" text="NEUTRO">
      <formula>NOT(ISERROR(SEARCH("NEUTRO",E57)))</formula>
    </cfRule>
    <cfRule type="containsText" dxfId="6134" priority="155" operator="containsText" text="BULLISH">
      <formula>NOT(ISERROR(SEARCH("BULLISH",E57)))</formula>
    </cfRule>
    <cfRule type="containsText" dxfId="6133" priority="156" operator="containsText" text="BEARISH">
      <formula>NOT(ISERROR(SEARCH("BEARISH",E57)))</formula>
    </cfRule>
    <cfRule type="containsBlanks" dxfId="6132" priority="157">
      <formula>LEN(TRIM(E57))=0</formula>
    </cfRule>
  </conditionalFormatting>
  <conditionalFormatting sqref="D60:D629">
    <cfRule type="colorScale" priority="153">
      <colorScale>
        <cfvo type="formula" val="-0.0001"/>
        <cfvo type="formula" val="0"/>
        <cfvo type="formula" val="0.00001"/>
        <color rgb="FFF8696B"/>
        <color rgb="FFCCCCCC"/>
        <color rgb="FF57BB8A"/>
      </colorScale>
    </cfRule>
  </conditionalFormatting>
  <conditionalFormatting sqref="D21">
    <cfRule type="cellIs" dxfId="6131" priority="140" operator="equal">
      <formula>"-"</formula>
    </cfRule>
    <cfRule type="cellIs" dxfId="6130" priority="141" operator="lessThan">
      <formula>0</formula>
    </cfRule>
    <cfRule type="cellIs" dxfId="6129" priority="142" operator="greaterThan">
      <formula>0</formula>
    </cfRule>
  </conditionalFormatting>
  <conditionalFormatting sqref="D27">
    <cfRule type="cellIs" dxfId="6128" priority="137" operator="equal">
      <formula>"-"</formula>
    </cfRule>
    <cfRule type="cellIs" dxfId="6127" priority="138" operator="lessThan">
      <formula>0</formula>
    </cfRule>
    <cfRule type="cellIs" dxfId="6126" priority="139" operator="greaterThan">
      <formula>0</formula>
    </cfRule>
  </conditionalFormatting>
  <conditionalFormatting sqref="D39">
    <cfRule type="cellIs" dxfId="6125" priority="121" operator="equal">
      <formula>"-"</formula>
    </cfRule>
    <cfRule type="cellIs" dxfId="6124" priority="122" operator="lessThan">
      <formula>0</formula>
    </cfRule>
    <cfRule type="cellIs" dxfId="6123" priority="123" operator="greaterThan">
      <formula>0</formula>
    </cfRule>
  </conditionalFormatting>
  <conditionalFormatting sqref="D42">
    <cfRule type="cellIs" dxfId="6122" priority="118" operator="equal">
      <formula>"-"</formula>
    </cfRule>
    <cfRule type="cellIs" dxfId="6121" priority="119" operator="lessThan">
      <formula>0</formula>
    </cfRule>
    <cfRule type="cellIs" dxfId="6120" priority="120" operator="greaterThan">
      <formula>0</formula>
    </cfRule>
  </conditionalFormatting>
  <conditionalFormatting sqref="D37">
    <cfRule type="cellIs" dxfId="6119" priority="115" operator="equal">
      <formula>"-"</formula>
    </cfRule>
    <cfRule type="cellIs" dxfId="6118" priority="116" operator="lessThan">
      <formula>0</formula>
    </cfRule>
    <cfRule type="cellIs" dxfId="6117" priority="117" operator="greaterThan">
      <formula>0</formula>
    </cfRule>
  </conditionalFormatting>
  <conditionalFormatting sqref="D59">
    <cfRule type="cellIs" dxfId="6116" priority="37" operator="equal">
      <formula>"-"</formula>
    </cfRule>
    <cfRule type="cellIs" dxfId="6115" priority="38" operator="lessThan">
      <formula>0</formula>
    </cfRule>
    <cfRule type="cellIs" dxfId="6114" priority="39" operator="greaterThan">
      <formula>0</formula>
    </cfRule>
  </conditionalFormatting>
  <conditionalFormatting sqref="D7:D10">
    <cfRule type="cellIs" dxfId="6113" priority="149" operator="equal">
      <formula>"-"</formula>
    </cfRule>
    <cfRule type="cellIs" dxfId="6112" priority="150" operator="lessThan">
      <formula>0</formula>
    </cfRule>
    <cfRule type="cellIs" dxfId="6111" priority="151" operator="greaterThan">
      <formula>0</formula>
    </cfRule>
  </conditionalFormatting>
  <conditionalFormatting sqref="D11">
    <cfRule type="colorScale" priority="152">
      <colorScale>
        <cfvo type="formula" val="-0.0001"/>
        <cfvo type="formula" val="0"/>
        <cfvo type="formula" val="0.00001"/>
        <color rgb="FFF8696B"/>
        <color rgb="FFCCCCCC"/>
        <color rgb="FF57BB8A"/>
      </colorScale>
    </cfRule>
  </conditionalFormatting>
  <conditionalFormatting sqref="D16">
    <cfRule type="cellIs" dxfId="6110" priority="146" operator="equal">
      <formula>"-"</formula>
    </cfRule>
    <cfRule type="cellIs" dxfId="6109" priority="147" operator="lessThan">
      <formula>0</formula>
    </cfRule>
    <cfRule type="cellIs" dxfId="6108" priority="148" operator="greaterThan">
      <formula>0</formula>
    </cfRule>
  </conditionalFormatting>
  <conditionalFormatting sqref="D22">
    <cfRule type="cellIs" dxfId="6107" priority="143" operator="equal">
      <formula>"-"</formula>
    </cfRule>
    <cfRule type="cellIs" dxfId="6106" priority="144" operator="lessThan">
      <formula>0</formula>
    </cfRule>
    <cfRule type="cellIs" dxfId="6105" priority="145" operator="greaterThan">
      <formula>0</formula>
    </cfRule>
  </conditionalFormatting>
  <conditionalFormatting sqref="D26">
    <cfRule type="cellIs" dxfId="6104" priority="131" operator="equal">
      <formula>"-"</formula>
    </cfRule>
    <cfRule type="cellIs" dxfId="6103" priority="132" operator="lessThan">
      <formula>0</formula>
    </cfRule>
    <cfRule type="cellIs" dxfId="6102" priority="133" operator="greaterThan">
      <formula>0</formula>
    </cfRule>
  </conditionalFormatting>
  <conditionalFormatting sqref="D28">
    <cfRule type="cellIs" dxfId="6101" priority="134" operator="equal">
      <formula>"-"</formula>
    </cfRule>
    <cfRule type="cellIs" dxfId="6100" priority="135" operator="lessThan">
      <formula>0</formula>
    </cfRule>
    <cfRule type="cellIs" dxfId="6099" priority="136" operator="greaterThan">
      <formula>0</formula>
    </cfRule>
  </conditionalFormatting>
  <conditionalFormatting sqref="D29">
    <cfRule type="cellIs" dxfId="6098" priority="128" operator="equal">
      <formula>"-"</formula>
    </cfRule>
    <cfRule type="cellIs" dxfId="6097" priority="129" operator="lessThan">
      <formula>0</formula>
    </cfRule>
    <cfRule type="cellIs" dxfId="6096" priority="130" operator="greaterThan">
      <formula>0</formula>
    </cfRule>
  </conditionalFormatting>
  <conditionalFormatting sqref="D30:D31">
    <cfRule type="cellIs" dxfId="6095" priority="125" operator="equal">
      <formula>"-"</formula>
    </cfRule>
    <cfRule type="cellIs" dxfId="6094" priority="126" operator="lessThan">
      <formula>0</formula>
    </cfRule>
    <cfRule type="cellIs" dxfId="6093" priority="127" operator="greaterThan">
      <formula>0</formula>
    </cfRule>
  </conditionalFormatting>
  <conditionalFormatting sqref="D38">
    <cfRule type="cellIs" dxfId="6092" priority="112" operator="equal">
      <formula>"-"</formula>
    </cfRule>
    <cfRule type="cellIs" dxfId="6091" priority="113" operator="lessThan">
      <formula>0</formula>
    </cfRule>
    <cfRule type="cellIs" dxfId="6090" priority="114" operator="greaterThan">
      <formula>0</formula>
    </cfRule>
  </conditionalFormatting>
  <conditionalFormatting sqref="D40">
    <cfRule type="cellIs" dxfId="6089" priority="109" operator="equal">
      <formula>"-"</formula>
    </cfRule>
    <cfRule type="cellIs" dxfId="6088" priority="110" operator="lessThan">
      <formula>0</formula>
    </cfRule>
    <cfRule type="cellIs" dxfId="6087" priority="111" operator="greaterThan">
      <formula>0</formula>
    </cfRule>
  </conditionalFormatting>
  <conditionalFormatting sqref="D41">
    <cfRule type="cellIs" dxfId="6086" priority="106" operator="equal">
      <formula>"-"</formula>
    </cfRule>
    <cfRule type="cellIs" dxfId="6085" priority="107" operator="lessThan">
      <formula>0</formula>
    </cfRule>
    <cfRule type="cellIs" dxfId="6084" priority="108" operator="greaterThan">
      <formula>0</formula>
    </cfRule>
  </conditionalFormatting>
  <conditionalFormatting sqref="D43">
    <cfRule type="cellIs" dxfId="6083" priority="103" operator="equal">
      <formula>"-"</formula>
    </cfRule>
    <cfRule type="cellIs" dxfId="6082" priority="104" operator="lessThan">
      <formula>0</formula>
    </cfRule>
    <cfRule type="cellIs" dxfId="6081" priority="105" operator="greaterThan">
      <formula>0</formula>
    </cfRule>
  </conditionalFormatting>
  <conditionalFormatting sqref="D44">
    <cfRule type="colorScale" priority="124">
      <colorScale>
        <cfvo type="formula" val="-0.0001"/>
        <cfvo type="formula" val="0"/>
        <cfvo type="formula" val="0.00001"/>
        <color rgb="FFF8696B"/>
        <color rgb="FFCCCCCC"/>
        <color rgb="FF57BB8A"/>
      </colorScale>
    </cfRule>
  </conditionalFormatting>
  <conditionalFormatting sqref="D49">
    <cfRule type="cellIs" dxfId="6080" priority="100" operator="equal">
      <formula>"-"</formula>
    </cfRule>
    <cfRule type="cellIs" dxfId="6079" priority="101" operator="lessThan">
      <formula>0</formula>
    </cfRule>
    <cfRule type="cellIs" dxfId="6078" priority="102" operator="greaterThan">
      <formula>0</formula>
    </cfRule>
  </conditionalFormatting>
  <conditionalFormatting sqref="D50">
    <cfRule type="cellIs" dxfId="6077" priority="97" operator="equal">
      <formula>"-"</formula>
    </cfRule>
    <cfRule type="cellIs" dxfId="6076" priority="98" operator="lessThan">
      <formula>0</formula>
    </cfRule>
    <cfRule type="cellIs" dxfId="6075" priority="99" operator="greaterThan">
      <formula>0</formula>
    </cfRule>
  </conditionalFormatting>
  <conditionalFormatting sqref="D51">
    <cfRule type="cellIs" dxfId="6074" priority="94" operator="equal">
      <formula>"-"</formula>
    </cfRule>
    <cfRule type="cellIs" dxfId="6073" priority="95" operator="lessThan">
      <formula>0</formula>
    </cfRule>
    <cfRule type="cellIs" dxfId="6072" priority="96" operator="greaterThan">
      <formula>0</formula>
    </cfRule>
  </conditionalFormatting>
  <conditionalFormatting sqref="D52">
    <cfRule type="cellIs" dxfId="6071" priority="91" operator="equal">
      <formula>"-"</formula>
    </cfRule>
    <cfRule type="cellIs" dxfId="6070" priority="92" operator="lessThan">
      <formula>0</formula>
    </cfRule>
    <cfRule type="cellIs" dxfId="6069" priority="93" operator="greaterThan">
      <formula>0</formula>
    </cfRule>
  </conditionalFormatting>
  <conditionalFormatting sqref="D53">
    <cfRule type="cellIs" dxfId="6068" priority="88" operator="equal">
      <formula>"-"</formula>
    </cfRule>
    <cfRule type="cellIs" dxfId="6067" priority="89" operator="lessThan">
      <formula>0</formula>
    </cfRule>
    <cfRule type="cellIs" dxfId="6066" priority="90" operator="greaterThan">
      <formula>0</formula>
    </cfRule>
  </conditionalFormatting>
  <conditionalFormatting sqref="D54">
    <cfRule type="cellIs" dxfId="6065" priority="82" operator="equal">
      <formula>"-"</formula>
    </cfRule>
    <cfRule type="cellIs" dxfId="6064" priority="83" operator="lessThan">
      <formula>0</formula>
    </cfRule>
    <cfRule type="cellIs" dxfId="6063" priority="84" operator="greaterThan">
      <formula>0</formula>
    </cfRule>
  </conditionalFormatting>
  <conditionalFormatting sqref="D55">
    <cfRule type="cellIs" dxfId="6062" priority="85" operator="equal">
      <formula>"-"</formula>
    </cfRule>
    <cfRule type="cellIs" dxfId="6061" priority="86" operator="lessThan">
      <formula>0</formula>
    </cfRule>
    <cfRule type="cellIs" dxfId="6060" priority="87" operator="greaterThan">
      <formula>0</formula>
    </cfRule>
  </conditionalFormatting>
  <conditionalFormatting sqref="D3:D6">
    <cfRule type="cellIs" dxfId="6059" priority="79" operator="equal">
      <formula>"-"</formula>
    </cfRule>
    <cfRule type="cellIs" dxfId="6058" priority="80" operator="lessThan">
      <formula>0</formula>
    </cfRule>
    <cfRule type="cellIs" dxfId="6057" priority="81" operator="greaterThan">
      <formula>0</formula>
    </cfRule>
  </conditionalFormatting>
  <conditionalFormatting sqref="D13:D15">
    <cfRule type="cellIs" dxfId="6056" priority="76" operator="equal">
      <formula>"-"</formula>
    </cfRule>
    <cfRule type="cellIs" dxfId="6055" priority="77" operator="lessThan">
      <formula>0</formula>
    </cfRule>
    <cfRule type="cellIs" dxfId="6054" priority="78" operator="greaterThan">
      <formula>0</formula>
    </cfRule>
  </conditionalFormatting>
  <conditionalFormatting sqref="D19">
    <cfRule type="cellIs" dxfId="6053" priority="73" operator="equal">
      <formula>"-"</formula>
    </cfRule>
    <cfRule type="cellIs" dxfId="6052" priority="74" operator="lessThan">
      <formula>0</formula>
    </cfRule>
    <cfRule type="cellIs" dxfId="6051" priority="75" operator="greaterThan">
      <formula>0</formula>
    </cfRule>
  </conditionalFormatting>
  <conditionalFormatting sqref="D20">
    <cfRule type="cellIs" dxfId="6050" priority="71" operator="lessThan">
      <formula>0</formula>
    </cfRule>
    <cfRule type="cellIs" dxfId="6049" priority="72" operator="greaterThan">
      <formula>0</formula>
    </cfRule>
  </conditionalFormatting>
  <conditionalFormatting sqref="D20">
    <cfRule type="cellIs" dxfId="6048" priority="70" operator="equal">
      <formula>"-"</formula>
    </cfRule>
  </conditionalFormatting>
  <conditionalFormatting sqref="D24">
    <cfRule type="cellIs" dxfId="6047" priority="67" operator="equal">
      <formula>"-"</formula>
    </cfRule>
    <cfRule type="cellIs" dxfId="6046" priority="68" operator="lessThan">
      <formula>0</formula>
    </cfRule>
    <cfRule type="cellIs" dxfId="6045" priority="69" operator="greaterThan">
      <formula>0</formula>
    </cfRule>
  </conditionalFormatting>
  <conditionalFormatting sqref="D25">
    <cfRule type="cellIs" dxfId="6044" priority="64" operator="equal">
      <formula>"-"</formula>
    </cfRule>
    <cfRule type="cellIs" dxfId="6043" priority="65" operator="lessThan">
      <formula>0</formula>
    </cfRule>
    <cfRule type="cellIs" dxfId="6042" priority="66" operator="greaterThan">
      <formula>0</formula>
    </cfRule>
  </conditionalFormatting>
  <conditionalFormatting sqref="D33">
    <cfRule type="cellIs" dxfId="6041" priority="61" operator="equal">
      <formula>"-"</formula>
    </cfRule>
    <cfRule type="cellIs" dxfId="6040" priority="62" operator="lessThan">
      <formula>0</formula>
    </cfRule>
    <cfRule type="cellIs" dxfId="6039" priority="63" operator="greaterThan">
      <formula>0</formula>
    </cfRule>
  </conditionalFormatting>
  <conditionalFormatting sqref="D34">
    <cfRule type="cellIs" dxfId="6038" priority="58" operator="equal">
      <formula>"-"</formula>
    </cfRule>
    <cfRule type="cellIs" dxfId="6037" priority="59" operator="lessThan">
      <formula>0</formula>
    </cfRule>
    <cfRule type="cellIs" dxfId="6036" priority="60" operator="greaterThan">
      <formula>0</formula>
    </cfRule>
  </conditionalFormatting>
  <conditionalFormatting sqref="D36">
    <cfRule type="cellIs" dxfId="6035" priority="55" operator="equal">
      <formula>"-"</formula>
    </cfRule>
    <cfRule type="cellIs" dxfId="6034" priority="56" operator="lessThan">
      <formula>0</formula>
    </cfRule>
    <cfRule type="cellIs" dxfId="6033" priority="57" operator="greaterThan">
      <formula>0</formula>
    </cfRule>
  </conditionalFormatting>
  <conditionalFormatting sqref="D35">
    <cfRule type="cellIs" dxfId="6032" priority="52" operator="equal">
      <formula>"-"</formula>
    </cfRule>
    <cfRule type="cellIs" dxfId="6031" priority="53" operator="lessThan">
      <formula>0</formula>
    </cfRule>
    <cfRule type="cellIs" dxfId="6030" priority="54" operator="greaterThan">
      <formula>0</formula>
    </cfRule>
  </conditionalFormatting>
  <conditionalFormatting sqref="D46">
    <cfRule type="cellIs" dxfId="6029" priority="49" operator="equal">
      <formula>"-"</formula>
    </cfRule>
    <cfRule type="cellIs" dxfId="6028" priority="50" operator="lessThan">
      <formula>0</formula>
    </cfRule>
    <cfRule type="cellIs" dxfId="6027" priority="51" operator="greaterThan">
      <formula>0</formula>
    </cfRule>
  </conditionalFormatting>
  <conditionalFormatting sqref="D47">
    <cfRule type="cellIs" dxfId="6026" priority="46" operator="equal">
      <formula>"-"</formula>
    </cfRule>
    <cfRule type="cellIs" dxfId="6025" priority="47" operator="lessThan">
      <formula>0</formula>
    </cfRule>
    <cfRule type="cellIs" dxfId="6024" priority="48" operator="greaterThan">
      <formula>0</formula>
    </cfRule>
  </conditionalFormatting>
  <conditionalFormatting sqref="D48">
    <cfRule type="cellIs" dxfId="6023" priority="43" operator="equal">
      <formula>"-"</formula>
    </cfRule>
    <cfRule type="cellIs" dxfId="6022" priority="44" operator="lessThan">
      <formula>0</formula>
    </cfRule>
    <cfRule type="cellIs" dxfId="6021" priority="45" operator="greaterThan">
      <formula>0</formula>
    </cfRule>
  </conditionalFormatting>
  <conditionalFormatting sqref="D58">
    <cfRule type="cellIs" dxfId="6020" priority="40" operator="equal">
      <formula>"-"</formula>
    </cfRule>
    <cfRule type="cellIs" dxfId="6019" priority="41" operator="lessThan">
      <formula>0</formula>
    </cfRule>
    <cfRule type="cellIs" dxfId="6018" priority="42" operator="greaterThan">
      <formula>0</formula>
    </cfRule>
  </conditionalFormatting>
  <conditionalFormatting sqref="B2">
    <cfRule type="containsText" dxfId="6017" priority="29" operator="containsText" text="NEUTRO">
      <formula>NOT(ISERROR(SEARCH("NEUTRO",B2)))</formula>
    </cfRule>
    <cfRule type="containsText" dxfId="6016" priority="30" operator="containsText" text="BULLISH">
      <formula>NOT(ISERROR(SEARCH("BULLISH",B2)))</formula>
    </cfRule>
    <cfRule type="containsText" dxfId="6015" priority="31" operator="containsText" text="BEARISH">
      <formula>NOT(ISERROR(SEARCH("BEARISH",B2)))</formula>
    </cfRule>
    <cfRule type="containsBlanks" dxfId="6014" priority="32">
      <formula>LEN(TRIM(B2))=0</formula>
    </cfRule>
  </conditionalFormatting>
  <conditionalFormatting sqref="B12">
    <cfRule type="containsText" dxfId="6013" priority="25" operator="containsText" text="NEUTRO">
      <formula>NOT(ISERROR(SEARCH("NEUTRO",B12)))</formula>
    </cfRule>
    <cfRule type="containsText" dxfId="6012" priority="26" operator="containsText" text="BULLISH">
      <formula>NOT(ISERROR(SEARCH("BULLISH",B12)))</formula>
    </cfRule>
    <cfRule type="containsText" dxfId="6011" priority="27" operator="containsText" text="BEARISH">
      <formula>NOT(ISERROR(SEARCH("BEARISH",B12)))</formula>
    </cfRule>
    <cfRule type="containsBlanks" dxfId="6010" priority="28">
      <formula>LEN(TRIM(B12))=0</formula>
    </cfRule>
  </conditionalFormatting>
  <conditionalFormatting sqref="C18:D18">
    <cfRule type="containsText" dxfId="6009" priority="21" operator="containsText" text="NEUTRO">
      <formula>NOT(ISERROR(SEARCH("NEUTRO",C18)))</formula>
    </cfRule>
    <cfRule type="containsText" dxfId="6008" priority="22" operator="containsText" text="BULLISH">
      <formula>NOT(ISERROR(SEARCH("BULLISH",C18)))</formula>
    </cfRule>
    <cfRule type="containsText" dxfId="6007" priority="23" operator="containsText" text="BEARISH">
      <formula>NOT(ISERROR(SEARCH("BEARISH",C18)))</formula>
    </cfRule>
    <cfRule type="containsBlanks" dxfId="6006" priority="24">
      <formula>LEN(TRIM(C18))=0</formula>
    </cfRule>
  </conditionalFormatting>
  <conditionalFormatting sqref="B18">
    <cfRule type="containsText" dxfId="6005" priority="17" operator="containsText" text="NEUTRO">
      <formula>NOT(ISERROR(SEARCH("NEUTRO",B18)))</formula>
    </cfRule>
    <cfRule type="containsText" dxfId="6004" priority="18" operator="containsText" text="BULLISH">
      <formula>NOT(ISERROR(SEARCH("BULLISH",B18)))</formula>
    </cfRule>
    <cfRule type="containsText" dxfId="6003" priority="19" operator="containsText" text="BEARISH">
      <formula>NOT(ISERROR(SEARCH("BEARISH",B18)))</formula>
    </cfRule>
    <cfRule type="containsBlanks" dxfId="6002" priority="20">
      <formula>LEN(TRIM(B18))=0</formula>
    </cfRule>
  </conditionalFormatting>
  <conditionalFormatting sqref="B23">
    <cfRule type="containsText" dxfId="6001" priority="13" operator="containsText" text="NEUTRO">
      <formula>NOT(ISERROR(SEARCH("NEUTRO",B23)))</formula>
    </cfRule>
    <cfRule type="containsText" dxfId="6000" priority="14" operator="containsText" text="BULLISH">
      <formula>NOT(ISERROR(SEARCH("BULLISH",B23)))</formula>
    </cfRule>
    <cfRule type="containsText" dxfId="5999" priority="15" operator="containsText" text="BEARISH">
      <formula>NOT(ISERROR(SEARCH("BEARISH",B23)))</formula>
    </cfRule>
    <cfRule type="containsBlanks" dxfId="5998" priority="16">
      <formula>LEN(TRIM(B23))=0</formula>
    </cfRule>
  </conditionalFormatting>
  <conditionalFormatting sqref="B32">
    <cfRule type="containsText" dxfId="5997" priority="9" operator="containsText" text="NEUTRO">
      <formula>NOT(ISERROR(SEARCH("NEUTRO",B32)))</formula>
    </cfRule>
    <cfRule type="containsText" dxfId="5996" priority="10" operator="containsText" text="BULLISH">
      <formula>NOT(ISERROR(SEARCH("BULLISH",B32)))</formula>
    </cfRule>
    <cfRule type="containsText" dxfId="5995" priority="11" operator="containsText" text="BEARISH">
      <formula>NOT(ISERROR(SEARCH("BEARISH",B32)))</formula>
    </cfRule>
    <cfRule type="containsBlanks" dxfId="5994" priority="12">
      <formula>LEN(TRIM(B32))=0</formula>
    </cfRule>
  </conditionalFormatting>
  <conditionalFormatting sqref="B45">
    <cfRule type="containsText" dxfId="5993" priority="5" operator="containsText" text="NEUTRO">
      <formula>NOT(ISERROR(SEARCH("NEUTRO",B45)))</formula>
    </cfRule>
    <cfRule type="containsText" dxfId="5992" priority="6" operator="containsText" text="BULLISH">
      <formula>NOT(ISERROR(SEARCH("BULLISH",B45)))</formula>
    </cfRule>
    <cfRule type="containsText" dxfId="5991" priority="7" operator="containsText" text="BEARISH">
      <formula>NOT(ISERROR(SEARCH("BEARISH",B45)))</formula>
    </cfRule>
    <cfRule type="containsBlanks" dxfId="5990" priority="8">
      <formula>LEN(TRIM(B45))=0</formula>
    </cfRule>
  </conditionalFormatting>
  <conditionalFormatting sqref="B57">
    <cfRule type="containsText" dxfId="5989" priority="1" operator="containsText" text="NEUTRO">
      <formula>NOT(ISERROR(SEARCH("NEUTRO",B57)))</formula>
    </cfRule>
    <cfRule type="containsText" dxfId="5988" priority="2" operator="containsText" text="BULLISH">
      <formula>NOT(ISERROR(SEARCH("BULLISH",B57)))</formula>
    </cfRule>
    <cfRule type="containsText" dxfId="5987" priority="3" operator="containsText" text="BEARISH">
      <formula>NOT(ISERROR(SEARCH("BEARISH",B57)))</formula>
    </cfRule>
    <cfRule type="containsBlanks" dxfId="5986" priority="4">
      <formula>LEN(TRIM(B57))=0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Hoja3.BOE">
                <anchor moveWithCells="1">
                  <from>
                    <xdr:col>0</xdr:col>
                    <xdr:colOff>904875</xdr:colOff>
                    <xdr:row>0</xdr:row>
                    <xdr:rowOff>0</xdr:rowOff>
                  </from>
                  <to>
                    <xdr:col>0</xdr:col>
                    <xdr:colOff>2228850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AW50"/>
  <sheetViews>
    <sheetView zoomScale="90" zoomScaleNormal="90" workbookViewId="0">
      <selection activeCell="C6" sqref="C6"/>
    </sheetView>
  </sheetViews>
  <sheetFormatPr baseColWidth="10" defaultRowHeight="15" x14ac:dyDescent="0.25"/>
  <cols>
    <col min="1" max="1" width="26.140625" style="129" bestFit="1" customWidth="1"/>
    <col min="2" max="3" width="8.5703125" style="111" customWidth="1"/>
    <col min="4" max="4" width="8.5703125" style="133" customWidth="1"/>
    <col min="5" max="6" width="8.5703125" style="111" customWidth="1"/>
    <col min="7" max="7" width="8.5703125" style="133" customWidth="1"/>
    <col min="8" max="9" width="8.5703125" style="111" customWidth="1"/>
    <col min="10" max="10" width="8.5703125" style="133" customWidth="1"/>
    <col min="11" max="12" width="8.5703125" style="111" customWidth="1"/>
    <col min="13" max="13" width="8.5703125" style="133" customWidth="1"/>
    <col min="14" max="15" width="8.5703125" style="111" customWidth="1"/>
    <col min="16" max="16" width="8.5703125" style="133" customWidth="1"/>
    <col min="17" max="18" width="8.5703125" style="111" customWidth="1"/>
    <col min="19" max="19" width="8.5703125" style="133" customWidth="1"/>
    <col min="20" max="21" width="8.5703125" style="111" customWidth="1"/>
    <col min="22" max="22" width="8.5703125" style="133" customWidth="1"/>
    <col min="23" max="24" width="8.5703125" style="111" customWidth="1"/>
    <col min="25" max="25" width="8.5703125" style="133" customWidth="1"/>
    <col min="26" max="27" width="8.5703125" style="111" customWidth="1"/>
    <col min="28" max="28" width="8.5703125" style="133" customWidth="1"/>
    <col min="29" max="30" width="8.5703125" style="111" customWidth="1"/>
    <col min="31" max="31" width="8.5703125" style="133" customWidth="1"/>
    <col min="32" max="33" width="8.5703125" style="111" customWidth="1"/>
    <col min="34" max="34" width="8.5703125" style="133" customWidth="1"/>
    <col min="35" max="36" width="8.5703125" style="111" customWidth="1"/>
    <col min="37" max="37" width="8.5703125" style="133" customWidth="1"/>
    <col min="38" max="39" width="7.42578125" style="111" customWidth="1"/>
    <col min="40" max="40" width="7.42578125" style="133" customWidth="1"/>
  </cols>
  <sheetData>
    <row r="1" spans="1:49" x14ac:dyDescent="0.25">
      <c r="A1" s="248" t="s">
        <v>213</v>
      </c>
      <c r="B1" s="360">
        <v>46141</v>
      </c>
      <c r="C1" s="361"/>
      <c r="D1" s="315"/>
      <c r="E1" s="360">
        <v>46099</v>
      </c>
      <c r="F1" s="361"/>
      <c r="G1" s="315"/>
      <c r="H1" s="362">
        <v>46050</v>
      </c>
      <c r="I1" s="363"/>
      <c r="J1" s="100">
        <v>2.2499999999999999E-2</v>
      </c>
      <c r="K1" s="362">
        <v>46001</v>
      </c>
      <c r="L1" s="363"/>
      <c r="M1" s="100">
        <v>2.2499999999999999E-2</v>
      </c>
      <c r="N1" s="362">
        <v>45957</v>
      </c>
      <c r="O1" s="363"/>
      <c r="P1" s="100">
        <v>2.2499999999999999E-2</v>
      </c>
      <c r="Q1" s="360">
        <v>45917</v>
      </c>
      <c r="R1" s="361"/>
      <c r="S1" s="100">
        <v>2.5000000000000001E-2</v>
      </c>
      <c r="T1" s="362">
        <v>45868</v>
      </c>
      <c r="U1" s="364"/>
      <c r="V1" s="100">
        <v>2.75E-2</v>
      </c>
      <c r="W1" s="362">
        <v>45812</v>
      </c>
      <c r="X1" s="364"/>
      <c r="Y1" s="100">
        <v>2.75E-2</v>
      </c>
      <c r="Z1" s="362">
        <v>45763</v>
      </c>
      <c r="AA1" s="364"/>
      <c r="AB1" s="100">
        <v>2.75E-2</v>
      </c>
      <c r="AC1" s="362">
        <v>45728</v>
      </c>
      <c r="AD1" s="363"/>
      <c r="AE1" s="100">
        <v>2.75E-2</v>
      </c>
      <c r="AF1" s="365">
        <v>45686</v>
      </c>
      <c r="AG1" s="366"/>
      <c r="AH1" s="100">
        <v>0.03</v>
      </c>
      <c r="AI1" s="360">
        <v>45637</v>
      </c>
      <c r="AJ1" s="361"/>
      <c r="AK1" s="100">
        <v>3.2500000000000001E-2</v>
      </c>
      <c r="AL1" s="362">
        <v>45588</v>
      </c>
      <c r="AM1" s="364"/>
      <c r="AN1" s="100">
        <v>3.7499999999999999E-2</v>
      </c>
      <c r="AO1" s="360">
        <v>45539</v>
      </c>
      <c r="AP1" s="361"/>
      <c r="AQ1" s="100">
        <v>4.2500000000000003E-2</v>
      </c>
      <c r="AR1" s="360">
        <v>45497</v>
      </c>
      <c r="AS1" s="361"/>
      <c r="AT1" s="101">
        <v>4.4999999999999998E-2</v>
      </c>
      <c r="AU1" s="367">
        <v>45447</v>
      </c>
      <c r="AV1" s="368"/>
      <c r="AW1" s="100">
        <v>4.7500000000000001E-2</v>
      </c>
    </row>
    <row r="2" spans="1:49" x14ac:dyDescent="0.25">
      <c r="A2" s="102" t="s">
        <v>1</v>
      </c>
      <c r="B2" s="316" t="str">
        <f>IF(AND(D3="-",D4="-",D5="-",D6="-",D7="-",D8="-",D9="-",D10="-"),
    "",
    IF(SUM(IF(D3="-",0,IF(D3&lt;0,-2,IF(D3&gt;0,2,0))),
            IF(D4="-",0,IF(D4&lt;0,-2,IF(D4&gt;0,2,0))),
            IF(D5="-",0,IF(D5&lt;0,-2,IF(D5&gt;0,2,0))),
            IF(D6="-",0,IF(D6&lt;0,-2,IF(D6&gt;0,2,0))),
            IF(D7="-",0,IF(D7&lt;0,-2,IF(D7&gt;0,2,0))),
            IF(D8="-",0,IF(D8&lt;0,-1,IF(D8&gt;0,1,0))),
            IF(D9="-",0,IF(D9&lt;0,-1,IF(D9&gt;0,1,0))),
            IF(D10="-",0,IF(D10&lt;0,-1,IF(D10&gt;0,1,0)))) / 13 &gt; 0.1,
        "BULLISH",
        IF(SUM(IF(D3="-",0,IF(D3&lt;0,-2,IF(D3&gt;0,2,0))),
                IF(D4="-",0,IF(D4&lt;0,-2,IF(D4&gt;0,2,0))),
                IF(D5="-",0,IF(D5&lt;0,-2,IF(D5&gt;0,2,0))),
                IF(D6="-",0,IF(D6&lt;0,-2,IF(D6&gt;0,2,0))),
                IF(D7="-",0,IF(D7&lt;0,-2,IF(D7&gt;0,2,0))),
                IF(D8="-",0,IF(D8&lt;0,-1,IF(D8&gt;0,1,0))),
                IF(D9="-",0,IF(D9&lt;0,-1,IF(D9&gt;0,1,0))),
                IF(D10="-",0,IF(D10&lt;0,-1,IF(D10&gt;0,1,0)))) / 13 &lt; -0.1,
            "BEARISH",
            "NEUTRO"
        )
    )
)</f>
        <v>NEUTRO</v>
      </c>
      <c r="C2" s="317"/>
      <c r="D2" s="318"/>
      <c r="E2" s="316" t="str">
        <f>IF(AND(G3="-",G4="-",G5="-",G6="-",G7="-",G8="-",G9="-",G10="-"),
    "",
    IF(SUM(IF(G3="-",0,IF(G3&lt;0,-2,IF(G3&gt;0,2,0))),
            IF(G4="-",0,IF(G4&lt;0,-2,IF(G4&gt;0,2,0))),
            IF(G5="-",0,IF(G5&lt;0,-2,IF(G5&gt;0,2,0))),
            IF(G6="-",0,IF(G6&lt;0,-2,IF(G6&gt;0,2,0))),
            IF(G7="-",0,IF(G7&lt;0,-2,IF(G7&gt;0,2,0))),
            IF(G8="-",0,IF(G8&lt;0,-1,IF(G8&gt;0,1,0))),
            IF(G9="-",0,IF(G9&lt;0,-1,IF(G9&gt;0,1,0))),
            IF(G10="-",0,IF(G10&lt;0,-1,IF(G10&gt;0,1,0)))) / 13 &gt; 0.1,
        "BULLISH",
        IF(SUM(IF(G3="-",0,IF(G3&lt;0,-2,IF(G3&gt;0,2,0))),
                IF(G4="-",0,IF(G4&lt;0,-2,IF(G4&gt;0,2,0))),
                IF(G5="-",0,IF(G5&lt;0,-2,IF(G5&gt;0,2,0))),
                IF(G6="-",0,IF(G6&lt;0,-2,IF(G6&gt;0,2,0))),
                IF(G7="-",0,IF(G7&lt;0,-2,IF(G7&gt;0,2,0))),
                IF(G8="-",0,IF(G8&lt;0,-1,IF(G8&gt;0,1,0))),
                IF(G9="-",0,IF(G9&lt;0,-1,IF(G9&gt;0,1,0))),
                IF(G10="-",0,IF(G10&lt;0,-1,IF(G10&gt;0,1,0)))) / 13 &lt; -0.1,
            "BEARISH",
            "NEUTRO"
        )
    )
)</f>
        <v>BEARISH</v>
      </c>
      <c r="F2" s="317"/>
      <c r="G2" s="318"/>
      <c r="H2" s="316" t="str">
        <f>IF(AND(J3="-",J4="-",J5="-",J6="-",J7="-",J8="-",J9="-",J10="-"),
    "",
    IF(SUM(IF(J3="-",0,IF(J3&lt;0,-2,IF(J3&gt;0,2,0))),
            IF(J4="-",0,IF(J4&lt;0,-2,IF(J4&gt;0,2,0))),
            IF(J5="-",0,IF(J5&lt;0,-2,IF(J5&gt;0,2,0))),
            IF(J6="-",0,IF(J6&lt;0,-2,IF(J6&gt;0,2,0))),
            IF(J7="-",0,IF(J7&lt;0,-2,IF(J7&gt;0,2,0))),
            IF(J8="-",0,IF(J8&lt;0,-1,IF(J8&gt;0,1,0))),
            IF(J9="-",0,IF(J9&lt;0,-1,IF(J9&gt;0,1,0))),
            IF(J10="-",0,IF(J10&lt;0,-1,IF(J10&gt;0,1,0)))) / 13 &gt; 0.1,
        "BULLISH",
        IF(SUM(IF(J3="-",0,IF(J3&lt;0,-2,IF(J3&gt;0,2,0))),
                IF(J4="-",0,IF(J4&lt;0,-2,IF(J4&gt;0,2,0))),
                IF(J5="-",0,IF(J5&lt;0,-2,IF(J5&gt;0,2,0))),
                IF(J6="-",0,IF(J6&lt;0,-2,IF(J6&gt;0,2,0))),
                IF(J7="-",0,IF(J7&lt;0,-2,IF(J7&gt;0,2,0))),
                IF(J8="-",0,IF(J8&lt;0,-1,IF(J8&gt;0,1,0))),
                IF(J9="-",0,IF(J9&lt;0,-1,IF(J9&gt;0,1,0))),
                IF(J10="-",0,IF(J10&lt;0,-1,IF(J10&gt;0,1,0)))) / 13 &lt; -0.1,
            "BEARISH",
            "NEUTRO"
        )
    )
)</f>
        <v>BEARISH</v>
      </c>
      <c r="I2" s="317"/>
      <c r="J2" s="318"/>
      <c r="K2" s="316" t="str">
        <f>IF(AND(M3="-",M4="-",M5="-",M6="-",M7="-",M8="-",M9="-",M10="-"),
    "",
    IF(SUM(IF(M3="-",0,IF(M3&lt;0,-2,IF(M3&gt;0,2,0))),
            IF(M4="-",0,IF(M4&lt;0,-2,IF(M4&gt;0,2,0))),
            IF(M5="-",0,IF(M5&lt;0,-2,IF(M5&gt;0,2,0))),
            IF(M6="-",0,IF(M6&lt;0,-2,IF(M6&gt;0,2,0))),
            IF(M7="-",0,IF(M7&lt;0,-2,IF(M7&gt;0,2,0))),
            IF(M8="-",0,IF(M8&lt;0,-1,IF(M8&gt;0,1,0))),
            IF(M9="-",0,IF(M9&lt;0,-1,IF(M9&gt;0,1,0))),
            IF(M10="-",0,IF(M10&lt;0,-1,IF(M10&gt;0,1,0)))) / 13 &gt; 0.1,
        "BULLISH",
        IF(SUM(IF(M3="-",0,IF(M3&lt;0,-2,IF(M3&gt;0,2,0))),
                IF(M4="-",0,IF(M4&lt;0,-2,IF(M4&gt;0,2,0))),
                IF(M5="-",0,IF(M5&lt;0,-2,IF(M5&gt;0,2,0))),
                IF(M6="-",0,IF(M6&lt;0,-2,IF(M6&gt;0,2,0))),
                IF(M7="-",0,IF(M7&lt;0,-2,IF(M7&gt;0,2,0))),
                IF(M8="-",0,IF(M8&lt;0,-1,IF(M8&gt;0,1,0))),
                IF(M9="-",0,IF(M9&lt;0,-1,IF(M9&gt;0,1,0))),
                IF(M10="-",0,IF(M10&lt;0,-1,IF(M10&gt;0,1,0)))) / 13 &lt; -0.1,
            "BEARISH",
            "NEUTRO"
        )
    )
)</f>
        <v/>
      </c>
      <c r="L2" s="317"/>
      <c r="M2" s="318"/>
      <c r="N2" s="316" t="str">
        <f>IF(AND(P3="-",P4="-",P5="-",P6="-",P7="-",P8="-",P9="-",P10="-"),
    "",
    IF(SUM(IF(P3="-",0,IF(P3&lt;0,-2,IF(P3&gt;0,2,0))),
            IF(P4="-",0,IF(P4&lt;0,-2,IF(P4&gt;0,2,0))),
            IF(P5="-",0,IF(P5&lt;0,-2,IF(P5&gt;0,2,0))),
            IF(P6="-",0,IF(P6&lt;0,-2,IF(P6&gt;0,2,0))),
            IF(P7="-",0,IF(P7&lt;0,-2,IF(P7&gt;0,2,0))),
            IF(P8="-",0,IF(P8&lt;0,-1,IF(P8&gt;0,1,0))),
            IF(P9="-",0,IF(P9&lt;0,-1,IF(P9&gt;0,1,0))),
            IF(P10="-",0,IF(P10&lt;0,-1,IF(P10&gt;0,1,0)))) / 13 &gt; 0.1,
        "BULLISH",
        IF(SUM(IF(P3="-",0,IF(P3&lt;0,-2,IF(P3&gt;0,2,0))),
                IF(P4="-",0,IF(P4&lt;0,-2,IF(P4&gt;0,2,0))),
                IF(P5="-",0,IF(P5&lt;0,-2,IF(P5&gt;0,2,0))),
                IF(P6="-",0,IF(P6&lt;0,-2,IF(P6&gt;0,2,0))),
                IF(P7="-",0,IF(P7&lt;0,-2,IF(P7&gt;0,2,0))),
                IF(P8="-",0,IF(P8&lt;0,-1,IF(P8&gt;0,1,0))),
                IF(P9="-",0,IF(P9&lt;0,-1,IF(P9&gt;0,1,0))),
                IF(P10="-",0,IF(P10&lt;0,-1,IF(P10&gt;0,1,0)))) / 13 &lt; -0.1,
            "BEARISH",
            "NEUTRO"
        )
    )
)</f>
        <v>BULLISH</v>
      </c>
      <c r="O2" s="317"/>
      <c r="P2" s="318"/>
      <c r="Q2" s="316" t="str">
        <f>IF(AND(S3="-",S4="-",S5="-",S6="-",S7="-",S8="-",S9="-",S10="-"),
    "",
    IF(SUM(IF(S3="-",0,IF(S3&lt;0,-2,IF(S3&gt;0,2,0))),
            IF(S4="-",0,IF(S4&lt;0,-2,IF(S4&gt;0,2,0))),
            IF(S5="-",0,IF(S5&lt;0,-2,IF(S5&gt;0,2,0))),
            IF(S6="-",0,IF(S6&lt;0,-2,IF(S6&gt;0,2,0))),
            IF(S7="-",0,IF(S7&lt;0,-2,IF(S7&gt;0,2,0))),
            IF(S8="-",0,IF(S8&lt;0,-1,IF(S8&gt;0,1,0))),
            IF(S9="-",0,IF(S9&lt;0,-1,IF(S9&gt;0,1,0))),
            IF(S10="-",0,IF(S10&lt;0,-1,IF(S10&gt;0,1,0)))) / 13 &gt; 0.1,
        "BULLISH",
        IF(SUM(IF(S3="-",0,IF(S3&lt;0,-2,IF(S3&gt;0,2,0))),
                IF(S4="-",0,IF(S4&lt;0,-2,IF(S4&gt;0,2,0))),
                IF(S5="-",0,IF(S5&lt;0,-2,IF(S5&gt;0,2,0))),
                IF(S6="-",0,IF(S6&lt;0,-2,IF(S6&gt;0,2,0))),
                IF(S7="-",0,IF(S7&lt;0,-2,IF(S7&gt;0,2,0))),
                IF(S8="-",0,IF(S8&lt;0,-1,IF(S8&gt;0,1,0))),
                IF(S9="-",0,IF(S9&lt;0,-1,IF(S9&gt;0,1,0))),
                IF(S10="-",0,IF(S10&lt;0,-1,IF(S10&gt;0,1,0)))) / 13 &lt; -0.1,
            "BEARISH",
            "NEUTRO"
        )
    )
)</f>
        <v>BEARISH</v>
      </c>
      <c r="R2" s="317"/>
      <c r="S2" s="318"/>
      <c r="T2" s="316" t="str">
        <f>IF(AND(V3="-",V4="-",V5="-",V6="-",V7="-",V8="-",V9="-",V10="-"),
    "",
    IF(SUM(IF(V3="-",0,IF(V3&lt;0,-2,IF(V3&gt;0,2,0))),
            IF(V4="-",0,IF(V4&lt;0,-2,IF(V4&gt;0,2,0))),
            IF(V5="-",0,IF(V5&lt;0,-2,IF(V5&gt;0,2,0))),
            IF(V6="-",0,IF(V6&lt;0,-2,IF(V6&gt;0,2,0))),
            IF(V7="-",0,IF(V7&lt;0,-2,IF(V7&gt;0,2,0))),
            IF(V8="-",0,IF(V8&lt;0,-1,IF(V8&gt;0,1,0))),
            IF(V9="-",0,IF(V9&lt;0,-1,IF(V9&gt;0,1,0))),
            IF(V10="-",0,IF(V10&lt;0,-1,IF(V10&gt;0,1,0)))) / 13 &gt; 0.1,
        "BULLISH",
        IF(SUM(IF(V3="-",0,IF(V3&lt;0,-2,IF(V3&gt;0,2,0))),
                IF(V4="-",0,IF(V4&lt;0,-2,IF(V4&gt;0,2,0))),
                IF(V5="-",0,IF(V5&lt;0,-2,IF(V5&gt;0,2,0))),
                IF(V6="-",0,IF(V6&lt;0,-2,IF(V6&gt;0,2,0))),
                IF(V7="-",0,IF(V7&lt;0,-2,IF(V7&gt;0,2,0))),
                IF(V8="-",0,IF(V8&lt;0,-1,IF(V8&gt;0,1,0))),
                IF(V9="-",0,IF(V9&lt;0,-1,IF(V9&gt;0,1,0))),
                IF(V10="-",0,IF(V10&lt;0,-1,IF(V10&gt;0,1,0)))) / 13 &lt; -0.1,
            "BEARISH",
            "NEUTRO"
        )
    )
)</f>
        <v>BULLISH</v>
      </c>
      <c r="U2" s="317"/>
      <c r="V2" s="318"/>
      <c r="W2" s="316" t="str">
        <f>IF(AND(Y3="-",Y4="-",Y5="-",Y6="-",Y7="-",Y8="-",Y9="-",Y10="-"),
    "",
    IF(SUM(IF(Y3="-",0,IF(Y3&lt;0,-2,IF(Y3&gt;0,2,0))),
            IF(Y4="-",0,IF(Y4&lt;0,-2,IF(Y4&gt;0,2,0))),
            IF(Y5="-",0,IF(Y5&lt;0,-2,IF(Y5&gt;0,2,0))),
            IF(Y6="-",0,IF(Y6&lt;0,-2,IF(Y6&gt;0,2,0))),
            IF(Y7="-",0,IF(Y7&lt;0,-2,IF(Y7&gt;0,2,0))),
            IF(Y8="-",0,IF(Y8&lt;0,-1,IF(Y8&gt;0,1,0))),
            IF(Y9="-",0,IF(Y9&lt;0,-1,IF(Y9&gt;0,1,0))),
            IF(Y10="-",0,IF(Y10&lt;0,-1,IF(Y10&gt;0,1,0)))) / 13 &gt; 0.1,
        "BULLISH",
        IF(SUM(IF(Y3="-",0,IF(Y3&lt;0,-2,IF(Y3&gt;0,2,0))),
                IF(Y4="-",0,IF(Y4&lt;0,-2,IF(Y4&gt;0,2,0))),
                IF(Y5="-",0,IF(Y5&lt;0,-2,IF(Y5&gt;0,2,0))),
                IF(Y6="-",0,IF(Y6&lt;0,-2,IF(Y6&gt;0,2,0))),
                IF(Y7="-",0,IF(Y7&lt;0,-2,IF(Y7&gt;0,2,0))),
                IF(Y8="-",0,IF(Y8&lt;0,-1,IF(Y8&gt;0,1,0))),
                IF(Y9="-",0,IF(Y9&lt;0,-1,IF(Y9&gt;0,1,0))),
                IF(Y10="-",0,IF(Y10&lt;0,-1,IF(Y10&gt;0,1,0)))) / 13 &lt; -0.1,
            "BEARISH",
            "NEUTRO"
        )
    )
)</f>
        <v>BULLISH</v>
      </c>
      <c r="X2" s="317"/>
      <c r="Y2" s="318"/>
      <c r="Z2" s="316" t="str">
        <f>IF(AND(AB3="-",AB4="-",AB5="-",AB6="-",AB7="-",AB8="-",AB9="-",AB10="-"),
    "",
    IF(SUM(IF(AB3="-",0,IF(AB3&lt;0,-2,IF(AB3&gt;0,2,0))),
            IF(AB4="-",0,IF(AB4&lt;0,-2,IF(AB4&gt;0,2,0))),
            IF(AB5="-",0,IF(AB5&lt;0,-2,IF(AB5&gt;0,2,0))),
            IF(AB6="-",0,IF(AB6&lt;0,-2,IF(AB6&gt;0,2,0))),
            IF(AB7="-",0,IF(AB7&lt;0,-2,IF(AB7&gt;0,2,0))),
            IF(AB8="-",0,IF(AB8&lt;0,-1,IF(AB8&gt;0,1,0))),
            IF(AB9="-",0,IF(AB9&lt;0,-1,IF(AB9&gt;0,1,0))),
            IF(AB10="-",0,IF(AB10&lt;0,-1,IF(AB10&gt;0,1,0)))) / 13 &gt; 0.1,
        "BULLISH",
        IF(SUM(IF(AB3="-",0,IF(AB3&lt;0,-2,IF(AB3&gt;0,2,0))),
                IF(AB4="-",0,IF(AB4&lt;0,-2,IF(AB4&gt;0,2,0))),
                IF(AB5="-",0,IF(AB5&lt;0,-2,IF(AB5&gt;0,2,0))),
                IF(AB6="-",0,IF(AB6&lt;0,-2,IF(AB6&gt;0,2,0))),
                IF(AB7="-",0,IF(AB7&lt;0,-2,IF(AB7&gt;0,2,0))),
                IF(AB8="-",0,IF(AB8&lt;0,-1,IF(AB8&gt;0,1,0))),
                IF(AB9="-",0,IF(AB9&lt;0,-1,IF(AB9&gt;0,1,0))),
                IF(AB10="-",0,IF(AB10&lt;0,-1,IF(AB10&gt;0,1,0)))) / 13 &lt; -0.1,
            "BEARISH",
            "NEUTRO"
        )
    )
)</f>
        <v>BULLISH</v>
      </c>
      <c r="AA2" s="317"/>
      <c r="AB2" s="318"/>
      <c r="AC2" s="316" t="str">
        <f>IF(AND(AE3="-",AE4="-",AE5="-",AE6="-",AE7="-",AE8="-",AE9="-",AE10="-"),
    "",
    IF(SUM(IF(AE3="-",0,IF(AE3&lt;0,-2,IF(AE3&gt;0,2,0))),
            IF(AE4="-",0,IF(AE4&lt;0,-2,IF(AE4&gt;0,2,0))),
            IF(AE5="-",0,IF(AE5&lt;0,-2,IF(AE5&gt;0,2,0))),
            IF(AE6="-",0,IF(AE6&lt;0,-2,IF(AE6&gt;0,2,0))),
            IF(AE7="-",0,IF(AE7&lt;0,-2,IF(AE7&gt;0,2,0))),
            IF(AE8="-",0,IF(AE8&lt;0,-1,IF(AE8&gt;0,1,0))),
            IF(AE9="-",0,IF(AE9&lt;0,-1,IF(AE9&gt;0,1,0))),
            IF(AE10="-",0,IF(AE10&lt;0,-1,IF(AE10&gt;0,1,0)))) / 13 &gt; 0.1,
        "BULLISH",
        IF(SUM(IF(AE3="-",0,IF(AE3&lt;0,-2,IF(AE3&gt;0,2,0))),
                IF(AE4="-",0,IF(AE4&lt;0,-2,IF(AE4&gt;0,2,0))),
                IF(AE5="-",0,IF(AE5&lt;0,-2,IF(AE5&gt;0,2,0))),
                IF(AE6="-",0,IF(AE6&lt;0,-2,IF(AE6&gt;0,2,0))),
                IF(AE7="-",0,IF(AE7&lt;0,-2,IF(AE7&gt;0,2,0))),
                IF(AE8="-",0,IF(AE8&lt;0,-1,IF(AE8&gt;0,1,0))),
                IF(AE9="-",0,IF(AE9&lt;0,-1,IF(AE9&gt;0,1,0))),
                IF(AE10="-",0,IF(AE10&lt;0,-1,IF(AE10&gt;0,1,0)))) / 13 &lt; -0.1,
            "BEARISH",
            "NEUTRO"
        )
    )
)</f>
        <v>BULLISH</v>
      </c>
      <c r="AD2" s="317"/>
      <c r="AE2" s="318"/>
      <c r="AF2" s="316" t="str">
        <f>IF(AND(AH3="-",AH4="-",AH5="-",AH6="-",AH7="-",AH8="-",AH9="-",AH10="-"),
    "",
    IF(SUM(IF(AH3="-",0,IF(AH3&lt;0,-2,IF(AH3&gt;0,2,0))),
            IF(AH4="-",0,IF(AH4&lt;0,-2,IF(AH4&gt;0,2,0))),
            IF(AH5="-",0,IF(AH5&lt;0,-2,IF(AH5&gt;0,2,0))),
            IF(AH6="-",0,IF(AH6&lt;0,-2,IF(AH6&gt;0,2,0))),
            IF(AH7="-",0,IF(AH7&lt;0,-2,IF(AH7&gt;0,2,0))),
            IF(AH8="-",0,IF(AH8&lt;0,-1,IF(AH8&gt;0,1,0))),
            IF(AH9="-",0,IF(AH9&lt;0,-1,IF(AH9&gt;0,1,0))),
            IF(AH10="-",0,IF(AH10&lt;0,-1,IF(AH10&gt;0,1,0)))) / 13 &gt; 0.1,
        "BULLISH",
        IF(SUM(IF(AH3="-",0,IF(AH3&lt;0,-2,IF(AH3&gt;0,2,0))),
                IF(AH4="-",0,IF(AH4&lt;0,-2,IF(AH4&gt;0,2,0))),
                IF(AH5="-",0,IF(AH5&lt;0,-2,IF(AH5&gt;0,2,0))),
                IF(AH6="-",0,IF(AH6&lt;0,-2,IF(AH6&gt;0,2,0))),
                IF(AH7="-",0,IF(AH7&lt;0,-2,IF(AH7&gt;0,2,0))),
                IF(AH8="-",0,IF(AH8&lt;0,-1,IF(AH8&gt;0,1,0))),
                IF(AH9="-",0,IF(AH9&lt;0,-1,IF(AH9&gt;0,1,0))),
                IF(AH10="-",0,IF(AH10&lt;0,-1,IF(AH10&gt;0,1,0)))) / 13 &lt; -0.1,
            "BEARISH",
            "NEUTRO"
        )
    )
)</f>
        <v>BEARISH</v>
      </c>
      <c r="AG2" s="317"/>
      <c r="AH2" s="318"/>
      <c r="AI2" s="316" t="str">
        <f>IF(AND(AK3="-",AK4="-",AK5="-",AK6="-",AK7="-",AK8="-",AK9="-",AK10="-"),
    "",
    IF(SUM(IF(AK3="-",0,IF(AK3&lt;0,-2,IF(AK3&gt;0,2,0))),
            IF(AK4="-",0,IF(AK4&lt;0,-2,IF(AK4&gt;0,2,0))),
            IF(AK5="-",0,IF(AK5&lt;0,-2,IF(AK5&gt;0,2,0))),
            IF(AK6="-",0,IF(AK6&lt;0,-2,IF(AK6&gt;0,2,0))),
            IF(AK7="-",0,IF(AK7&lt;0,-2,IF(AK7&gt;0,2,0))),
            IF(AK8="-",0,IF(AK8&lt;0,-1,IF(AK8&gt;0,1,0))),
            IF(AK9="-",0,IF(AK9&lt;0,-1,IF(AK9&gt;0,1,0))),
            IF(AK10="-",0,IF(AK10&lt;0,-1,IF(AK10&gt;0,1,0)))) / 13 &gt; 0.1,
        "BULLISH",
        IF(SUM(IF(AK3="-",0,IF(AK3&lt;0,-2,IF(AK3&gt;0,2,0))),
                IF(AK4="-",0,IF(AK4&lt;0,-2,IF(AK4&gt;0,2,0))),
                IF(AK5="-",0,IF(AK5&lt;0,-2,IF(AK5&gt;0,2,0))),
                IF(AK6="-",0,IF(AK6&lt;0,-2,IF(AK6&gt;0,2,0))),
                IF(AK7="-",0,IF(AK7&lt;0,-2,IF(AK7&gt;0,2,0))),
                IF(AK8="-",0,IF(AK8&lt;0,-1,IF(AK8&gt;0,1,0))),
                IF(AK9="-",0,IF(AK9&lt;0,-1,IF(AK9&gt;0,1,0))),
                IF(AK10="-",0,IF(AK10&lt;0,-1,IF(AK10&gt;0,1,0)))) / 13 &lt; -0.1,
            "BEARISH",
            "NEUTRO"
        )
    )
)</f>
        <v>BULLISH</v>
      </c>
      <c r="AJ2" s="317"/>
      <c r="AK2" s="318"/>
      <c r="AL2" s="316" t="str">
        <f>IF(AND(AN3="-",AN4="-",AN5="-",AN6="-",AN7="-",AN8="-",AN9="-",AN10="-"),
    "",
    IF(SUM(IF(AN3="-",0,IF(AN3&lt;0,-2,IF(AN3&gt;0,2,0))),
            IF(AN4="-",0,IF(AN4&lt;0,-2,IF(AN4&gt;0,2,0))),
            IF(AN5="-",0,IF(AN5&lt;0,-2,IF(AN5&gt;0,2,0))),
            IF(AN6="-",0,IF(AN6&lt;0,-2,IF(AN6&gt;0,2,0))),
            IF(AN7="-",0,IF(AN7&lt;0,-2,IF(AN7&gt;0,2,0))),
            IF(AN8="-",0,IF(AN8&lt;0,-1,IF(AN8&gt;0,1,0))),
            IF(AN9="-",0,IF(AN9&lt;0,-1,IF(AN9&gt;0,1,0))),
            IF(AN10="-",0,IF(AN10&lt;0,-1,IF(AN10&gt;0,1,0)))) / 13 &gt; 0.1,
        "BULLISH",
        IF(SUM(IF(AN3="-",0,IF(AN3&lt;0,-2,IF(AN3&gt;0,2,0))),
                IF(AN4="-",0,IF(AN4&lt;0,-2,IF(AN4&gt;0,2,0))),
                IF(AN5="-",0,IF(AN5&lt;0,-2,IF(AN5&gt;0,2,0))),
                IF(AN6="-",0,IF(AN6&lt;0,-2,IF(AN6&gt;0,2,0))),
                IF(AN7="-",0,IF(AN7&lt;0,-2,IF(AN7&gt;0,2,0))),
                IF(AN8="-",0,IF(AN8&lt;0,-1,IF(AN8&gt;0,1,0))),
                IF(AN9="-",0,IF(AN9&lt;0,-1,IF(AN9&gt;0,1,0))),
                IF(AN10="-",0,IF(AN10&lt;0,-1,IF(AN10&gt;0,1,0)))) / 13 &lt; -0.1,
            "BEARISH",
            "NEUTRO"
        )
    )
)</f>
        <v>NEUTRO</v>
      </c>
      <c r="AM2" s="317"/>
      <c r="AN2" s="318"/>
      <c r="AO2" s="316" t="str">
        <f>IF(AND(AQ3="-",AQ4="-",AQ5="-",AQ6="-",AQ7="-",AQ8="-",AQ9="-",AQ10="-"),
    "",
    IF(SUM(IF(AQ3="-",0,IF(AQ3&lt;0,-2,IF(AQ3&gt;0,2,0))),
            IF(AQ4="-",0,IF(AQ4&lt;0,-2,IF(AQ4&gt;0,2,0))),
            IF(AQ5="-",0,IF(AQ5&lt;0,-2,IF(AQ5&gt;0,2,0))),
            IF(AQ6="-",0,IF(AQ6&lt;0,-2,IF(AQ6&gt;0,2,0))),
            IF(AQ7="-",0,IF(AQ7&lt;0,-2,IF(AQ7&gt;0,2,0))),
            IF(AQ8="-",0,IF(AQ8&lt;0,-1,IF(AQ8&gt;0,1,0))),
            IF(AQ9="-",0,IF(AQ9&lt;0,-1,IF(AQ9&gt;0,1,0))),
            IF(AQ10="-",0,IF(AQ10&lt;0,-1,IF(AQ10&gt;0,1,0)))) / 13 &gt; 0.1,
        "BULLISH",
        IF(SUM(IF(AQ3="-",0,IF(AQ3&lt;0,-2,IF(AQ3&gt;0,2,0))),
                IF(AQ4="-",0,IF(AQ4&lt;0,-2,IF(AQ4&gt;0,2,0))),
                IF(AQ5="-",0,IF(AQ5&lt;0,-2,IF(AQ5&gt;0,2,0))),
                IF(AQ6="-",0,IF(AQ6&lt;0,-2,IF(AQ6&gt;0,2,0))),
                IF(AQ7="-",0,IF(AQ7&lt;0,-2,IF(AQ7&gt;0,2,0))),
                IF(AQ8="-",0,IF(AQ8&lt;0,-1,IF(AQ8&gt;0,1,0))),
                IF(AQ9="-",0,IF(AQ9&lt;0,-1,IF(AQ9&gt;0,1,0))),
                IF(AQ10="-",0,IF(AQ10&lt;0,-1,IF(AQ10&gt;0,1,0)))) / 13 &lt; -0.1,
            "BEARISH",
            "NEUTRO"
        )
    )
)</f>
        <v>NEUTRO</v>
      </c>
      <c r="AP2" s="317"/>
      <c r="AQ2" s="318"/>
      <c r="AR2" s="316" t="str">
        <f>IF(AND(AT3="-",AT4="-",AT5="-",AT6="-",AT7="-",AT8="-",AT9="-",AT10="-"),
    "",
    IF(SUM(IF(AT3="-",0,IF(AT3&lt;0,-2,IF(AT3&gt;0,2,0))),
            IF(AT4="-",0,IF(AT4&lt;0,-2,IF(AT4&gt;0,2,0))),
            IF(AT5="-",0,IF(AT5&lt;0,-2,IF(AT5&gt;0,2,0))),
            IF(AT6="-",0,IF(AT6&lt;0,-2,IF(AT6&gt;0,2,0))),
            IF(AT7="-",0,IF(AT7&lt;0,-2,IF(AT7&gt;0,2,0))),
            IF(AT8="-",0,IF(AT8&lt;0,-1,IF(AT8&gt;0,1,0))),
            IF(AT9="-",0,IF(AT9&lt;0,-1,IF(AT9&gt;0,1,0))),
            IF(AT10="-",0,IF(AT10&lt;0,-1,IF(AT10&gt;0,1,0)))) / 13 &gt; 0.1,
        "BULLISH",
        IF(SUM(IF(AT3="-",0,IF(AT3&lt;0,-2,IF(AT3&gt;0,2,0))),
                IF(AT4="-",0,IF(AT4&lt;0,-2,IF(AT4&gt;0,2,0))),
                IF(AT5="-",0,IF(AT5&lt;0,-2,IF(AT5&gt;0,2,0))),
                IF(AT6="-",0,IF(AT6&lt;0,-2,IF(AT6&gt;0,2,0))),
                IF(AT7="-",0,IF(AT7&lt;0,-2,IF(AT7&gt;0,2,0))),
                IF(AT8="-",0,IF(AT8&lt;0,-1,IF(AT8&gt;0,1,0))),
                IF(AT9="-",0,IF(AT9&lt;0,-1,IF(AT9&gt;0,1,0))),
                IF(AT10="-",0,IF(AT10&lt;0,-1,IF(AT10&gt;0,1,0)))) / 13 &lt; -0.1,
            "BEARISH",
            "NEUTRO"
        )
    )
)</f>
        <v>BEARISH</v>
      </c>
      <c r="AS2" s="317"/>
      <c r="AT2" s="318"/>
      <c r="AU2" s="316" t="e">
        <f>IF(AND(#REF!="-",#REF!="-",#REF!="-",#REF!="-",#REF!="-",#REF!="-",#REF!="-",#REF!="-"),
    "",
    IF(SUM(IF(#REF!="-",0,IF(#REF!&lt;0,-2,IF(#REF!&gt;0,2,0))),
            IF(#REF!="-",0,IF(#REF!&lt;0,-2,IF(#REF!&gt;0,2,0))),
            IF(#REF!="-",0,IF(#REF!&lt;0,-2,IF(#REF!&gt;0,2,0))),
            IF(#REF!="-",0,IF(#REF!&lt;0,-2,IF(#REF!&gt;0,2,0))),
            IF(#REF!="-",0,IF(#REF!&lt;0,-2,IF(#REF!&gt;0,2,0))),
            IF(#REF!="-",0,IF(#REF!&lt;0,-1,IF(#REF!&gt;0,1,0))),
            IF(#REF!="-",0,IF(#REF!&lt;0,-1,IF(#REF!&gt;0,1,0))),
            IF(#REF!="-",0,IF(#REF!&lt;0,-1,IF(#REF!&gt;0,1,0)))) / 13 &gt; 0.1,
        "BULLISH",
        IF(SUM(IF(#REF!="-",0,IF(#REF!&lt;0,-2,IF(#REF!&gt;0,2,0))),
                IF(#REF!="-",0,IF(#REF!&lt;0,-2,IF(#REF!&gt;0,2,0))),
                IF(#REF!="-",0,IF(#REF!&lt;0,-2,IF(#REF!&gt;0,2,0))),
                IF(#REF!="-",0,IF(#REF!&lt;0,-2,IF(#REF!&gt;0,2,0))),
                IF(#REF!="-",0,IF(#REF!&lt;0,-2,IF(#REF!&gt;0,2,0))),
                IF(#REF!="-",0,IF(#REF!&lt;0,-1,IF(#REF!&gt;0,1,0))),
                IF(#REF!="-",0,IF(#REF!&lt;0,-1,IF(#REF!&gt;0,1,0))),
                IF(#REF!="-",0,IF(#REF!&lt;0,-1,IF(#REF!&gt;0,1,0)))) / 13 &lt; -0.1,
            "BEARISH",
            "NEUTRO"
        )
    )
)</f>
        <v>#REF!</v>
      </c>
      <c r="AV2" s="317"/>
      <c r="AW2" s="318"/>
    </row>
    <row r="3" spans="1:49" x14ac:dyDescent="0.25">
      <c r="A3" s="103" t="s">
        <v>87</v>
      </c>
      <c r="B3" s="105"/>
      <c r="C3" s="105"/>
      <c r="D3" s="34">
        <f t="shared" ref="D3:D10" si="0">B3-C3</f>
        <v>0</v>
      </c>
      <c r="E3" s="105">
        <v>8.9999999999999993E-3</v>
      </c>
      <c r="F3" s="105">
        <v>5.0000000000000001E-3</v>
      </c>
      <c r="G3" s="34">
        <f t="shared" ref="G3:G10" si="1">E3-F3</f>
        <v>3.9999999999999992E-3</v>
      </c>
      <c r="H3" s="104">
        <v>-2E-3</v>
      </c>
      <c r="I3" s="104">
        <v>1E-3</v>
      </c>
      <c r="J3" s="34">
        <f t="shared" ref="J3:J10" si="2">IF(ISBLANK(H3),"-",H3-I3)</f>
        <v>-3.0000000000000001E-3</v>
      </c>
      <c r="K3" s="105"/>
      <c r="L3" s="105"/>
      <c r="M3" s="34" t="str">
        <f t="shared" ref="M3:M10" si="3">IF(ISBLANK(K3),"-",K3-L3)</f>
        <v>-</v>
      </c>
      <c r="N3" s="104">
        <v>1E-3</v>
      </c>
      <c r="O3" s="104">
        <v>-1E-3</v>
      </c>
      <c r="P3" s="34">
        <f t="shared" ref="P3:P10" si="4">IF(ISBLANK(N3),"-",N3-O3)</f>
        <v>2E-3</v>
      </c>
      <c r="Q3" s="104">
        <v>-1E-3</v>
      </c>
      <c r="R3" s="104">
        <v>1E-3</v>
      </c>
      <c r="S3" s="34">
        <f t="shared" ref="S3:S10" si="5">IF(ISBLANK(Q3),"-",Q3-R3)</f>
        <v>-2E-3</v>
      </c>
      <c r="T3" s="104">
        <v>1E-3</v>
      </c>
      <c r="U3" s="104">
        <v>-1E-3</v>
      </c>
      <c r="V3" s="34">
        <f t="shared" ref="V3:V10" si="6">IF(ISBLANK(T3),"-",T3-U3)</f>
        <v>2E-3</v>
      </c>
      <c r="W3" s="104">
        <v>-1E-3</v>
      </c>
      <c r="X3" s="104">
        <v>3.0000000000000001E-3</v>
      </c>
      <c r="Y3" s="34">
        <f t="shared" ref="Y3:Y10" si="7">IF(ISBLANK(W3),"-",W3-X3)</f>
        <v>-4.0000000000000001E-3</v>
      </c>
      <c r="Z3" s="104">
        <v>3.0000000000000001E-3</v>
      </c>
      <c r="AA3" s="104">
        <v>1E-3</v>
      </c>
      <c r="AB3" s="34">
        <f t="shared" ref="AB3:AB10" si="8">IF(ISBLANK(Z3),"-",Z3-AA3)</f>
        <v>2E-3</v>
      </c>
      <c r="AC3" s="104">
        <v>1E-3</v>
      </c>
      <c r="AD3" s="104">
        <v>-4.0000000000000001E-3</v>
      </c>
      <c r="AE3" s="34">
        <f t="shared" ref="AE3:AE10" si="9">IF(ISBLANK(AC3),"-",AC3-AD3)</f>
        <v>5.0000000000000001E-3</v>
      </c>
      <c r="AF3" s="104">
        <v>-4.0000000000000001E-3</v>
      </c>
      <c r="AG3" s="104">
        <v>4.0000000000000001E-3</v>
      </c>
      <c r="AH3" s="34">
        <f t="shared" ref="AH3:AH10" si="10">IF(ISBLANK(AF3),"-",AF3-AG3)</f>
        <v>-8.0000000000000002E-3</v>
      </c>
      <c r="AI3" s="104">
        <v>4.0000000000000001E-3</v>
      </c>
      <c r="AJ3" s="104">
        <v>-4.0000000000000001E-3</v>
      </c>
      <c r="AK3" s="34">
        <f t="shared" ref="AK3:AK10" si="11">IF(ISBLANK(AI3),"-",AI3-AJ3)</f>
        <v>8.0000000000000002E-3</v>
      </c>
      <c r="AL3" s="104">
        <v>-4.0000000000000001E-3</v>
      </c>
      <c r="AM3" s="104">
        <v>-2E-3</v>
      </c>
      <c r="AN3" s="34">
        <f t="shared" ref="AN3:AN10" si="12">IF(ISBLANK(AL3),"-",AL3-AM3)</f>
        <v>-2E-3</v>
      </c>
      <c r="AO3" s="104">
        <v>4.0000000000000001E-3</v>
      </c>
      <c r="AP3" s="104">
        <v>-1E-3</v>
      </c>
      <c r="AQ3" s="34">
        <f t="shared" ref="AQ3:AQ10" si="13">IF(ISBLANK(AO3),"-",AO3-AP3)</f>
        <v>5.0000000000000001E-3</v>
      </c>
      <c r="AR3" s="104">
        <v>-1E-3</v>
      </c>
      <c r="AS3" s="104">
        <v>6.0000000000000001E-3</v>
      </c>
      <c r="AT3" s="34">
        <f t="shared" ref="AT3:AT10" si="14">IF(ISBLANK(AR3),"-",AR3-AS3)</f>
        <v>-7.0000000000000001E-3</v>
      </c>
      <c r="AU3" s="104">
        <v>6.0000000000000001E-3</v>
      </c>
      <c r="AV3" s="104">
        <v>3.0000000000000001E-3</v>
      </c>
      <c r="AW3" s="34">
        <f t="shared" ref="AW3:AW10" si="15">IF(ISBLANK(AU3),"-",AU3-AV3)</f>
        <v>3.0000000000000001E-3</v>
      </c>
    </row>
    <row r="4" spans="1:49" x14ac:dyDescent="0.25">
      <c r="A4" s="103" t="s">
        <v>89</v>
      </c>
      <c r="B4" s="105"/>
      <c r="C4" s="105"/>
      <c r="D4" s="34">
        <f t="shared" si="0"/>
        <v>0</v>
      </c>
      <c r="E4" s="105">
        <v>2E-3</v>
      </c>
      <c r="F4" s="105">
        <v>4.0000000000000001E-3</v>
      </c>
      <c r="G4" s="34">
        <f t="shared" si="1"/>
        <v>-2E-3</v>
      </c>
      <c r="H4" s="107">
        <v>-4.0000000000000001E-3</v>
      </c>
      <c r="I4" s="104">
        <v>-1E-3</v>
      </c>
      <c r="J4" s="34">
        <f>IF(ISBLANK(H4),"-",H4-I4)</f>
        <v>-3.0000000000000001E-3</v>
      </c>
      <c r="K4" s="105"/>
      <c r="L4" s="105"/>
      <c r="M4" s="34" t="str">
        <f>IF(ISBLANK(K4),"-",K4-L4)</f>
        <v>-</v>
      </c>
      <c r="N4" s="104">
        <v>2E-3</v>
      </c>
      <c r="O4" s="105">
        <v>0</v>
      </c>
      <c r="P4" s="34">
        <f>IF(ISBLANK(N4),"-",N4-O4)</f>
        <v>2E-3</v>
      </c>
      <c r="Q4" s="104">
        <v>1E-3</v>
      </c>
      <c r="R4" s="104">
        <v>1E-3</v>
      </c>
      <c r="S4" s="34">
        <f>IF(ISBLANK(Q4),"-",Q4-R4)</f>
        <v>0</v>
      </c>
      <c r="T4" s="104">
        <v>6.0000000000000001E-3</v>
      </c>
      <c r="U4" s="104">
        <v>5.0000000000000001E-3</v>
      </c>
      <c r="V4" s="34">
        <f>IF(ISBLANK(T4),"-",T4-U4)</f>
        <v>1E-3</v>
      </c>
      <c r="W4" s="104">
        <v>5.0000000000000001E-3</v>
      </c>
      <c r="X4" s="104">
        <v>1E-3</v>
      </c>
      <c r="Y4" s="34">
        <f>IF(ISBLANK(W4),"-",W4-X4)</f>
        <v>4.0000000000000001E-3</v>
      </c>
      <c r="Z4" s="104">
        <v>1E-3</v>
      </c>
      <c r="AA4" s="104">
        <v>4.0000000000000001E-3</v>
      </c>
      <c r="AB4" s="34">
        <f>IF(ISBLANK(Z4),"-",Z4-AA4)</f>
        <v>-3.0000000000000001E-3</v>
      </c>
      <c r="AC4" s="104">
        <v>4.0000000000000001E-3</v>
      </c>
      <c r="AD4" s="104">
        <v>-3.0000000000000001E-3</v>
      </c>
      <c r="AE4" s="34">
        <f>IF(ISBLANK(AC4),"-",AC4-AD4)</f>
        <v>7.0000000000000001E-3</v>
      </c>
      <c r="AF4" s="104">
        <v>-3.0000000000000001E-3</v>
      </c>
      <c r="AG4" s="104">
        <v>-1E-3</v>
      </c>
      <c r="AH4" s="34">
        <f>IF(ISBLANK(AF4),"-",AF4-AG4)</f>
        <v>-2E-3</v>
      </c>
      <c r="AI4" s="104">
        <v>4.0000000000000001E-3</v>
      </c>
      <c r="AJ4" s="105">
        <v>0</v>
      </c>
      <c r="AK4" s="34">
        <f>IF(ISBLANK(AI4),"-",AI4-AJ4)</f>
        <v>4.0000000000000001E-3</v>
      </c>
      <c r="AL4" s="104">
        <v>0</v>
      </c>
      <c r="AM4" s="104">
        <v>-1E-3</v>
      </c>
      <c r="AN4" s="34">
        <f>IF(ISBLANK(AL4),"-",AL4-AM4)</f>
        <v>1E-3</v>
      </c>
      <c r="AO4" s="104">
        <v>3.0000000000000001E-3</v>
      </c>
      <c r="AP4" s="104">
        <v>-1E-3</v>
      </c>
      <c r="AQ4" s="34">
        <f>IF(ISBLANK(AO4),"-",AO4-AP4)</f>
        <v>4.0000000000000001E-3</v>
      </c>
      <c r="AR4" s="104">
        <v>-1E-3</v>
      </c>
      <c r="AS4" s="104">
        <v>6.0000000000000001E-3</v>
      </c>
      <c r="AT4" s="34">
        <f t="shared" si="14"/>
        <v>-7.0000000000000001E-3</v>
      </c>
      <c r="AU4" s="104">
        <v>5.0000000000000001E-3</v>
      </c>
      <c r="AV4" s="104">
        <v>3.1E-2</v>
      </c>
      <c r="AW4" s="34">
        <f t="shared" si="15"/>
        <v>-2.5999999999999999E-2</v>
      </c>
    </row>
    <row r="5" spans="1:49" x14ac:dyDescent="0.25">
      <c r="A5" s="106" t="s">
        <v>214</v>
      </c>
      <c r="B5" s="105"/>
      <c r="C5" s="105"/>
      <c r="D5" s="34">
        <f t="shared" si="0"/>
        <v>0</v>
      </c>
      <c r="E5" s="105">
        <v>2.5999999999999999E-2</v>
      </c>
      <c r="F5" s="105">
        <v>2.4E-2</v>
      </c>
      <c r="G5" s="34">
        <f t="shared" si="1"/>
        <v>1.9999999999999983E-3</v>
      </c>
      <c r="H5" s="104">
        <v>2.8000000000000001E-2</v>
      </c>
      <c r="I5" s="104">
        <v>2.8000000000000001E-2</v>
      </c>
      <c r="J5" s="34">
        <f t="shared" si="2"/>
        <v>0</v>
      </c>
      <c r="K5" s="105"/>
      <c r="L5" s="105"/>
      <c r="M5" s="34" t="str">
        <f t="shared" si="3"/>
        <v>-</v>
      </c>
      <c r="N5" s="104">
        <v>2.7E-2</v>
      </c>
      <c r="O5" s="104">
        <v>2.5000000000000001E-2</v>
      </c>
      <c r="P5" s="34">
        <f t="shared" si="4"/>
        <v>1.9999999999999983E-3</v>
      </c>
      <c r="Q5" s="104">
        <v>2.5000000000000001E-2</v>
      </c>
      <c r="R5" s="104">
        <v>2.5999999999999999E-2</v>
      </c>
      <c r="S5" s="34">
        <f t="shared" si="5"/>
        <v>-9.9999999999999742E-4</v>
      </c>
      <c r="T5" s="104">
        <v>2.5999999999999999E-2</v>
      </c>
      <c r="U5" s="104">
        <v>2.5000000000000001E-2</v>
      </c>
      <c r="V5" s="34">
        <f t="shared" si="6"/>
        <v>9.9999999999999742E-4</v>
      </c>
      <c r="W5" s="104">
        <v>2.5000000000000001E-2</v>
      </c>
      <c r="X5" s="104">
        <v>2.3E-2</v>
      </c>
      <c r="Y5" s="34">
        <f t="shared" si="7"/>
        <v>2.0000000000000018E-3</v>
      </c>
      <c r="Z5" s="104">
        <v>2.3E-2</v>
      </c>
      <c r="AA5" s="104">
        <v>2.1999999999999999E-2</v>
      </c>
      <c r="AB5" s="34">
        <f t="shared" si="8"/>
        <v>1.0000000000000009E-3</v>
      </c>
      <c r="AC5" s="104">
        <v>2.1999999999999999E-2</v>
      </c>
      <c r="AD5" s="107">
        <v>0.02</v>
      </c>
      <c r="AE5" s="34">
        <f t="shared" si="9"/>
        <v>1.9999999999999983E-3</v>
      </c>
      <c r="AF5" s="107">
        <v>0.02</v>
      </c>
      <c r="AG5" s="104">
        <v>2.1999999999999999E-2</v>
      </c>
      <c r="AH5" s="34">
        <f t="shared" si="10"/>
        <v>-1.9999999999999983E-3</v>
      </c>
      <c r="AI5" s="104">
        <v>2.1999999999999999E-2</v>
      </c>
      <c r="AJ5" s="104">
        <v>2.1000000000000001E-2</v>
      </c>
      <c r="AK5" s="34">
        <f t="shared" si="11"/>
        <v>9.9999999999999742E-4</v>
      </c>
      <c r="AL5" s="107">
        <v>2.1000000000000001E-2</v>
      </c>
      <c r="AM5" s="104">
        <v>1.9E-2</v>
      </c>
      <c r="AN5" s="34">
        <f t="shared" si="12"/>
        <v>2.0000000000000018E-3</v>
      </c>
      <c r="AO5" s="104">
        <v>2.1999999999999999E-2</v>
      </c>
      <c r="AP5" s="104">
        <v>2.3E-2</v>
      </c>
      <c r="AQ5" s="34">
        <f t="shared" si="13"/>
        <v>-1.0000000000000009E-3</v>
      </c>
      <c r="AR5" s="104">
        <v>2.3E-2</v>
      </c>
      <c r="AS5" s="104">
        <v>2.4E-2</v>
      </c>
      <c r="AT5" s="34">
        <f t="shared" si="14"/>
        <v>-1.0000000000000009E-3</v>
      </c>
      <c r="AU5" s="104">
        <v>2.9000000000000001E-2</v>
      </c>
      <c r="AV5" s="104">
        <v>3.2000000000000001E-2</v>
      </c>
      <c r="AW5" s="34">
        <f t="shared" si="15"/>
        <v>-2.9999999999999992E-3</v>
      </c>
    </row>
    <row r="6" spans="1:49" x14ac:dyDescent="0.25">
      <c r="A6" s="103" t="s">
        <v>215</v>
      </c>
      <c r="B6" s="105"/>
      <c r="C6" s="105"/>
      <c r="D6" s="34">
        <f t="shared" si="0"/>
        <v>0</v>
      </c>
      <c r="E6" s="105">
        <v>2.3E-2</v>
      </c>
      <c r="F6" s="105">
        <v>2.3E-2</v>
      </c>
      <c r="G6" s="34">
        <f t="shared" si="1"/>
        <v>0</v>
      </c>
      <c r="H6" s="104">
        <v>2.5000000000000001E-2</v>
      </c>
      <c r="I6" s="107">
        <v>2.8000000000000001E-2</v>
      </c>
      <c r="J6" s="34">
        <f t="shared" si="2"/>
        <v>-2.9999999999999992E-3</v>
      </c>
      <c r="K6" s="105"/>
      <c r="L6" s="105"/>
      <c r="M6" s="34" t="str">
        <f t="shared" si="3"/>
        <v>-</v>
      </c>
      <c r="N6" s="104">
        <v>3.2000000000000001E-2</v>
      </c>
      <c r="O6" s="104">
        <v>3.2000000000000001E-2</v>
      </c>
      <c r="P6" s="34">
        <f t="shared" si="4"/>
        <v>0</v>
      </c>
      <c r="Q6" s="104">
        <v>3.1E-2</v>
      </c>
      <c r="R6" s="107">
        <v>0.03</v>
      </c>
      <c r="S6" s="34">
        <f t="shared" si="5"/>
        <v>1.0000000000000009E-3</v>
      </c>
      <c r="T6" s="107">
        <v>3.1E-2</v>
      </c>
      <c r="U6" s="104">
        <v>3.1E-2</v>
      </c>
      <c r="V6" s="34">
        <f t="shared" si="6"/>
        <v>0</v>
      </c>
      <c r="W6" s="104">
        <v>3.2000000000000001E-2</v>
      </c>
      <c r="X6" s="104">
        <v>2.9000000000000001E-2</v>
      </c>
      <c r="Y6" s="34">
        <f t="shared" si="7"/>
        <v>2.9999999999999992E-3</v>
      </c>
      <c r="Z6" s="104">
        <v>2.9000000000000001E-2</v>
      </c>
      <c r="AA6" s="104">
        <v>2.7E-2</v>
      </c>
      <c r="AB6" s="34">
        <f t="shared" si="8"/>
        <v>2.0000000000000018E-3</v>
      </c>
      <c r="AC6" s="104">
        <v>2.7E-2</v>
      </c>
      <c r="AD6" s="104">
        <v>2.5999999999999999E-2</v>
      </c>
      <c r="AE6" s="34">
        <f t="shared" si="9"/>
        <v>1.0000000000000009E-3</v>
      </c>
      <c r="AF6" s="104">
        <v>2.4E-2</v>
      </c>
      <c r="AG6" s="104">
        <v>2.5999999999999999E-2</v>
      </c>
      <c r="AH6" s="34">
        <f t="shared" si="10"/>
        <v>-1.9999999999999983E-3</v>
      </c>
      <c r="AI6" s="104">
        <v>2.5000000000000001E-2</v>
      </c>
      <c r="AJ6" s="104">
        <v>2.3E-2</v>
      </c>
      <c r="AK6" s="34">
        <f t="shared" si="11"/>
        <v>2.0000000000000018E-3</v>
      </c>
      <c r="AL6" s="104">
        <v>2.3E-2</v>
      </c>
      <c r="AM6" s="104">
        <v>2.3E-2</v>
      </c>
      <c r="AN6" s="34">
        <f t="shared" si="12"/>
        <v>0</v>
      </c>
      <c r="AO6" s="104">
        <v>2.4E-2</v>
      </c>
      <c r="AP6" s="104">
        <v>2.5999999999999999E-2</v>
      </c>
      <c r="AQ6" s="34">
        <f t="shared" si="13"/>
        <v>-1.9999999999999983E-3</v>
      </c>
      <c r="AR6" s="104">
        <v>2.5999999999999999E-2</v>
      </c>
      <c r="AS6" s="104">
        <v>2.7E-2</v>
      </c>
      <c r="AT6" s="34">
        <f t="shared" si="14"/>
        <v>-1.0000000000000009E-3</v>
      </c>
      <c r="AU6" s="104">
        <v>2.8000000000000001E-2</v>
      </c>
      <c r="AV6" s="104">
        <v>3.1E-2</v>
      </c>
      <c r="AW6" s="34">
        <f t="shared" si="15"/>
        <v>-2.9999999999999992E-3</v>
      </c>
    </row>
    <row r="7" spans="1:49" x14ac:dyDescent="0.25">
      <c r="A7" s="103" t="s">
        <v>216</v>
      </c>
      <c r="B7" s="105"/>
      <c r="C7" s="105"/>
      <c r="D7" s="34">
        <f t="shared" si="0"/>
        <v>0</v>
      </c>
      <c r="E7" s="105">
        <v>2.1999999999999999E-2</v>
      </c>
      <c r="F7" s="105">
        <v>2.3E-2</v>
      </c>
      <c r="G7" s="34">
        <f t="shared" si="1"/>
        <v>-1.0000000000000009E-3</v>
      </c>
      <c r="H7" s="104">
        <v>2.7E-2</v>
      </c>
      <c r="I7" s="107">
        <v>2.9000000000000001E-2</v>
      </c>
      <c r="J7" s="34">
        <f t="shared" si="2"/>
        <v>-2.0000000000000018E-3</v>
      </c>
      <c r="K7" s="105"/>
      <c r="L7" s="105"/>
      <c r="M7" s="34" t="str">
        <f t="shared" si="3"/>
        <v>-</v>
      </c>
      <c r="N7" s="104">
        <v>3.1E-2</v>
      </c>
      <c r="O7" s="107">
        <v>0.03</v>
      </c>
      <c r="P7" s="34">
        <f t="shared" si="4"/>
        <v>1.0000000000000009E-3</v>
      </c>
      <c r="Q7" s="107">
        <v>0.03</v>
      </c>
      <c r="R7" s="107">
        <v>0.03</v>
      </c>
      <c r="S7" s="34">
        <f t="shared" si="5"/>
        <v>0</v>
      </c>
      <c r="T7" s="107">
        <v>0.03</v>
      </c>
      <c r="U7" s="104">
        <v>3.1E-2</v>
      </c>
      <c r="V7" s="34">
        <f t="shared" si="6"/>
        <v>-1.0000000000000009E-3</v>
      </c>
      <c r="W7" s="104">
        <v>3.1E-2</v>
      </c>
      <c r="X7" s="104">
        <v>2.8000000000000001E-2</v>
      </c>
      <c r="Y7" s="34">
        <f t="shared" si="7"/>
        <v>2.9999999999999992E-3</v>
      </c>
      <c r="Z7" s="104">
        <v>2.8000000000000001E-2</v>
      </c>
      <c r="AA7" s="104">
        <v>2.7E-2</v>
      </c>
      <c r="AB7" s="34">
        <f t="shared" si="8"/>
        <v>1.0000000000000009E-3</v>
      </c>
      <c r="AC7" s="104">
        <v>2.7E-2</v>
      </c>
      <c r="AD7" s="104">
        <v>2.5000000000000001E-2</v>
      </c>
      <c r="AE7" s="34">
        <f t="shared" si="9"/>
        <v>1.9999999999999983E-3</v>
      </c>
      <c r="AF7" s="104">
        <v>2.5000000000000001E-2</v>
      </c>
      <c r="AG7" s="104">
        <v>2.7E-2</v>
      </c>
      <c r="AH7" s="34">
        <f t="shared" si="10"/>
        <v>-1.9999999999999983E-3</v>
      </c>
      <c r="AI7" s="104">
        <v>2.5999999999999999E-2</v>
      </c>
      <c r="AJ7" s="104">
        <v>2.4E-2</v>
      </c>
      <c r="AK7" s="34">
        <f t="shared" si="11"/>
        <v>1.9999999999999983E-3</v>
      </c>
      <c r="AL7" s="104">
        <v>2.4E-2</v>
      </c>
      <c r="AM7" s="104">
        <v>2.4E-2</v>
      </c>
      <c r="AN7" s="34">
        <f t="shared" si="12"/>
        <v>0</v>
      </c>
      <c r="AO7" s="104">
        <v>2.7E-2</v>
      </c>
      <c r="AP7" s="104">
        <v>2.8000000000000001E-2</v>
      </c>
      <c r="AQ7" s="34">
        <f t="shared" si="13"/>
        <v>-1.0000000000000009E-3</v>
      </c>
      <c r="AR7" s="104">
        <v>2.9000000000000001E-2</v>
      </c>
      <c r="AS7" s="104">
        <v>2.9000000000000001E-2</v>
      </c>
      <c r="AT7" s="34">
        <f t="shared" si="14"/>
        <v>0</v>
      </c>
      <c r="AU7" s="104">
        <v>3.1E-2</v>
      </c>
      <c r="AV7" s="104">
        <v>3.2000000000000001E-2</v>
      </c>
      <c r="AW7" s="34">
        <f t="shared" si="15"/>
        <v>-1.0000000000000009E-3</v>
      </c>
    </row>
    <row r="8" spans="1:49" x14ac:dyDescent="0.25">
      <c r="A8" s="108" t="s">
        <v>217</v>
      </c>
      <c r="D8" s="110">
        <f t="shared" si="0"/>
        <v>0</v>
      </c>
      <c r="E8" s="111">
        <v>8.9999999999999993E-3</v>
      </c>
      <c r="F8" s="111">
        <v>1.7000000000000001E-2</v>
      </c>
      <c r="G8" s="110">
        <f t="shared" si="1"/>
        <v>-8.0000000000000019E-3</v>
      </c>
      <c r="H8" s="109">
        <v>8.9999999999999993E-3</v>
      </c>
      <c r="I8" s="109">
        <v>1.7000000000000001E-2</v>
      </c>
      <c r="J8" s="110">
        <f>IF(ISBLANK(H8),"-",H8-I8)</f>
        <v>-8.0000000000000019E-3</v>
      </c>
      <c r="M8" s="110" t="str">
        <f>IF(ISBLANK(K8),"-",K8-L8)</f>
        <v>-</v>
      </c>
      <c r="N8" s="109">
        <v>8.0000000000000002E-3</v>
      </c>
      <c r="O8" s="109">
        <v>7.0000000000000001E-3</v>
      </c>
      <c r="P8" s="110">
        <f>IF(ISBLANK(N8),"-",N8-O8)</f>
        <v>1E-3</v>
      </c>
      <c r="Q8" s="109">
        <v>7.0000000000000001E-3</v>
      </c>
      <c r="R8" s="109">
        <v>5.0000000000000001E-3</v>
      </c>
      <c r="S8" s="110">
        <f>IF(ISBLANK(Q8),"-",Q8-R8)</f>
        <v>2E-3</v>
      </c>
      <c r="T8" s="109">
        <v>4.0000000000000001E-3</v>
      </c>
      <c r="U8" s="109">
        <v>-8.0000000000000002E-3</v>
      </c>
      <c r="V8" s="110">
        <f>IF(ISBLANK(T8),"-",T8-U8)</f>
        <v>1.2E-2</v>
      </c>
      <c r="W8" s="109">
        <v>-8.0000000000000002E-3</v>
      </c>
      <c r="X8" s="109">
        <v>3.0000000000000001E-3</v>
      </c>
      <c r="Y8" s="110">
        <f>IF(ISBLANK(W8),"-",W8-X8)</f>
        <v>-1.0999999999999999E-2</v>
      </c>
      <c r="Z8" s="109">
        <v>4.0000000000000001E-3</v>
      </c>
      <c r="AA8" s="109">
        <v>1.4E-2</v>
      </c>
      <c r="AB8" s="110">
        <f>IF(ISBLANK(Z8),"-",Z8-AA8)</f>
        <v>-0.01</v>
      </c>
      <c r="AC8" s="109">
        <v>1.6E-2</v>
      </c>
      <c r="AD8" s="109">
        <v>4.0000000000000001E-3</v>
      </c>
      <c r="AE8" s="110">
        <f>IF(ISBLANK(AC8),"-",AC8-AD8)</f>
        <v>1.2E-2</v>
      </c>
      <c r="AF8" s="109">
        <v>2E-3</v>
      </c>
      <c r="AG8" s="109">
        <v>6.0000000000000001E-3</v>
      </c>
      <c r="AH8" s="110">
        <f>IF(ISBLANK(AF8),"-",AF8-AG8)</f>
        <v>-4.0000000000000001E-3</v>
      </c>
      <c r="AI8" s="109">
        <v>1.2E-2</v>
      </c>
      <c r="AJ8" s="109">
        <v>-8.0000000000000002E-3</v>
      </c>
      <c r="AK8" s="110">
        <f>IF(ISBLANK(AI8),"-",AI8-AJ8)</f>
        <v>0.02</v>
      </c>
      <c r="AL8" s="109">
        <v>-8.0000000000000002E-3</v>
      </c>
      <c r="AM8" s="109">
        <v>-1E-3</v>
      </c>
      <c r="AN8" s="110">
        <f t="shared" si="12"/>
        <v>-7.0000000000000001E-3</v>
      </c>
      <c r="AO8" s="111">
        <v>0</v>
      </c>
      <c r="AP8" s="109">
        <v>-1E-3</v>
      </c>
      <c r="AQ8" s="110">
        <f t="shared" si="13"/>
        <v>1E-3</v>
      </c>
      <c r="AR8" s="112">
        <v>0</v>
      </c>
      <c r="AS8" s="109">
        <v>2E-3</v>
      </c>
      <c r="AT8" s="110">
        <f t="shared" si="14"/>
        <v>-2E-3</v>
      </c>
      <c r="AU8" s="109">
        <v>8.0000000000000002E-3</v>
      </c>
      <c r="AV8" s="109">
        <v>1.0999999999999999E-2</v>
      </c>
      <c r="AW8" s="110">
        <f t="shared" si="15"/>
        <v>-2.9999999999999992E-3</v>
      </c>
    </row>
    <row r="9" spans="1:49" x14ac:dyDescent="0.25">
      <c r="A9" s="108" t="s">
        <v>218</v>
      </c>
      <c r="D9" s="110">
        <f t="shared" si="0"/>
        <v>0</v>
      </c>
      <c r="E9" s="111">
        <v>3.0000000000000001E-3</v>
      </c>
      <c r="F9" s="111">
        <v>1.6E-2</v>
      </c>
      <c r="G9" s="110">
        <f t="shared" si="1"/>
        <v>-1.3000000000000001E-2</v>
      </c>
      <c r="H9" s="109">
        <v>3.0000000000000001E-3</v>
      </c>
      <c r="I9" s="109">
        <v>1.6E-2</v>
      </c>
      <c r="J9" s="110">
        <f>IF(ISBLANK(H9),"-",H9-I9)</f>
        <v>-1.3000000000000001E-2</v>
      </c>
      <c r="M9" s="110" t="str">
        <f>IF(ISBLANK(K9),"-",K9-L9)</f>
        <v>-</v>
      </c>
      <c r="N9" s="109">
        <v>1.7000000000000001E-2</v>
      </c>
      <c r="O9" s="109">
        <v>3.0000000000000001E-3</v>
      </c>
      <c r="P9" s="110">
        <f>IF(ISBLANK(N9),"-",N9-O9)</f>
        <v>1.4000000000000002E-2</v>
      </c>
      <c r="Q9" s="109">
        <v>3.0000000000000001E-3</v>
      </c>
      <c r="R9" s="109">
        <v>2.8000000000000001E-2</v>
      </c>
      <c r="S9" s="110">
        <f>IF(ISBLANK(Q9),"-",Q9-R9)</f>
        <v>-2.5000000000000001E-2</v>
      </c>
      <c r="T9" s="109">
        <v>2.7E-2</v>
      </c>
      <c r="U9" s="109">
        <v>-3.3000000000000002E-2</v>
      </c>
      <c r="V9" s="110">
        <f>IF(ISBLANK(T9),"-",T9-U9)</f>
        <v>0.06</v>
      </c>
      <c r="W9" s="112">
        <v>-0.03</v>
      </c>
      <c r="X9" s="109">
        <v>3.0000000000000001E-3</v>
      </c>
      <c r="Y9" s="110">
        <f>IF(ISBLANK(W9),"-",W9-X9)</f>
        <v>-3.3000000000000002E-2</v>
      </c>
      <c r="Z9" s="109">
        <v>3.0000000000000001E-3</v>
      </c>
      <c r="AA9" s="109">
        <v>3.5000000000000003E-2</v>
      </c>
      <c r="AB9" s="110">
        <f>IF(ISBLANK(Z9),"-",Z9-AA9)</f>
        <v>-3.2000000000000001E-2</v>
      </c>
      <c r="AC9" s="109">
        <v>3.6999999999999998E-2</v>
      </c>
      <c r="AD9" s="109">
        <v>1.2999999999999999E-2</v>
      </c>
      <c r="AE9" s="110">
        <f>IF(ISBLANK(AC9),"-",AC9-AD9)</f>
        <v>2.4E-2</v>
      </c>
      <c r="AF9" s="109">
        <v>1.2999999999999999E-2</v>
      </c>
      <c r="AG9" s="112">
        <v>0.04</v>
      </c>
      <c r="AH9" s="110">
        <f>IF(ISBLANK(AF9),"-",AF9-AG9)</f>
        <v>-2.7000000000000003E-2</v>
      </c>
      <c r="AI9" s="109">
        <v>3.7999999999999999E-2</v>
      </c>
      <c r="AJ9" s="109">
        <v>-3.2000000000000001E-2</v>
      </c>
      <c r="AK9" s="110">
        <f>IF(ISBLANK(AI9),"-",AI9-AJ9)</f>
        <v>7.0000000000000007E-2</v>
      </c>
      <c r="AL9" s="109">
        <v>-3.1E-2</v>
      </c>
      <c r="AM9" s="109">
        <v>7.0000000000000001E-3</v>
      </c>
      <c r="AN9" s="110">
        <f>IF(ISBLANK(AL9),"-",AL9-AM9)</f>
        <v>-3.7999999999999999E-2</v>
      </c>
      <c r="AO9" s="109">
        <v>7.0000000000000001E-3</v>
      </c>
      <c r="AP9" s="109">
        <v>-1.7000000000000001E-2</v>
      </c>
      <c r="AQ9" s="110">
        <f>IF(ISBLANK(AO9),"-",AO9-AP9)</f>
        <v>2.4E-2</v>
      </c>
      <c r="AR9" s="112">
        <v>-1.4E-2</v>
      </c>
      <c r="AS9" s="109">
        <v>-1.4999999999999999E-2</v>
      </c>
      <c r="AT9" s="110">
        <f t="shared" si="14"/>
        <v>9.9999999999999915E-4</v>
      </c>
      <c r="AU9" s="109">
        <v>4.7E-2</v>
      </c>
      <c r="AV9" s="109">
        <v>2.1000000000000001E-2</v>
      </c>
      <c r="AW9" s="110">
        <f t="shared" si="15"/>
        <v>2.5999999999999999E-2</v>
      </c>
    </row>
    <row r="10" spans="1:49" x14ac:dyDescent="0.25">
      <c r="A10" s="108" t="s">
        <v>219</v>
      </c>
      <c r="D10" s="113">
        <f t="shared" si="0"/>
        <v>0</v>
      </c>
      <c r="E10" s="111">
        <v>-0.01</v>
      </c>
      <c r="F10" s="111">
        <v>-1E-3</v>
      </c>
      <c r="G10" s="113">
        <f t="shared" si="1"/>
        <v>-9.0000000000000011E-3</v>
      </c>
      <c r="J10" s="113" t="str">
        <f t="shared" si="2"/>
        <v>-</v>
      </c>
      <c r="M10" s="113" t="str">
        <f t="shared" si="3"/>
        <v>-</v>
      </c>
      <c r="P10" s="113" t="str">
        <f t="shared" si="4"/>
        <v>-</v>
      </c>
      <c r="Q10" s="112">
        <v>-0.01</v>
      </c>
      <c r="R10" s="109">
        <v>-1E-3</v>
      </c>
      <c r="S10" s="113">
        <f t="shared" si="5"/>
        <v>-9.0000000000000011E-3</v>
      </c>
      <c r="V10" s="113" t="str">
        <f t="shared" si="6"/>
        <v>-</v>
      </c>
      <c r="W10" s="109">
        <v>2E-3</v>
      </c>
      <c r="X10" s="109">
        <v>1.2E-2</v>
      </c>
      <c r="Y10" s="113">
        <f t="shared" si="7"/>
        <v>-0.01</v>
      </c>
      <c r="AB10" s="113" t="str">
        <f t="shared" si="8"/>
        <v>-</v>
      </c>
      <c r="AC10" s="109">
        <v>6.0000000000000001E-3</v>
      </c>
      <c r="AD10" s="109">
        <v>1E-3</v>
      </c>
      <c r="AE10" s="113">
        <f t="shared" si="9"/>
        <v>5.0000000000000001E-3</v>
      </c>
      <c r="AH10" s="113" t="str">
        <f t="shared" si="10"/>
        <v>-</v>
      </c>
      <c r="AI10" s="109">
        <v>-4.0000000000000001E-3</v>
      </c>
      <c r="AJ10" s="109">
        <v>-1E-3</v>
      </c>
      <c r="AK10" s="113">
        <f t="shared" si="11"/>
        <v>-3.0000000000000001E-3</v>
      </c>
      <c r="AL10" s="109">
        <v>-2E-3</v>
      </c>
      <c r="AM10" s="109">
        <v>-3.0000000000000001E-3</v>
      </c>
      <c r="AN10" s="113">
        <f t="shared" si="12"/>
        <v>1E-3</v>
      </c>
      <c r="AO10" s="111"/>
      <c r="AP10" s="111"/>
      <c r="AQ10" s="113" t="str">
        <f t="shared" si="13"/>
        <v>-</v>
      </c>
      <c r="AR10" s="111"/>
      <c r="AS10" s="111"/>
      <c r="AT10" s="113" t="str">
        <f t="shared" si="14"/>
        <v>-</v>
      </c>
      <c r="AU10" s="111"/>
      <c r="AV10" s="111"/>
      <c r="AW10" s="113" t="str">
        <f t="shared" si="15"/>
        <v>-</v>
      </c>
    </row>
    <row r="11" spans="1:49" x14ac:dyDescent="0.25">
      <c r="A11" s="108"/>
      <c r="D11" s="114"/>
      <c r="G11" s="114"/>
      <c r="J11" s="114"/>
      <c r="M11" s="114"/>
      <c r="P11" s="114"/>
      <c r="S11" s="114"/>
      <c r="V11" s="114"/>
      <c r="Y11" s="114"/>
      <c r="AB11" s="114"/>
      <c r="AE11" s="114"/>
      <c r="AH11" s="114"/>
      <c r="AK11" s="114"/>
      <c r="AN11" s="114"/>
      <c r="AO11" s="111"/>
      <c r="AP11" s="111"/>
      <c r="AQ11" s="114"/>
      <c r="AR11" s="111"/>
      <c r="AS11" s="111"/>
      <c r="AT11" s="114"/>
      <c r="AU11" s="111"/>
      <c r="AV11" s="111"/>
      <c r="AW11" s="114"/>
    </row>
    <row r="12" spans="1:49" x14ac:dyDescent="0.25">
      <c r="A12" s="102" t="s">
        <v>18</v>
      </c>
      <c r="B12" s="316" t="str">
        <f>IF(AND(D13="-",D14="-"),
    "",
    IF(SUM(IF(D13="-", 0, IF(D13&lt;0, -2, IF(D13&gt;0, 2, 0))),
            IF(D14="-", 0, IF(D14&lt;0, -2, IF(D14&gt;0, 2, 0)))) / 4 &gt; 0.1,
        "BULLISH",
        IF(SUM(IF(D13="-", 0, IF(D13&lt;0, -2, IF(D13&gt;0, 2, 0))),
                IF(D14="-", 0, IF(D14&lt;0, -2, IF(D14&gt;0, 2, 0)))) / 4 &lt; -0.1,
            "BEARISH",
            "NEUTRO"
        )
    )
)</f>
        <v>NEUTRO</v>
      </c>
      <c r="C12" s="317"/>
      <c r="D12" s="318"/>
      <c r="E12" s="316" t="str">
        <f>IF(AND(G13="-",G14="-"),
    "",
    IF(SUM(IF(G13="-", 0, IF(G13&lt;0, -2, IF(G13&gt;0, 2, 0))),
            IF(G14="-", 0, IF(G14&lt;0, -2, IF(G14&gt;0, 2, 0)))) / 4 &gt; 0.1,
        "BULLISH",
        IF(SUM(IF(G13="-", 0, IF(G13&lt;0, -2, IF(G13&gt;0, 2, 0))),
                IF(G14="-", 0, IF(G14&lt;0, -2, IF(G14&gt;0, 2, 0)))) / 4 &lt; -0.1,
            "BEARISH",
            "NEUTRO"
        )
    )
)</f>
        <v>NEUTRO</v>
      </c>
      <c r="F12" s="317"/>
      <c r="G12" s="318"/>
      <c r="H12" s="316" t="str">
        <f>IF(AND(J13="-",J14="-"),
    "",
    IF(SUM(IF(J13="-", 0, IF(J13&lt;0, -2, IF(J13&gt;0, 2, 0))),
            IF(J14="-", 0, IF(J14&lt;0, -2, IF(J14&gt;0, 2, 0)))) / 4 &gt; 0.1,
        "BULLISH",
        IF(SUM(IF(J13="-", 0, IF(J13&lt;0, -2, IF(J13&gt;0, 2, 0))),
                IF(J14="-", 0, IF(J14&lt;0, -2, IF(J14&gt;0, 2, 0)))) / 4 &lt; -0.1,
            "BEARISH",
            "NEUTRO"
        )
    )
)</f>
        <v>BEARISH</v>
      </c>
      <c r="I12" s="317"/>
      <c r="J12" s="318"/>
      <c r="K12" s="316" t="str">
        <f>IF(AND(M13="-",M14="-"),
    "",
    IF(SUM(IF(M13="-", 0, IF(M13&lt;0, -2, IF(M13&gt;0, 2, 0))),
            IF(M14="-", 0, IF(M14&lt;0, -2, IF(M14&gt;0, 2, 0)))) / 4 &gt; 0.1,
        "BULLISH",
        IF(SUM(IF(M13="-", 0, IF(M13&lt;0, -2, IF(M13&gt;0, 2, 0))),
                IF(M14="-", 0, IF(M14&lt;0, -2, IF(M14&gt;0, 2, 0)))) / 4 &lt; -0.1,
            "BEARISH",
            "NEUTRO"
        )
    )
)</f>
        <v/>
      </c>
      <c r="L12" s="317"/>
      <c r="M12" s="318"/>
      <c r="N12" s="316" t="str">
        <f>IF(AND(P13="-",P14="-"),
    "",
    IF(SUM(IF(P13="-", 0, IF(P13&lt;0, -2, IF(P13&gt;0, 2, 0))),
            IF(P14="-", 0, IF(P14&lt;0, -2, IF(P14&gt;0, 2, 0)))) / 4 &gt; 0.1,
        "BULLISH",
        IF(SUM(IF(P13="-", 0, IF(P13&lt;0, -2, IF(P13&gt;0, 2, 0))),
                IF(P14="-", 0, IF(P14&lt;0, -2, IF(P14&gt;0, 2, 0)))) / 4 &lt; -0.1,
            "BEARISH",
            "NEUTRO"
        )
    )
)</f>
        <v>BULLISH</v>
      </c>
      <c r="O12" s="317"/>
      <c r="P12" s="318"/>
      <c r="Q12" s="316" t="str">
        <f>IF(AND(S13="-",S14="-"),
    "",
    IF(SUM(IF(S13="-", 0, IF(S13&lt;0, -2, IF(S13&gt;0, 2, 0))),
            IF(S14="-", 0, IF(S14&lt;0, -2, IF(S14&gt;0, 2, 0)))) / 4 &gt; 0.1,
        "BULLISH",
        IF(SUM(IF(S13="-", 0, IF(S13&lt;0, -2, IF(S13&gt;0, 2, 0))),
                IF(S14="-", 0, IF(S14&lt;0, -2, IF(S14&gt;0, 2, 0)))) / 4 &lt; -0.1,
            "BEARISH",
            "NEUTRO"
        )
    )
)</f>
        <v>NEUTRO</v>
      </c>
      <c r="R12" s="317"/>
      <c r="S12" s="318"/>
      <c r="T12" s="316" t="str">
        <f>IF(AND(V13="-",V14="-"),
    "",
    IF(SUM(IF(V13="-", 0, IF(V13&lt;0, -2, IF(V13&gt;0, 2, 0))),
            IF(V14="-", 0, IF(V14&lt;0, -2, IF(V14&gt;0, 2, 0)))) / 4 &gt; 0.1,
        "BULLISH",
        IF(SUM(IF(V13="-", 0, IF(V13&lt;0, -2, IF(V13&gt;0, 2, 0))),
                IF(V14="-", 0, IF(V14&lt;0, -2, IF(V14&gt;0, 2, 0)))) / 4 &lt; -0.1,
            "BEARISH",
            "NEUTRO"
        )
    )
)</f>
        <v>BEARISH</v>
      </c>
      <c r="U12" s="317"/>
      <c r="V12" s="318"/>
      <c r="W12" s="316" t="str">
        <f>IF(AND(Y13="-",Y14="-"),
    "",
    IF(SUM(IF(Y13="-", 0, IF(Y13&lt;0, -2, IF(Y13&gt;0, 2, 0))),
            IF(Y14="-", 0, IF(Y14&lt;0, -2, IF(Y14&gt;0, 2, 0)))) / 4 &gt; 0.1,
        "BULLISH",
        IF(SUM(IF(Y13="-", 0, IF(Y13&lt;0, -2, IF(Y13&gt;0, 2, 0))),
                IF(Y14="-", 0, IF(Y14&lt;0, -2, IF(Y14&gt;0, 2, 0)))) / 4 &lt; -0.1,
            "BEARISH",
            "NEUTRO"
        )
    )
)</f>
        <v>BEARISH</v>
      </c>
      <c r="X12" s="317"/>
      <c r="Y12" s="318"/>
      <c r="Z12" s="316" t="str">
        <f>IF(AND(AB13="-",AB14="-"),
    "",
    IF(SUM(IF(AB13="-", 0, IF(AB13&lt;0, -2, IF(AB13&gt;0, 2, 0))),
            IF(AB14="-", 0, IF(AB14&lt;0, -2, IF(AB14&gt;0, 2, 0)))) / 4 &gt; 0.1,
        "BULLISH",
        IF(SUM(IF(AB13="-", 0, IF(AB13&lt;0, -2, IF(AB13&gt;0, 2, 0))),
                IF(AB14="-", 0, IF(AB14&lt;0, -2, IF(AB14&gt;0, 2, 0)))) / 4 &lt; -0.1,
            "BEARISH",
            "NEUTRO"
        )
    )
)</f>
        <v>BULLISH</v>
      </c>
      <c r="AA12" s="317"/>
      <c r="AB12" s="318"/>
      <c r="AC12" s="316" t="str">
        <f>IF(AND(AE13="-",AE14="-"),
    "",
    IF(SUM(IF(AE13="-", 0, IF(AE13&lt;0, -2, IF(AE13&gt;0, 2, 0))),
            IF(AE14="-", 0, IF(AE14&lt;0, -2, IF(AE14&gt;0, 2, 0)))) / 4 &gt; 0.1,
        "BULLISH",
        IF(SUM(IF(AE13="-", 0, IF(AE13&lt;0, -2, IF(AE13&gt;0, 2, 0))),
                IF(AE14="-", 0, IF(AE14&lt;0, -2, IF(AE14&gt;0, 2, 0)))) / 4 &lt; -0.1,
            "BEARISH",
            "NEUTRO"
        )
    )
)</f>
        <v>BEARISH</v>
      </c>
      <c r="AD12" s="317"/>
      <c r="AE12" s="318"/>
      <c r="AF12" s="316" t="str">
        <f>IF(AND(AH13="-",AH14="-"),
    "",
    IF(SUM(IF(AH13="-", 0, IF(AH13&lt;0, -2, IF(AH13&gt;0, 2, 0))),
            IF(AH14="-", 0, IF(AH14&lt;0, -2, IF(AH14&gt;0, 2, 0)))) / 4 &gt; 0.1,
        "BULLISH",
        IF(SUM(IF(AH13="-", 0, IF(AH13&lt;0, -2, IF(AH13&gt;0, 2, 0))),
                IF(AH14="-", 0, IF(AH14&lt;0, -2, IF(AH14&gt;0, 2, 0)))) / 4 &lt; -0.1,
            "BEARISH",
            "NEUTRO"
        )
    )
)</f>
        <v>BULLISH</v>
      </c>
      <c r="AG12" s="317"/>
      <c r="AH12" s="318"/>
      <c r="AI12" s="316" t="str">
        <f>IF(AND(AK13="-",AK14="-"),
    "",
    IF(SUM(IF(AK13="-", 0, IF(AK13&lt;0, -2, IF(AK13&gt;0, 2, 0))),
            IF(AK14="-", 0, IF(AK14&lt;0, -2, IF(AK14&gt;0, 2, 0)))) / 4 &gt; 0.1,
        "BULLISH",
        IF(SUM(IF(AK13="-", 0, IF(AK13&lt;0, -2, IF(AK13&gt;0, 2, 0))),
                IF(AK14="-", 0, IF(AK14&lt;0, -2, IF(AK14&gt;0, 2, 0)))) / 4 &lt; -0.1,
            "BEARISH",
            "NEUTRO"
        )
    )
)</f>
        <v>NEUTRO</v>
      </c>
      <c r="AJ12" s="317"/>
      <c r="AK12" s="318"/>
      <c r="AL12" s="316" t="str">
        <f>IF(AND(AN13="-",AN14="-"),
    "",
    IF(SUM(IF(AN13="-", 0, IF(AN13&lt;0, -2, IF(AN13&gt;0, 2, 0))),
            IF(AN14="-", 0, IF(AN14&lt;0, -2, IF(AN14&gt;0, 2, 0)))) / 4 &gt; 0.1,
        "BULLISH",
        IF(SUM(IF(AN13="-", 0, IF(AN13&lt;0, -2, IF(AN13&gt;0, 2, 0))),
                IF(AN14="-", 0, IF(AN14&lt;0, -2, IF(AN14&gt;0, 2, 0)))) / 4 &lt; -0.1,
            "BEARISH",
            "NEUTRO"
        )
    )
)</f>
        <v>BULLISH</v>
      </c>
      <c r="AM12" s="317"/>
      <c r="AN12" s="318"/>
      <c r="AO12" s="316" t="str">
        <f>IF(AND(AQ13="-",AQ14="-"),
    "",
    IF(SUM(IF(AQ13="-", 0, IF(AQ13&lt;0, -2, IF(AQ13&gt;0, 2, 0))),
            IF(AQ14="-", 0, IF(AQ14&lt;0, -2, IF(AQ14&gt;0, 2, 0)))) / 4 &gt; 0.1,
        "BULLISH",
        IF(SUM(IF(AQ13="-", 0, IF(AQ13&lt;0, -2, IF(AQ13&gt;0, 2, 0))),
                IF(AQ14="-", 0, IF(AQ14&lt;0, -2, IF(AQ14&gt;0, 2, 0)))) / 4 &lt; -0.1,
            "BEARISH",
            "NEUTRO"
        )
    )
)</f>
        <v>BEARISH</v>
      </c>
      <c r="AP12" s="317"/>
      <c r="AQ12" s="318"/>
      <c r="AR12" s="316" t="str">
        <f>IF(AND(AT13="-",AT14="-"),
    "",
    IF(SUM(IF(AT13="-", 0, IF(AT13&lt;0, -2, IF(AT13&gt;0, 2, 0))),
            IF(AT14="-", 0, IF(AT14&lt;0, -2, IF(AT14&gt;0, 2, 0)))) / 4 &gt; 0.1,
        "BULLISH",
        IF(SUM(IF(AT13="-", 0, IF(AT13&lt;0, -2, IF(AT13&gt;0, 2, 0))),
                IF(AT14="-", 0, IF(AT14&lt;0, -2, IF(AT14&gt;0, 2, 0)))) / 4 &lt; -0.1,
            "BEARISH",
            "NEUTRO"
        )
    )
)</f>
        <v>BULLISH</v>
      </c>
      <c r="AS12" s="317"/>
      <c r="AT12" s="318"/>
      <c r="AU12" s="316" t="str">
        <f>IF(AND(AW13="-",AW14="-"),
    "",
    IF(SUM(IF(AW13="-", 0, IF(AW13&lt;0, -2, IF(AW13&gt;0, 2, 0))),
            IF(AW14="-", 0, IF(AW14&lt;0, -2, IF(AW14&gt;0, 2, 0)))) / 4 &gt; 0.1,
        "BULLISH",
        IF(SUM(IF(AW13="-", 0, IF(AW13&lt;0, -2, IF(AW13&gt;0, 2, 0))),
                IF(AW14="-", 0, IF(AW14&lt;0, -2, IF(AW14&gt;0, 2, 0)))) / 4 &lt; -0.1,
            "BEARISH",
            "NEUTRO"
        )
    )
)</f>
        <v>BULLISH</v>
      </c>
      <c r="AV12" s="317"/>
      <c r="AW12" s="318"/>
    </row>
    <row r="13" spans="1:49" x14ac:dyDescent="0.25">
      <c r="A13" s="115" t="s">
        <v>220</v>
      </c>
      <c r="B13" s="116"/>
      <c r="C13" s="116"/>
      <c r="D13" s="34">
        <f>B13-C13</f>
        <v>0</v>
      </c>
      <c r="E13" s="116">
        <v>-6.0000000000000001E-3</v>
      </c>
      <c r="F13" s="116">
        <v>2.4E-2</v>
      </c>
      <c r="G13" s="34">
        <f>E13-F13</f>
        <v>-0.03</v>
      </c>
      <c r="H13" s="116"/>
      <c r="I13" s="116"/>
      <c r="J13" s="34" t="str">
        <f>IF(ISBLANK(H13),"-",H13-I13)</f>
        <v>-</v>
      </c>
      <c r="K13" s="116"/>
      <c r="L13" s="116"/>
      <c r="M13" s="34" t="str">
        <f>IF(ISBLANK(K13),"-",K13-L13)</f>
        <v>-</v>
      </c>
      <c r="N13" s="116"/>
      <c r="O13" s="116"/>
      <c r="P13" s="34" t="str">
        <f>IF(ISBLANK(N13),"-",N13-O13)</f>
        <v>-</v>
      </c>
      <c r="Q13" s="116"/>
      <c r="R13" s="116"/>
      <c r="S13" s="34" t="str">
        <f>IF(ISBLANK(Q13),"-",Q13-R13)</f>
        <v>-</v>
      </c>
      <c r="T13" s="116"/>
      <c r="U13" s="116"/>
      <c r="V13" s="34" t="str">
        <f>IF(ISBLANK(T13),"-",T13-U13)</f>
        <v>-</v>
      </c>
      <c r="W13" s="116"/>
      <c r="X13" s="116"/>
      <c r="Y13" s="34" t="str">
        <f>IF(ISBLANK(W13),"-",W13-X13)</f>
        <v>-</v>
      </c>
      <c r="Z13" s="116"/>
      <c r="AA13" s="116"/>
      <c r="AB13" s="34" t="str">
        <f>IF(ISBLANK(Z13),"-",Z13-AA13)</f>
        <v>-</v>
      </c>
      <c r="AC13" s="117"/>
      <c r="AD13" s="117"/>
      <c r="AE13" s="34" t="str">
        <f>IF(ISBLANK(AC13),"-",AC13-AD13)</f>
        <v>-</v>
      </c>
      <c r="AF13" s="116"/>
      <c r="AG13" s="116"/>
      <c r="AH13" s="34" t="str">
        <f>IF(ISBLANK(AF13),"-",AF13-AG13)</f>
        <v>-</v>
      </c>
      <c r="AI13" s="116"/>
      <c r="AJ13" s="116"/>
      <c r="AK13" s="34" t="str">
        <f>IF(ISBLANK(AI13),"-",AI13-AJ13)</f>
        <v>-</v>
      </c>
      <c r="AL13" s="117">
        <v>2E-3</v>
      </c>
      <c r="AM13" s="116">
        <v>0</v>
      </c>
      <c r="AN13" s="34">
        <f>IF(ISBLANK(AL13),"-",AL13-AM13)</f>
        <v>2E-3</v>
      </c>
      <c r="AO13" s="116">
        <v>0</v>
      </c>
      <c r="AP13" s="117">
        <v>1E-3</v>
      </c>
      <c r="AQ13" s="34">
        <f>IF(ISBLANK(AO13),"-",AO13-AP13)</f>
        <v>-1E-3</v>
      </c>
      <c r="AR13" s="116"/>
      <c r="AS13" s="116"/>
      <c r="AT13" s="34" t="str">
        <f>IF(ISBLANK(AR13),"-",AR13-AS13)</f>
        <v>-</v>
      </c>
      <c r="AU13" s="116"/>
      <c r="AV13" s="116"/>
      <c r="AW13" s="34" t="str">
        <f>IF(ISBLANK(AU13),"-",AU13-AV13)</f>
        <v>-</v>
      </c>
    </row>
    <row r="14" spans="1:49" x14ac:dyDescent="0.25">
      <c r="A14" s="115" t="s">
        <v>168</v>
      </c>
      <c r="B14" s="116"/>
      <c r="C14" s="116"/>
      <c r="D14" s="34">
        <f>B14-C14</f>
        <v>0</v>
      </c>
      <c r="E14" s="116">
        <v>0</v>
      </c>
      <c r="F14" s="117">
        <v>-3.0000000000000001E-3</v>
      </c>
      <c r="G14" s="34">
        <f>E14-F14</f>
        <v>3.0000000000000001E-3</v>
      </c>
      <c r="H14" s="117">
        <v>-3.0000000000000001E-3</v>
      </c>
      <c r="I14" s="117">
        <v>2E-3</v>
      </c>
      <c r="J14" s="34">
        <f>IF(ISBLANK(H14),"-",H14-I14)</f>
        <v>-5.0000000000000001E-3</v>
      </c>
      <c r="K14" s="116"/>
      <c r="L14" s="116"/>
      <c r="M14" s="34" t="str">
        <f>IF(ISBLANK(K14),"-",K14-L14)</f>
        <v>-</v>
      </c>
      <c r="N14" s="117">
        <v>2E-3</v>
      </c>
      <c r="O14" s="117">
        <v>-1E-3</v>
      </c>
      <c r="P14" s="34">
        <f>IF(ISBLANK(N14),"-",N14-O14)</f>
        <v>3.0000000000000001E-3</v>
      </c>
      <c r="Q14" s="117">
        <v>-1E-3</v>
      </c>
      <c r="R14" s="117">
        <v>-1E-3</v>
      </c>
      <c r="S14" s="34">
        <f>IF(ISBLANK(Q14),"-",Q14-R14)</f>
        <v>0</v>
      </c>
      <c r="T14" s="117">
        <v>-1E-3</v>
      </c>
      <c r="U14" s="117">
        <v>2E-3</v>
      </c>
      <c r="V14" s="34">
        <f>IF(ISBLANK(T14),"-",T14-U14)</f>
        <v>-3.0000000000000001E-3</v>
      </c>
      <c r="W14" s="117">
        <v>1E-3</v>
      </c>
      <c r="X14" s="117">
        <v>4.0000000000000001E-3</v>
      </c>
      <c r="Y14" s="34">
        <f>IF(ISBLANK(W14),"-",W14-X14)</f>
        <v>-3.0000000000000001E-3</v>
      </c>
      <c r="Z14" s="117">
        <v>4.0000000000000001E-3</v>
      </c>
      <c r="AA14" s="117">
        <v>3.0000000000000001E-3</v>
      </c>
      <c r="AB14" s="34">
        <f>IF(ISBLANK(Z14),"-",Z14-AA14)</f>
        <v>1E-3</v>
      </c>
      <c r="AC14" s="117">
        <v>2E-3</v>
      </c>
      <c r="AD14" s="117">
        <v>3.0000000000000001E-3</v>
      </c>
      <c r="AE14" s="34">
        <f>IF(ISBLANK(AC14),"-",AC14-AD14)</f>
        <v>-1E-3</v>
      </c>
      <c r="AF14" s="117">
        <v>3.0000000000000001E-3</v>
      </c>
      <c r="AG14" s="117">
        <v>1E-3</v>
      </c>
      <c r="AH14" s="34">
        <f>IF(ISBLANK(AF14),"-",AF14-AG14)</f>
        <v>2E-3</v>
      </c>
      <c r="AI14" s="117">
        <v>1E-3</v>
      </c>
      <c r="AJ14" s="117">
        <v>1E-3</v>
      </c>
      <c r="AK14" s="34">
        <f>IF(ISBLANK(AI14),"-",AI14-AJ14)</f>
        <v>0</v>
      </c>
      <c r="AL14" s="116"/>
      <c r="AM14" s="116"/>
      <c r="AN14" s="34" t="str">
        <f>IF(ISBLANK(AL14),"-",AL14-AM14)</f>
        <v>-</v>
      </c>
      <c r="AO14" s="117">
        <v>2E-3</v>
      </c>
      <c r="AP14" s="117">
        <v>3.0000000000000001E-3</v>
      </c>
      <c r="AQ14" s="34">
        <f>IF(ISBLANK(AO14),"-",AO14-AP14)</f>
        <v>-1E-3</v>
      </c>
      <c r="AR14" s="117">
        <v>3.0000000000000001E-3</v>
      </c>
      <c r="AS14" s="118">
        <v>0</v>
      </c>
      <c r="AT14" s="34">
        <f>IF(ISBLANK(AR14),"-",AR14-AS14)</f>
        <v>3.0000000000000001E-3</v>
      </c>
      <c r="AU14" s="117">
        <v>2E-3</v>
      </c>
      <c r="AV14" s="117">
        <v>0</v>
      </c>
      <c r="AW14" s="34">
        <f>IF(ISBLANK(AU14),"-",AU14-AV14)</f>
        <v>2E-3</v>
      </c>
    </row>
    <row r="15" spans="1:49" x14ac:dyDescent="0.25">
      <c r="A15" s="108"/>
      <c r="D15" s="114"/>
      <c r="G15" s="114"/>
      <c r="J15" s="114"/>
      <c r="M15" s="114"/>
      <c r="P15" s="114"/>
      <c r="S15" s="114"/>
      <c r="V15" s="114"/>
      <c r="Y15" s="114"/>
      <c r="AB15" s="114"/>
      <c r="AE15" s="114"/>
      <c r="AH15" s="114"/>
      <c r="AK15" s="114"/>
      <c r="AN15" s="114"/>
      <c r="AO15" s="111"/>
      <c r="AP15" s="111"/>
      <c r="AQ15" s="114"/>
      <c r="AR15" s="111"/>
      <c r="AS15" s="111"/>
      <c r="AT15" s="114"/>
      <c r="AU15" s="369">
        <v>45447</v>
      </c>
      <c r="AV15" s="370"/>
      <c r="AW15" s="119">
        <v>4.7500000000000001E-2</v>
      </c>
    </row>
    <row r="16" spans="1:49" x14ac:dyDescent="0.25">
      <c r="A16" s="102" t="s">
        <v>29</v>
      </c>
      <c r="B16" s="316" t="str">
        <f>IF(AND(D17="-",D18="-"),
    "",
    IF(SUM(IF(D17="-", 0, IF(D17&lt;0, -2, IF(D17&gt;0, 2, 0))),
            IF(D18="-", 0, IF(D18&lt;0, -2, IF(D18&gt;0, 2, 0)))) / 4 &gt; 0.1,
        "BULLISH",
        IF(SUM(IF(D17="-", 0, IF(D17&lt;0, -2, IF(D17&gt;0, 2, 0))),
                IF(D18="-", 0, IF(D18&lt;0, -2, IF(D18&gt;0, 2, 0)))) / 4 &lt; -0.1,
            "BEARISH",
            "NEUTRO"
        )
    )
)</f>
        <v/>
      </c>
      <c r="C16" s="317"/>
      <c r="D16" s="318"/>
      <c r="E16" s="316" t="str">
        <f>IF(AND(G17="-",G18="-"),
    "",
    IF(SUM(IF(G17="-", 0, IF(G17&lt;0, -2, IF(G17&gt;0, 2, 0))),
            IF(G18="-", 0, IF(G18&lt;0, -2, IF(G18&gt;0, 2, 0)))) / 4 &gt; 0.1,
        "BULLISH",
        IF(SUM(IF(G17="-", 0, IF(G17&lt;0, -2, IF(G17&gt;0, 2, 0))),
                IF(G18="-", 0, IF(G18&lt;0, -2, IF(G18&gt;0, 2, 0)))) / 4 &lt; -0.1,
            "BEARISH",
            "NEUTRO"
        )
    )
)</f>
        <v>NEUTRO</v>
      </c>
      <c r="F16" s="317"/>
      <c r="G16" s="318"/>
      <c r="H16" s="316" t="str">
        <f>IF(AND(J17="-",J18="-"),
    "",
    IF(SUM(IF(J17="-", 0, IF(J17&lt;0, -2, IF(J17&gt;0, 2, 0))),
            IF(J18="-", 0, IF(J18&lt;0, -2, IF(J18&gt;0, 2, 0)))) / 4 &gt; 0.1,
        "BULLISH",
        IF(SUM(IF(J17="-", 0, IF(J17&lt;0, -2, IF(J17&gt;0, 2, 0))),
                IF(J18="-", 0, IF(J18&lt;0, -2, IF(J18&gt;0, 2, 0)))) / 4 &lt; -0.1,
            "BEARISH",
            "NEUTRO"
        )
    )
)</f>
        <v>BEARISH</v>
      </c>
      <c r="I16" s="317"/>
      <c r="J16" s="318"/>
      <c r="K16" s="316" t="str">
        <f>IF(AND(M17="-",M18="-"),
    "",
    IF(SUM(IF(M17="-", 0, IF(M17&lt;0, -2, IF(M17&gt;0, 2, 0))),
            IF(M18="-", 0, IF(M18&lt;0, -2, IF(M18&gt;0, 2, 0)))) / 4 &gt; 0.1,
        "BULLISH",
        IF(SUM(IF(M17="-", 0, IF(M17&lt;0, -2, IF(M17&gt;0, 2, 0))),
                IF(M18="-", 0, IF(M18&lt;0, -2, IF(M18&gt;0, 2, 0)))) / 4 &lt; -0.1,
            "BEARISH",
            "NEUTRO"
        )
    )
)</f>
        <v/>
      </c>
      <c r="L16" s="317"/>
      <c r="M16" s="318"/>
      <c r="N16" s="316" t="str">
        <f>IF(AND(P17="-",P18="-"),
    "",
    IF(SUM(IF(P17="-", 0, IF(P17&lt;0, -2, IF(P17&gt;0, 2, 0))),
            IF(P18="-", 0, IF(P18&lt;0, -2, IF(P18&gt;0, 2, 0)))) / 4 &gt; 0.1,
        "BULLISH",
        IF(SUM(IF(P17="-", 0, IF(P17&lt;0, -2, IF(P17&gt;0, 2, 0))),
                IF(P18="-", 0, IF(P18&lt;0, -2, IF(P18&gt;0, 2, 0)))) / 4 &lt; -0.1,
            "BEARISH",
            "NEUTRO"
        )
    )
)</f>
        <v>BULLISH</v>
      </c>
      <c r="O16" s="317"/>
      <c r="P16" s="318"/>
      <c r="Q16" s="316" t="str">
        <f>IF(AND(S17="-",S18="-"),
    "",
    IF(SUM(IF(S17="-", 0, IF(S17&lt;0, -2, IF(S17&gt;0, 2, 0))),
            IF(S18="-", 0, IF(S18&lt;0, -2, IF(S18&gt;0, 2, 0)))) / 4 &gt; 0.1,
        "BULLISH",
        IF(SUM(IF(S17="-", 0, IF(S17&lt;0, -2, IF(S17&gt;0, 2, 0))),
                IF(S18="-", 0, IF(S18&lt;0, -2, IF(S18&gt;0, 2, 0)))) / 4 &lt; -0.1,
            "BEARISH",
            "NEUTRO"
        )
    )
)</f>
        <v>BEARISH</v>
      </c>
      <c r="R16" s="317"/>
      <c r="S16" s="318"/>
      <c r="T16" s="316" t="str">
        <f>IF(AND(V17="-",V18="-"),
    "",
    IF(SUM(IF(V17="-", 0, IF(V17&lt;0, -2, IF(V17&gt;0, 2, 0))),
            IF(V18="-", 0, IF(V18&lt;0, -2, IF(V18&gt;0, 2, 0)))) / 4 &gt; 0.1,
        "BULLISH",
        IF(SUM(IF(V17="-", 0, IF(V17&lt;0, -2, IF(V17&gt;0, 2, 0))),
                IF(V18="-", 0, IF(V18&lt;0, -2, IF(V18&gt;0, 2, 0)))) / 4 &lt; -0.1,
            "BEARISH",
            "NEUTRO"
        )
    )
)</f>
        <v>BULLISH</v>
      </c>
      <c r="U16" s="317"/>
      <c r="V16" s="318"/>
      <c r="W16" s="316" t="str">
        <f>IF(AND(Y17="-",Y18="-"),
    "",
    IF(SUM(IF(Y17="-", 0, IF(Y17&lt;0, -2, IF(Y17&gt;0, 2, 0))),
            IF(Y18="-", 0, IF(Y18&lt;0, -2, IF(Y18&gt;0, 2, 0)))) / 4 &gt; 0.1,
        "BULLISH",
        IF(SUM(IF(Y17="-", 0, IF(Y17&lt;0, -2, IF(Y17&gt;0, 2, 0))),
                IF(Y18="-", 0, IF(Y18&lt;0, -2, IF(Y18&gt;0, 2, 0)))) / 4 &lt; -0.1,
            "BEARISH",
            "NEUTRO"
        )
    )
)</f>
        <v>NEUTRO</v>
      </c>
      <c r="X16" s="317"/>
      <c r="Y16" s="318"/>
      <c r="Z16" s="316" t="str">
        <f>IF(AND(AB17="-",AB18="-"),
    "",
    IF(SUM(IF(AB17="-", 0, IF(AB17&lt;0, -2, IF(AB17&gt;0, 2, 0))),
            IF(AB18="-", 0, IF(AB18&lt;0, -2, IF(AB18&gt;0, 2, 0)))) / 4 &gt; 0.1,
        "BULLISH",
        IF(SUM(IF(AB17="-", 0, IF(AB17&lt;0, -2, IF(AB17&gt;0, 2, 0))),
                IF(AB18="-", 0, IF(AB18&lt;0, -2, IF(AB18&gt;0, 2, 0)))) / 4 &lt; -0.1,
            "BEARISH",
            "NEUTRO"
        )
    )
)</f>
        <v>BULLISH</v>
      </c>
      <c r="AA16" s="317"/>
      <c r="AB16" s="318"/>
      <c r="AC16" s="316" t="str">
        <f>IF(AND(AE17="-",AE18="-"),
    "",
    IF(SUM(IF(AE17="-", 0, IF(AE17&lt;0, -2, IF(AE17&gt;0, 2, 0))),
            IF(AE18="-", 0, IF(AE18&lt;0, -2, IF(AE18&gt;0, 2, 0)))) / 4 &gt; 0.1,
        "BULLISH",
        IF(SUM(IF(AE17="-", 0, IF(AE17&lt;0, -2, IF(AE17&gt;0, 2, 0))),
                IF(AE18="-", 0, IF(AE18&lt;0, -2, IF(AE18&gt;0, 2, 0)))) / 4 &lt; -0.1,
            "BEARISH",
            "NEUTRO"
        )
    )
)</f>
        <v>NEUTRO</v>
      </c>
      <c r="AD16" s="317"/>
      <c r="AE16" s="318"/>
      <c r="AF16" s="316" t="str">
        <f>IF(AND(AH17="-",AH18="-"),
    "",
    IF(SUM(IF(AH17="-", 0, IF(AH17&lt;0, -2, IF(AH17&gt;0, 2, 0))),
            IF(AH18="-", 0, IF(AH18&lt;0, -2, IF(AH18&gt;0, 2, 0)))) / 4 &gt; 0.1,
        "BULLISH",
        IF(SUM(IF(AH17="-", 0, IF(AH17&lt;0, -2, IF(AH17&gt;0, 2, 0))),
                IF(AH18="-", 0, IF(AH18&lt;0, -2, IF(AH18&gt;0, 2, 0)))) / 4 &lt; -0.1,
            "BEARISH",
            "NEUTRO"
        )
    )
)</f>
        <v>BULLISH</v>
      </c>
      <c r="AG16" s="317"/>
      <c r="AH16" s="318"/>
      <c r="AI16" s="316" t="str">
        <f>IF(AND(AK17="-",AK18="-"),
    "",
    IF(SUM(IF(AK17="-", 0, IF(AK17&lt;0, -2, IF(AK17&gt;0, 2, 0))),
            IF(AK18="-", 0, IF(AK18&lt;0, -2, IF(AK18&gt;0, 2, 0)))) / 4 &gt; 0.1,
        "BULLISH",
        IF(SUM(IF(AK17="-", 0, IF(AK17&lt;0, -2, IF(AK17&gt;0, 2, 0))),
                IF(AK18="-", 0, IF(AK18&lt;0, -2, IF(AK18&gt;0, 2, 0)))) / 4 &lt; -0.1,
            "BEARISH",
            "NEUTRO"
        )
    )
)</f>
        <v>NEUTRO</v>
      </c>
      <c r="AJ16" s="317"/>
      <c r="AK16" s="318"/>
      <c r="AL16" s="316" t="str">
        <f>IF(AND(AN17="-",AN18="-"),
    "",
    IF(SUM(IF(AN17="-", 0, IF(AN17&lt;0, -2, IF(AN17&gt;0, 2, 0))),
            IF(AN18="-", 0, IF(AN18&lt;0, -2, IF(AN18&gt;0, 2, 0)))) / 4 &gt; 0.1,
        "BULLISH",
        IF(SUM(IF(AN17="-", 0, IF(AN17&lt;0, -2, IF(AN17&gt;0, 2, 0))),
                IF(AN18="-", 0, IF(AN18&lt;0, -2, IF(AN18&gt;0, 2, 0)))) / 4 &lt; -0.1,
            "BEARISH",
            "NEUTRO"
        )
    )
)</f>
        <v>BULLISH</v>
      </c>
      <c r="AM16" s="317"/>
      <c r="AN16" s="318"/>
      <c r="AO16" s="316" t="str">
        <f>IF(AND(AQ17="-",AQ18="-"),
    "",
    IF(SUM(IF(AQ17="-", 0, IF(AQ17&lt;0, -2, IF(AQ17&gt;0, 2, 0))),
            IF(AQ18="-", 0, IF(AQ18&lt;0, -2, IF(AQ18&gt;0, 2, 0)))) / 4 &gt; 0.1,
        "BULLISH",
        IF(SUM(IF(AQ17="-", 0, IF(AQ17&lt;0, -2, IF(AQ17&gt;0, 2, 0))),
                IF(AQ18="-", 0, IF(AQ18&lt;0, -2, IF(AQ18&gt;0, 2, 0)))) / 4 &lt; -0.1,
            "BEARISH",
            "NEUTRO"
        )
    )
)</f>
        <v>BEARISH</v>
      </c>
      <c r="AP16" s="317"/>
      <c r="AQ16" s="318"/>
      <c r="AR16" s="316" t="str">
        <f>IF(AND(AT17="-",AT18="-"),
    "",
    IF(SUM(IF(AT17="-", 0, IF(AT17&lt;0, -2, IF(AT17&gt;0, 2, 0))),
            IF(AT18="-", 0, IF(AT18&lt;0, -2, IF(AT18&gt;0, 2, 0)))) / 4 &gt; 0.1,
        "BULLISH",
        IF(SUM(IF(AT17="-", 0, IF(AT17&lt;0, -2, IF(AT17&gt;0, 2, 0))),
                IF(AT18="-", 0, IF(AT18&lt;0, -2, IF(AT18&gt;0, 2, 0)))) / 4 &lt; -0.1,
            "BEARISH",
            "NEUTRO"
        )
    )
)</f>
        <v>BEARISH</v>
      </c>
      <c r="AS16" s="317"/>
      <c r="AT16" s="318"/>
      <c r="AU16" s="316" t="str">
        <f>IF(AND(AW17="-",AW18="-"),
    "",
    IF(SUM(IF(AW17="-", 0, IF(AW17&lt;0, -2, IF(AW17&gt;0, 2, 0))),
            IF(AW18="-", 0, IF(AW18&lt;0, -2, IF(AW18&gt;0, 2, 0)))) / 4 &gt; 0.1,
        "BULLISH",
        IF(SUM(IF(AW17="-", 0, IF(AW17&lt;0, -2, IF(AW17&gt;0, 2, 0))),
                IF(AW18="-", 0, IF(AW18&lt;0, -2, IF(AW18&gt;0, 2, 0)))) / 4 &lt; -0.1,
            "BEARISH",
            "NEUTRO"
        )
    )
)</f>
        <v>BULLISH</v>
      </c>
      <c r="AV16" s="317"/>
      <c r="AW16" s="318"/>
    </row>
    <row r="17" spans="1:49" x14ac:dyDescent="0.25">
      <c r="A17" s="115" t="s">
        <v>221</v>
      </c>
      <c r="B17" s="116"/>
      <c r="C17" s="116"/>
      <c r="D17" s="120" t="str">
        <f t="array" ref="D17">IFERROR(_xlfn.IFS(ISBLANK(B17),"-",FIND("%",B17,1),(B17-C17)/100),B17-C17)</f>
        <v>-</v>
      </c>
      <c r="E17" s="116">
        <v>-24.8</v>
      </c>
      <c r="F17" s="116">
        <v>8.1999999999999993</v>
      </c>
      <c r="G17" s="120">
        <f t="array" ref="G17">IFERROR(_xlfn.IFS(ISBLANK(E17),"-",FIND("%",E17,1),(E17-F17)/100),E17-F17)</f>
        <v>-33</v>
      </c>
      <c r="H17" s="116">
        <v>8.1999999999999993</v>
      </c>
      <c r="I17" s="116">
        <v>53.6</v>
      </c>
      <c r="J17" s="120">
        <f t="array" ref="J17">IFERROR(_xlfn.IFS(ISBLANK(H17),"-",FIND("%",H17,1),(H17-I17)/100),H17-I17)</f>
        <v>-45.400000000000006</v>
      </c>
      <c r="K17" s="116"/>
      <c r="L17" s="116"/>
      <c r="M17" s="120" t="str">
        <f t="array" ref="M17">IFERROR(_xlfn.IFS(ISBLANK(K17),"-",FIND("%",K17,1),(K17-L17)/100),K17-L17)</f>
        <v>-</v>
      </c>
      <c r="N17" s="116">
        <v>60.4</v>
      </c>
      <c r="O17" s="116">
        <v>-65.5</v>
      </c>
      <c r="P17" s="120">
        <f t="array" ref="P17">IFERROR(_xlfn.IFS(ISBLANK(N17),"-",FIND("%",N17,1),(N17-O17)/100),N17-O17)</f>
        <v>125.9</v>
      </c>
      <c r="Q17" s="116">
        <v>-65.5</v>
      </c>
      <c r="R17" s="116">
        <v>83.1</v>
      </c>
      <c r="S17" s="120">
        <f t="array" ref="S17">IFERROR(_xlfn.IFS(ISBLANK(Q17),"-",FIND("%",Q17,1),(Q17-R17)/100),Q17-R17)</f>
        <v>-148.6</v>
      </c>
      <c r="T17" s="116">
        <v>83.1</v>
      </c>
      <c r="U17" s="116">
        <v>7.4</v>
      </c>
      <c r="V17" s="120">
        <f t="array" ref="V17">IFERROR(_xlfn.IFS(ISBLANK(T17),"-",FIND("%",T17,1),(T17-U17)/100),T17-U17)</f>
        <v>75.699999999999989</v>
      </c>
      <c r="W17" s="116">
        <v>7.4</v>
      </c>
      <c r="X17" s="116">
        <v>-32.6</v>
      </c>
      <c r="Y17" s="120">
        <f t="array" ref="Y17">IFERROR(_xlfn.IFS(ISBLANK(W17),"-",FIND("%",W17,1),(W17-X17)/100),W17-X17)</f>
        <v>40</v>
      </c>
      <c r="Z17" s="116">
        <v>7.4</v>
      </c>
      <c r="AA17" s="116">
        <v>1.1000000000000001</v>
      </c>
      <c r="AB17" s="120">
        <f t="array" ref="AB17">IFERROR(_xlfn.IFS(ISBLANK(Z17),"-",FIND("%",Z17,1),(Z17-AA17)/100),Z17-AA17)</f>
        <v>6.3000000000000007</v>
      </c>
      <c r="AC17" s="116">
        <v>1.1000000000000001</v>
      </c>
      <c r="AD17" s="116">
        <v>76</v>
      </c>
      <c r="AE17" s="120">
        <f t="array" ref="AE17">IFERROR(_xlfn.IFS(ISBLANK(AC17),"-",FIND("%",AC17,1),(AC17-AD17)/100),AC17-AD17)</f>
        <v>-74.900000000000006</v>
      </c>
      <c r="AF17" s="116">
        <v>90.9</v>
      </c>
      <c r="AG17" s="116">
        <v>50.5</v>
      </c>
      <c r="AH17" s="120">
        <f t="array" ref="AH17">IFERROR(_xlfn.IFS(ISBLANK(AF17),"-",FIND("%",AF17,1),(AF17-AG17)/100),AF17-AG17)</f>
        <v>40.400000000000006</v>
      </c>
      <c r="AI17" s="116">
        <v>50.5</v>
      </c>
      <c r="AJ17" s="116">
        <v>46.7</v>
      </c>
      <c r="AK17" s="120">
        <f t="array" ref="AK17">IFERROR(_xlfn.IFS(ISBLANK(AI17),"-",FIND("%",AI17,1),(AI17-AJ17)/100),AI17-AJ17)</f>
        <v>3.7999999999999972</v>
      </c>
      <c r="AL17" s="116">
        <v>46.7</v>
      </c>
      <c r="AM17" s="116">
        <v>22.1</v>
      </c>
      <c r="AN17" s="120">
        <f t="array" ref="AN17">IFERROR(_xlfn.IFS(ISBLANK(AL17),"-",FIND("%",AL17,1),(AL17-AM17)/100),AL17-AM17)</f>
        <v>24.6</v>
      </c>
      <c r="AO17" s="116">
        <v>-2.8</v>
      </c>
      <c r="AP17" s="116">
        <v>-1.4</v>
      </c>
      <c r="AQ17" s="120">
        <f t="array" ref="AQ17">IFERROR(_xlfn.IFS(ISBLANK(AO17),"-",FIND("%",AO17,1),(AO17-AP17)/100),AO17-AP17)</f>
        <v>-1.4</v>
      </c>
      <c r="AR17" s="116">
        <v>-1.4</v>
      </c>
      <c r="AS17" s="116">
        <v>26.7</v>
      </c>
      <c r="AT17" s="120">
        <f t="array" ref="AT17">IFERROR(_xlfn.IFS(ISBLANK(AR17),"-",FIND("%",AR17,1),(AR17-AS17)/100),AR17-AS17)</f>
        <v>-28.099999999999998</v>
      </c>
      <c r="AU17" s="116">
        <v>90.4</v>
      </c>
      <c r="AV17" s="116">
        <v>-2.2000000000000002</v>
      </c>
      <c r="AW17" s="120">
        <f t="array" ref="AW17">IFERROR(_xlfn.IFS(ISBLANK(AU17),"-",FIND("%",AU17,1),(AU17-AV17)/100),AU17-AV17)</f>
        <v>92.600000000000009</v>
      </c>
    </row>
    <row r="18" spans="1:49" x14ac:dyDescent="0.25">
      <c r="A18" s="115" t="s">
        <v>105</v>
      </c>
      <c r="B18" s="116"/>
      <c r="C18" s="116"/>
      <c r="D18" s="49" t="str">
        <f>IF(ISBLANK(B18),"-",C18-B18)</f>
        <v>-</v>
      </c>
      <c r="E18" s="117">
        <v>6.5000000000000002E-2</v>
      </c>
      <c r="F18" s="117">
        <v>6.8000000000000005E-2</v>
      </c>
      <c r="G18" s="49">
        <f>IF(ISBLANK(E18),"-",F18-E18)</f>
        <v>3.0000000000000027E-3</v>
      </c>
      <c r="H18" s="117">
        <v>6.8000000000000005E-2</v>
      </c>
      <c r="I18" s="117">
        <v>6.5000000000000002E-2</v>
      </c>
      <c r="J18" s="49">
        <f>IF(ISBLANK(H18),"-",I18-H18)</f>
        <v>-3.0000000000000027E-3</v>
      </c>
      <c r="K18" s="116"/>
      <c r="L18" s="116"/>
      <c r="M18" s="49" t="str">
        <f>IF(ISBLANK(K18),"-",L18-K18)</f>
        <v>-</v>
      </c>
      <c r="N18" s="117">
        <v>7.0999999999999994E-2</v>
      </c>
      <c r="O18" s="117">
        <v>7.0999999999999994E-2</v>
      </c>
      <c r="P18" s="49">
        <f>IF(ISBLANK(N18),"-",O18-N18)</f>
        <v>0</v>
      </c>
      <c r="Q18" s="117">
        <v>7.0999999999999994E-2</v>
      </c>
      <c r="R18" s="117">
        <v>6.9000000000000006E-2</v>
      </c>
      <c r="S18" s="49">
        <f>IF(ISBLANK(Q18),"-",R18-Q18)</f>
        <v>-1.9999999999999879E-3</v>
      </c>
      <c r="T18" s="118">
        <v>6.9000000000000006E-2</v>
      </c>
      <c r="U18" s="117">
        <v>6.9000000000000006E-2</v>
      </c>
      <c r="V18" s="49">
        <f>IF(ISBLANK(T18),"-",U18-T18)</f>
        <v>0</v>
      </c>
      <c r="W18" s="117">
        <v>6.9000000000000006E-2</v>
      </c>
      <c r="X18" s="117">
        <v>6.7000000000000004E-2</v>
      </c>
      <c r="Y18" s="49">
        <f>IF(ISBLANK(W18),"-",X18-W18)</f>
        <v>-2.0000000000000018E-3</v>
      </c>
      <c r="Z18" s="116"/>
      <c r="AA18" s="116"/>
      <c r="AB18" s="49" t="str">
        <f>IF(ISBLANK(Z18),"-",AA18-Z18)</f>
        <v>-</v>
      </c>
      <c r="AC18" s="117">
        <v>6.6000000000000003E-2</v>
      </c>
      <c r="AD18" s="117">
        <v>6.7000000000000004E-2</v>
      </c>
      <c r="AE18" s="49">
        <f>IF(ISBLANK(AC18),"-",AD18-AC18)</f>
        <v>1.0000000000000009E-3</v>
      </c>
      <c r="AF18" s="117">
        <v>6.7000000000000004E-2</v>
      </c>
      <c r="AG18" s="117">
        <v>6.8000000000000005E-2</v>
      </c>
      <c r="AH18" s="49">
        <f>IF(ISBLANK(AF18),"-",AG18-AF18)</f>
        <v>1.0000000000000009E-3</v>
      </c>
      <c r="AI18" s="117">
        <v>6.8000000000000005E-2</v>
      </c>
      <c r="AJ18" s="117">
        <v>6.5000000000000002E-2</v>
      </c>
      <c r="AK18" s="49">
        <f>IF(ISBLANK(AI18),"-",AJ18-AI18)</f>
        <v>-3.0000000000000027E-3</v>
      </c>
      <c r="AL18" s="117">
        <v>6.5000000000000002E-2</v>
      </c>
      <c r="AM18" s="117">
        <v>6.6000000000000003E-2</v>
      </c>
      <c r="AN18" s="49">
        <f>IF(ISBLANK(AL18),"-",AM18-AL18)</f>
        <v>1.0000000000000009E-3</v>
      </c>
      <c r="AO18" s="116">
        <v>6.4</v>
      </c>
      <c r="AP18" s="116">
        <v>6.4</v>
      </c>
      <c r="AQ18" s="49">
        <f>IF(ISBLANK(AO18),"-",AP18-AO18)</f>
        <v>0</v>
      </c>
      <c r="AR18" s="121">
        <v>6.4000000000000001E-2</v>
      </c>
      <c r="AS18" s="121">
        <v>6.2E-2</v>
      </c>
      <c r="AT18" s="49">
        <f>IF(ISBLANK(AR18),"-",AS18-AR18)</f>
        <v>-2.0000000000000018E-3</v>
      </c>
      <c r="AU18" s="117">
        <v>6.0999999999999999E-2</v>
      </c>
      <c r="AV18" s="117">
        <v>6.0999999999999999E-2</v>
      </c>
      <c r="AW18" s="49">
        <f>IF(ISBLANK(AU18),"-",AV18-AU18)</f>
        <v>0</v>
      </c>
    </row>
    <row r="19" spans="1:49" x14ac:dyDescent="0.25">
      <c r="A19" s="108"/>
      <c r="D19" s="114"/>
      <c r="G19" s="114"/>
      <c r="J19" s="114"/>
      <c r="M19" s="114"/>
      <c r="P19" s="114"/>
      <c r="S19" s="114"/>
      <c r="V19" s="114"/>
      <c r="Y19" s="114"/>
      <c r="AB19" s="114"/>
      <c r="AE19" s="114"/>
      <c r="AH19" s="114"/>
      <c r="AK19" s="114"/>
      <c r="AN19" s="114"/>
      <c r="AO19" s="111"/>
      <c r="AP19" s="111"/>
      <c r="AQ19" s="114"/>
      <c r="AR19" s="111"/>
      <c r="AS19" s="111"/>
      <c r="AT19" s="114"/>
      <c r="AU19" s="111"/>
      <c r="AV19" s="111"/>
      <c r="AW19" s="114"/>
    </row>
    <row r="20" spans="1:49" x14ac:dyDescent="0.25">
      <c r="A20" s="102" t="s">
        <v>42</v>
      </c>
      <c r="B20" s="320" t="str">
        <f>IF(AND(D21="-",D22="-"),
    "",
    IF(SUM(IF(D21="-", 0, IF(D21&lt;0, -2, IF(D21&gt;0, 2, 0))),
            IF(D22="-", 0, IF(D22&lt;0, -2, IF(D22&gt;0, 2, 0)))) / 4 &gt; 0.1,
        "BULLISH",
        IF(SUM(IF(D21="-", 0, IF(D21&lt;0, -2, IF(D21&gt;0, 2, 0))),
                IF(D22="-", 0, IF(D22&lt;0, -2, IF(D22&gt;0, 2, 0)))) / 4 &lt; -0.1,
            "BEARISH",
            "NEUTRO"
        )
    )
)</f>
        <v/>
      </c>
      <c r="C20" s="321"/>
      <c r="D20" s="319"/>
      <c r="E20" s="320" t="str">
        <f>IF(AND(G21="-",G22="-"),
    "",
    IF(SUM(IF(G21="-", 0, IF(G21&lt;0, -2, IF(G21&gt;0, 2, 0))),
            IF(G22="-", 0, IF(G22&lt;0, -2, IF(G22&gt;0, 2, 0)))) / 4 &gt; 0.1,
        "BULLISH",
        IF(SUM(IF(G21="-", 0, IF(G21&lt;0, -2, IF(G21&gt;0, 2, 0))),
                IF(G22="-", 0, IF(G22&lt;0, -2, IF(G22&gt;0, 2, 0)))) / 4 &lt; -0.1,
            "BEARISH",
            "NEUTRO"
        )
    )
)</f>
        <v/>
      </c>
      <c r="F20" s="321"/>
      <c r="G20" s="319"/>
      <c r="H20" s="320" t="str">
        <f>IF(AND(J21="-",J22="-"),
    "",
    IF(SUM(IF(J21="-", 0, IF(J21&lt;0, -2, IF(J21&gt;0, 2, 0))),
            IF(J22="-", 0, IF(J22&lt;0, -2, IF(J22&gt;0, 2, 0)))) / 4 &gt; 0.1,
        "BULLISH",
        IF(SUM(IF(J21="-", 0, IF(J21&lt;0, -2, IF(J21&gt;0, 2, 0))),
                IF(J22="-", 0, IF(J22&lt;0, -2, IF(J22&gt;0, 2, 0)))) / 4 &lt; -0.1,
            "BEARISH",
            "NEUTRO"
        )
    )
)</f>
        <v>BULLISH</v>
      </c>
      <c r="I20" s="321"/>
      <c r="J20" s="319"/>
      <c r="K20" s="320" t="str">
        <f>IF(AND(M21="-",M22="-"),
    "",
    IF(SUM(IF(M21="-", 0, IF(M21&lt;0, -2, IF(M21&gt;0, 2, 0))),
            IF(M22="-", 0, IF(M22&lt;0, -2, IF(M22&gt;0, 2, 0)))) / 4 &gt; 0.1,
        "BULLISH",
        IF(SUM(IF(M21="-", 0, IF(M21&lt;0, -2, IF(M21&gt;0, 2, 0))),
                IF(M22="-", 0, IF(M22&lt;0, -2, IF(M22&gt;0, 2, 0)))) / 4 &lt; -0.1,
            "BEARISH",
            "NEUTRO"
        )
    )
)</f>
        <v/>
      </c>
      <c r="L20" s="321"/>
      <c r="M20" s="319"/>
      <c r="N20" s="320" t="str">
        <f>IF(AND(P21="-",P22="-"),
    "",
    IF(SUM(IF(P21="-", 0, IF(P21&lt;0, -2, IF(P21&gt;0, 2, 0))),
            IF(P22="-", 0, IF(P22&lt;0, -2, IF(P22&gt;0, 2, 0)))) / 4 &gt; 0.1,
        "BULLISH",
        IF(SUM(IF(P21="-", 0, IF(P21&lt;0, -2, IF(P21&gt;0, 2, 0))),
                IF(P22="-", 0, IF(P22&lt;0, -2, IF(P22&gt;0, 2, 0)))) / 4 &lt; -0.1,
            "BEARISH",
            "NEUTRO"
        )
    )
)</f>
        <v>BEARISH</v>
      </c>
      <c r="O20" s="321"/>
      <c r="P20" s="319"/>
      <c r="Q20" s="320" t="str">
        <f>IF(AND(S21="-",S22="-"),
    "",
    IF(SUM(IF(S21="-", 0, IF(S21&lt;0, -2, IF(S21&gt;0, 2, 0))),
            IF(S22="-", 0, IF(S22&lt;0, -2, IF(S22&gt;0, 2, 0)))) / 4 &gt; 0.1,
        "BULLISH",
        IF(SUM(IF(S21="-", 0, IF(S21&lt;0, -2, IF(S21&gt;0, 2, 0))),
                IF(S22="-", 0, IF(S22&lt;0, -2, IF(S22&gt;0, 2, 0)))) / 4 &lt; -0.1,
            "BEARISH",
            "NEUTRO"
        )
    )
)</f>
        <v>BULLISH</v>
      </c>
      <c r="R20" s="321"/>
      <c r="S20" s="319"/>
      <c r="T20" s="320" t="str">
        <f>IF(AND(V21="-",V22="-"),
    "",
    IF(SUM(IF(V21="-", 0, IF(V21&lt;0, -2, IF(V21&gt;0, 2, 0))),
            IF(V22="-", 0, IF(V22&lt;0, -2, IF(V22&gt;0, 2, 0)))) / 4 &gt; 0.1,
        "BULLISH",
        IF(SUM(IF(V21="-", 0, IF(V21&lt;0, -2, IF(V21&gt;0, 2, 0))),
                IF(V22="-", 0, IF(V22&lt;0, -2, IF(V22&gt;0, 2, 0)))) / 4 &lt; -0.1,
            "BEARISH",
            "NEUTRO"
        )
    )
)</f>
        <v>NEUTRO</v>
      </c>
      <c r="U20" s="321"/>
      <c r="V20" s="319"/>
      <c r="W20" s="320" t="str">
        <f>IF(AND(Y21="-",Y22="-"),
    "",
    IF(SUM(IF(Y21="-", 0, IF(Y21&lt;0, -2, IF(Y21&gt;0, 2, 0))),
            IF(Y22="-", 0, IF(Y22&lt;0, -2, IF(Y22&gt;0, 2, 0)))) / 4 &gt; 0.1,
        "BULLISH",
        IF(SUM(IF(Y21="-", 0, IF(Y21&lt;0, -2, IF(Y21&gt;0, 2, 0))),
                IF(Y22="-", 0, IF(Y22&lt;0, -2, IF(Y22&gt;0, 2, 0)))) / 4 &lt; -0.1,
            "BEARISH",
            "NEUTRO"
        )
    )
)</f>
        <v>NEUTRO</v>
      </c>
      <c r="X20" s="321"/>
      <c r="Y20" s="319"/>
      <c r="Z20" s="320" t="str">
        <f>IF(AND(AB21="-",AB22="-"),
    "",
    IF(SUM(IF(AB21="-", 0, IF(AB21&lt;0, -2, IF(AB21&gt;0, 2, 0))),
            IF(AB22="-", 0, IF(AB22&lt;0, -2, IF(AB22&gt;0, 2, 0)))) / 4 &gt; 0.1,
        "BULLISH",
        IF(SUM(IF(AB21="-", 0, IF(AB21&lt;0, -2, IF(AB21&gt;0, 2, 0))),
                IF(AB22="-", 0, IF(AB22&lt;0, -2, IF(AB22&gt;0, 2, 0)))) / 4 &lt; -0.1,
            "BEARISH",
            "NEUTRO"
        )
    )
)</f>
        <v>BEARISH</v>
      </c>
      <c r="AA20" s="321"/>
      <c r="AB20" s="319"/>
      <c r="AC20" s="320" t="str">
        <f>IF(AND(AE21="-",AE22="-"),
    "",
    IF(SUM(IF(AE21="-", 0, IF(AE21&lt;0, -2, IF(AE21&gt;0, 2, 0))),
            IF(AE22="-", 0, IF(AE22&lt;0, -2, IF(AE22&gt;0, 2, 0)))) / 4 &gt; 0.1,
        "BULLISH",
        IF(SUM(IF(AE21="-", 0, IF(AE21&lt;0, -2, IF(AE21&gt;0, 2, 0))),
                IF(AE22="-", 0, IF(AE22&lt;0, -2, IF(AE22&gt;0, 2, 0)))) / 4 &lt; -0.1,
            "BEARISH",
            "NEUTRO"
        )
    )
)</f>
        <v>BULLISH</v>
      </c>
      <c r="AD20" s="321"/>
      <c r="AE20" s="319"/>
      <c r="AF20" s="320" t="str">
        <f>IF(AND(AH21="-",AH22="-"),
    "",
    IF(SUM(IF(AH21="-", 0, IF(AH21&lt;0, -2, IF(AH21&gt;0, 2, 0))),
            IF(AH22="-", 0, IF(AH22&lt;0, -2, IF(AH22&gt;0, 2, 0)))) / 4 &gt; 0.1,
        "BULLISH",
        IF(SUM(IF(AH21="-", 0, IF(AH21&lt;0, -2, IF(AH21&gt;0, 2, 0))),
                IF(AH22="-", 0, IF(AH22&lt;0, -2, IF(AH22&gt;0, 2, 0)))) / 4 &lt; -0.1,
            "BEARISH",
            "NEUTRO"
        )
    )
)</f>
        <v>BEARISH</v>
      </c>
      <c r="AG20" s="321"/>
      <c r="AH20" s="319"/>
      <c r="AI20" s="320" t="str">
        <f>IF(AND(AK21="-",AK22="-"),
    "",
    IF(SUM(IF(AK21="-", 0, IF(AK21&lt;0, -2, IF(AK21&gt;0, 2, 0))),
            IF(AK22="-", 0, IF(AK22&lt;0, -2, IF(AK22&gt;0, 2, 0)))) / 4 &gt; 0.1,
        "BULLISH",
        IF(SUM(IF(AK21="-", 0, IF(AK21&lt;0, -2, IF(AK21&gt;0, 2, 0))),
                IF(AK22="-", 0, IF(AK22&lt;0, -2, IF(AK22&gt;0, 2, 0)))) / 4 &lt; -0.1,
            "BEARISH",
            "NEUTRO"
        )
    )
)</f>
        <v>BEARISH</v>
      </c>
      <c r="AJ20" s="321"/>
      <c r="AK20" s="319"/>
      <c r="AL20" s="320" t="str">
        <f>IF(AND(AN21="-",AN22="-"),
    "",
    IF(SUM(IF(AN21="-", 0, IF(AN21&lt;0, -2, IF(AN21&gt;0, 2, 0))),
            IF(AN22="-", 0, IF(AN22&lt;0, -2, IF(AN22&gt;0, 2, 0)))) / 4 &gt; 0.1,
        "BULLISH",
        IF(SUM(IF(AN21="-", 0, IF(AN21&lt;0, -2, IF(AN21&gt;0, 2, 0))),
                IF(AN22="-", 0, IF(AN22&lt;0, -2, IF(AN22&gt;0, 2, 0)))) / 4 &lt; -0.1,
            "BEARISH",
            "NEUTRO"
        )
    )
)</f>
        <v>BULLISH</v>
      </c>
      <c r="AM20" s="321"/>
      <c r="AN20" s="319"/>
      <c r="AO20" s="320" t="str">
        <f>IF(AND(AQ21="-",AQ22="-"),
    "",
    IF(SUM(IF(AQ21="-", 0, IF(AQ21&lt;0, -2, IF(AQ21&gt;0, 2, 0))),
            IF(AQ22="-", 0, IF(AQ22&lt;0, -2, IF(AQ22&gt;0, 2, 0)))) / 4 &gt; 0.1,
        "BULLISH",
        IF(SUM(IF(AQ21="-", 0, IF(AQ21&lt;0, -2, IF(AQ21&gt;0, 2, 0))),
                IF(AQ22="-", 0, IF(AQ22&lt;0, -2, IF(AQ22&gt;0, 2, 0)))) / 4 &lt; -0.1,
            "BEARISH",
            "NEUTRO"
        )
    )
)</f>
        <v>BULLISH</v>
      </c>
      <c r="AP20" s="321"/>
      <c r="AQ20" s="319"/>
      <c r="AR20" s="320" t="str">
        <f>IF(AND(AT21="-",AT22="-"),
    "",
    IF(SUM(IF(AT21="-", 0, IF(AT21&lt;0, -2, IF(AT21&gt;0, 2, 0))),
            IF(AT22="-", 0, IF(AT22&lt;0, -2, IF(AT22&gt;0, 2, 0)))) / 4 &gt; 0.1,
        "BULLISH",
        IF(SUM(IF(AT21="-", 0, IF(AT21&lt;0, -2, IF(AT21&gt;0, 2, 0))),
                IF(AT22="-", 0, IF(AT22&lt;0, -2, IF(AT22&gt;0, 2, 0)))) / 4 &lt; -0.1,
            "BEARISH",
            "NEUTRO"
        )
    )
)</f>
        <v>BEARISH</v>
      </c>
      <c r="AS20" s="321"/>
      <c r="AT20" s="319"/>
      <c r="AU20" s="320" t="str">
        <f>IF(AND(AW21="-",AW22="-"),
    "",
    IF(SUM(IF(AW21="-", 0, IF(AW21&lt;0, -2, IF(AW21&gt;0, 2, 0))),
            IF(AW22="-", 0, IF(AW22&lt;0, -2, IF(AW22&gt;0, 2, 0)))) / 4 &gt; 0.1,
        "BULLISH",
        IF(SUM(IF(AW21="-", 0, IF(AW21&lt;0, -2, IF(AW21&gt;0, 2, 0))),
                IF(AW22="-", 0, IF(AW22&lt;0, -2, IF(AW22&gt;0, 2, 0)))) / 4 &lt; -0.1,
            "BEARISH",
            "NEUTRO"
        )
    )
)</f>
        <v>NEUTRO</v>
      </c>
      <c r="AV20" s="321"/>
      <c r="AW20" s="319"/>
    </row>
    <row r="21" spans="1:49" x14ac:dyDescent="0.25">
      <c r="A21" s="115" t="s">
        <v>115</v>
      </c>
      <c r="B21" s="116"/>
      <c r="C21" s="116"/>
      <c r="D21" s="53" t="str">
        <f>IF(ISBLANK(B21),"-",B21-C21)</f>
        <v>-</v>
      </c>
      <c r="E21" s="116"/>
      <c r="F21" s="116"/>
      <c r="G21" s="53" t="str">
        <f>IF(ISBLANK(E21),"-",E21-F21)</f>
        <v>-</v>
      </c>
      <c r="H21" s="117">
        <v>1.2999999999999999E-2</v>
      </c>
      <c r="I21" s="117">
        <v>1.2E-2</v>
      </c>
      <c r="J21" s="53">
        <f>IF(ISBLANK(H21),"-",H21-I21)</f>
        <v>9.9999999999999915E-4</v>
      </c>
      <c r="K21" s="116"/>
      <c r="L21" s="116"/>
      <c r="M21" s="53" t="str">
        <f>IF(ISBLANK(K21),"-",K21-L21)</f>
        <v>-</v>
      </c>
      <c r="N21" s="117">
        <v>0.01</v>
      </c>
      <c r="O21" s="117">
        <v>1.6E-2</v>
      </c>
      <c r="P21" s="53">
        <f>IF(ISBLANK(N21),"-",N21-O21)</f>
        <v>-6.0000000000000001E-3</v>
      </c>
      <c r="Q21" s="117">
        <v>1.4999999999999999E-2</v>
      </c>
      <c r="R21" s="117">
        <v>-1.2E-2</v>
      </c>
      <c r="S21" s="53">
        <f>IF(ISBLANK(Q21),"-",Q21-R21)</f>
        <v>2.7E-2</v>
      </c>
      <c r="T21" s="117">
        <v>-1.0999999999999999E-2</v>
      </c>
      <c r="U21" s="117">
        <v>8.0000000000000002E-3</v>
      </c>
      <c r="V21" s="53">
        <f>IF(ISBLANK(T21),"-",T21-U21)</f>
        <v>-1.9E-2</v>
      </c>
      <c r="W21" s="117">
        <v>8.0000000000000002E-3</v>
      </c>
      <c r="X21" s="117">
        <v>-6.0000000000000001E-3</v>
      </c>
      <c r="Y21" s="53">
        <f>IF(ISBLANK(W21),"-",W21-X21)</f>
        <v>1.4E-2</v>
      </c>
      <c r="Z21" s="117">
        <v>-6.0000000000000001E-3</v>
      </c>
      <c r="AA21" s="117">
        <v>2.5999999999999999E-2</v>
      </c>
      <c r="AB21" s="53">
        <f>IF(ISBLANK(Z21),"-",Z21-AA21)</f>
        <v>-3.2000000000000001E-2</v>
      </c>
      <c r="AC21" s="117">
        <v>2.5000000000000001E-2</v>
      </c>
      <c r="AD21" s="117">
        <v>2E-3</v>
      </c>
      <c r="AE21" s="53">
        <f>IF(ISBLANK(AC21),"-",AC21-AD21)</f>
        <v>2.3E-2</v>
      </c>
      <c r="AF21" s="117">
        <v>0</v>
      </c>
      <c r="AG21" s="117">
        <v>6.0000000000000001E-3</v>
      </c>
      <c r="AH21" s="53">
        <f>IF(ISBLANK(AF21),"-",AF21-AG21)</f>
        <v>-6.0000000000000001E-3</v>
      </c>
      <c r="AI21" s="117">
        <v>4.0000000000000001E-3</v>
      </c>
      <c r="AJ21" s="117">
        <v>8.9999999999999993E-3</v>
      </c>
      <c r="AK21" s="53">
        <f>IF(ISBLANK(AI21),"-",AI21-AJ21)</f>
        <v>-4.9999999999999992E-3</v>
      </c>
      <c r="AL21" s="117">
        <v>8.9999999999999993E-3</v>
      </c>
      <c r="AM21" s="117">
        <v>-2E-3</v>
      </c>
      <c r="AN21" s="53">
        <f>IF(ISBLANK(AL21),"-",AL21-AM21)</f>
        <v>1.0999999999999999E-2</v>
      </c>
      <c r="AO21" s="117">
        <v>-3.0000000000000001E-3</v>
      </c>
      <c r="AP21" s="117">
        <v>-8.0000000000000002E-3</v>
      </c>
      <c r="AQ21" s="53">
        <f>IF(ISBLANK(AO21),"-",AO21-AP21)</f>
        <v>5.0000000000000001E-3</v>
      </c>
      <c r="AR21" s="117">
        <v>-8.0000000000000002E-3</v>
      </c>
      <c r="AS21" s="117">
        <v>6.0000000000000001E-3</v>
      </c>
      <c r="AT21" s="53">
        <f>IF(ISBLANK(AR21),"-",AR21-AS21)</f>
        <v>-1.4E-2</v>
      </c>
      <c r="AU21" s="117">
        <v>-1E-3</v>
      </c>
      <c r="AV21" s="117">
        <v>-3.0000000000000001E-3</v>
      </c>
      <c r="AW21" s="53">
        <f>IF(ISBLANK(AU21),"-",AU21-AV21)</f>
        <v>2E-3</v>
      </c>
    </row>
    <row r="22" spans="1:49" x14ac:dyDescent="0.25">
      <c r="A22" s="115" t="s">
        <v>116</v>
      </c>
      <c r="B22" s="116"/>
      <c r="C22" s="116"/>
      <c r="D22" s="34" t="str">
        <f>IF(ISBLANK(B22),"-",B22-C22)</f>
        <v>-</v>
      </c>
      <c r="E22" s="116"/>
      <c r="F22" s="116"/>
      <c r="G22" s="34" t="str">
        <f>IF(ISBLANK(E22),"-",E22-F22)</f>
        <v>-</v>
      </c>
      <c r="H22" s="117">
        <v>1.7000000000000001E-2</v>
      </c>
      <c r="I22" s="117">
        <v>-6.0000000000000001E-3</v>
      </c>
      <c r="J22" s="34">
        <f>IF(ISBLANK(H22),"-",H22-I22)</f>
        <v>2.3E-2</v>
      </c>
      <c r="K22" s="116"/>
      <c r="L22" s="116"/>
      <c r="M22" s="34" t="str">
        <f>IF(ISBLANK(K22),"-",K22-L22)</f>
        <v>-</v>
      </c>
      <c r="N22" s="117">
        <v>7.0000000000000001E-3</v>
      </c>
      <c r="O22" s="117">
        <v>2.1999999999999999E-2</v>
      </c>
      <c r="P22" s="34">
        <f>IF(ISBLANK(N22),"-",N22-O22)</f>
        <v>-1.4999999999999999E-2</v>
      </c>
      <c r="Q22" s="117">
        <v>1.9E-2</v>
      </c>
      <c r="R22" s="117">
        <v>-3.0000000000000001E-3</v>
      </c>
      <c r="S22" s="34">
        <f>IF(ISBLANK(Q22),"-",Q22-R22)</f>
        <v>2.1999999999999999E-2</v>
      </c>
      <c r="T22" s="117">
        <v>-2E-3</v>
      </c>
      <c r="U22" s="117">
        <v>-8.0000000000000002E-3</v>
      </c>
      <c r="V22" s="34">
        <f>IF(ISBLANK(T22),"-",T22-U22)</f>
        <v>6.0000000000000001E-3</v>
      </c>
      <c r="W22" s="117">
        <v>-7.0000000000000001E-3</v>
      </c>
      <c r="X22" s="117">
        <v>1E-3</v>
      </c>
      <c r="Y22" s="34">
        <f>IF(ISBLANK(W22),"-",W22-X22)</f>
        <v>-8.0000000000000002E-3</v>
      </c>
      <c r="Z22" s="117">
        <v>2E-3</v>
      </c>
      <c r="AA22" s="117">
        <v>2.9000000000000001E-2</v>
      </c>
      <c r="AB22" s="34">
        <f>IF(ISBLANK(Z22),"-",Z22-AA22)</f>
        <v>-2.7000000000000003E-2</v>
      </c>
      <c r="AC22" s="117">
        <v>2.7E-2</v>
      </c>
      <c r="AD22" s="117">
        <v>-7.0000000000000001E-3</v>
      </c>
      <c r="AE22" s="34">
        <f>IF(ISBLANK(AC22),"-",AC22-AD22)</f>
        <v>3.4000000000000002E-2</v>
      </c>
      <c r="AF22" s="117">
        <v>-7.0000000000000001E-3</v>
      </c>
      <c r="AG22" s="117">
        <v>1.0999999999999999E-2</v>
      </c>
      <c r="AH22" s="34">
        <f>IF(ISBLANK(AF22),"-",AF22-AG22)</f>
        <v>-1.7999999999999999E-2</v>
      </c>
      <c r="AI22" s="117">
        <v>-7.0000000000000001E-3</v>
      </c>
      <c r="AJ22" s="117">
        <v>3.0000000000000001E-3</v>
      </c>
      <c r="AK22" s="34">
        <f>IF(ISBLANK(AI22),"-",AI22-AJ22)</f>
        <v>-0.01</v>
      </c>
      <c r="AL22" s="117">
        <v>4.0000000000000001E-3</v>
      </c>
      <c r="AM22" s="117">
        <v>3.0000000000000001E-3</v>
      </c>
      <c r="AN22" s="34">
        <f>IF(ISBLANK(AL22),"-",AL22-AM22)</f>
        <v>1E-3</v>
      </c>
      <c r="AO22" s="117">
        <v>3.0000000000000001E-3</v>
      </c>
      <c r="AP22" s="117">
        <v>-1.2E-2</v>
      </c>
      <c r="AQ22" s="34">
        <f>IF(ISBLANK(AO22),"-",AO22-AP22)</f>
        <v>1.4999999999999999E-2</v>
      </c>
      <c r="AR22" s="117">
        <v>-1.2999999999999999E-2</v>
      </c>
      <c r="AS22" s="117">
        <v>1.7000000000000001E-2</v>
      </c>
      <c r="AT22" s="34">
        <f>IF(ISBLANK(AR22),"-",AR22-AS22)</f>
        <v>-0.03</v>
      </c>
      <c r="AU22" s="117">
        <v>-3.0000000000000001E-3</v>
      </c>
      <c r="AV22" s="117">
        <v>4.0000000000000001E-3</v>
      </c>
      <c r="AW22" s="34">
        <f>IF(ISBLANK(AU22),"-",AU22-AV22)</f>
        <v>-7.0000000000000001E-3</v>
      </c>
    </row>
    <row r="23" spans="1:49" x14ac:dyDescent="0.25">
      <c r="A23" s="108"/>
      <c r="D23" s="114"/>
      <c r="G23" s="114"/>
      <c r="H23" s="109"/>
      <c r="J23" s="114"/>
      <c r="M23" s="114"/>
      <c r="P23" s="114"/>
      <c r="S23" s="114"/>
      <c r="V23" s="114"/>
      <c r="Y23" s="114"/>
      <c r="AB23" s="114"/>
      <c r="AE23" s="114"/>
      <c r="AH23" s="114"/>
      <c r="AK23" s="114"/>
      <c r="AN23" s="114"/>
      <c r="AO23" s="111"/>
      <c r="AP23" s="111"/>
      <c r="AQ23" s="114"/>
      <c r="AR23" s="111"/>
      <c r="AS23" s="111"/>
      <c r="AT23" s="114"/>
      <c r="AU23" s="111"/>
      <c r="AV23" s="111"/>
      <c r="AW23" s="114"/>
    </row>
    <row r="24" spans="1:49" x14ac:dyDescent="0.25">
      <c r="A24" s="102" t="s">
        <v>50</v>
      </c>
      <c r="B24" s="320" t="str">
        <f>IF(AND(D25="-",D26="-",D27="-",D28="-",D29="-",D30="-"),
    "",
    IF(SUM(IF(D25="-",0,IF(D25&lt;0,-2,IF(D25&gt;0,2,0))),
            IF(D26="-",0,IF(D26&lt;0,-2,IF(D26&gt;0,2,0))),
            IF(D27="-",0,IF(D27&lt;0,-1,IF(D27&gt;0,1,0))),
            IF(D28="-",0,IF(D28&lt;0,-1,IF(D28&gt;0,1,0))),
            IF(D29="-",0,IF(D29&lt;0,-1,IF(D29&gt;0,1,0))),
            IF(D30="-",0,IF(D30&lt;0,-1,IF(D30&gt;0,1,0)))) / 9 &gt; 0.1,
        "BULLISH",
        IF(SUM(IF(D25="-",0,IF(D25&lt;0,-2,IF(D25&gt;0,2,0))),
                IF(D26="-",0,IF(D26&lt;0,-2,IF(D26&gt;0,2,0))),
                IF(D27="-",0,IF(D27&lt;0,-1,IF(D27&gt;0,1,0))),
                IF(D28="-",0,IF(D28&lt;0,-1,IF(D28&gt;0,1,0))),
                IF(D29="-",0,IF(D29&lt;0,-1,IF(D29&gt;0,1,0))),
                IF(D30="-",0,IF(D30&lt;0,-1,IF(D30&gt;0,1,0)))) / 9 &lt; -0.1,
            "BEARISH",
            "NEUTRO"
        )
    )
)</f>
        <v/>
      </c>
      <c r="C24" s="321"/>
      <c r="D24" s="319"/>
      <c r="E24" s="320" t="str">
        <f>IF(AND(G25="-",G26="-",G27="-",G28="-",G29="-",G30="-"),
    "",
    IF(SUM(IF(G25="-",0,IF(G25&lt;0,-2,IF(G25&gt;0,2,0))),
            IF(G26="-",0,IF(G26&lt;0,-2,IF(G26&gt;0,2,0))),
            IF(G27="-",0,IF(G27&lt;0,-1,IF(G27&gt;0,1,0))),
            IF(G28="-",0,IF(G28&lt;0,-1,IF(G28&gt;0,1,0))),
            IF(G29="-",0,IF(G29&lt;0,-1,IF(G29&gt;0,1,0))),
            IF(G30="-",0,IF(G30&lt;0,-1,IF(G30&gt;0,1,0)))) / 9 &gt; 0.1,
        "BULLISH",
        IF(SUM(IF(G25="-",0,IF(G25&lt;0,-2,IF(G25&gt;0,2,0))),
                IF(G26="-",0,IF(G26&lt;0,-2,IF(G26&gt;0,2,0))),
                IF(G27="-",0,IF(G27&lt;0,-1,IF(G27&gt;0,1,0))),
                IF(G28="-",0,IF(G28&lt;0,-1,IF(G28&gt;0,1,0))),
                IF(G29="-",0,IF(G29&lt;0,-1,IF(G29&gt;0,1,0))),
                IF(G30="-",0,IF(G30&lt;0,-1,IF(G30&gt;0,1,0)))) / 9 &lt; -0.1,
            "BEARISH",
            "NEUTRO"
        )
    )
)</f>
        <v>BEARISH</v>
      </c>
      <c r="F24" s="321"/>
      <c r="G24" s="319"/>
      <c r="H24" s="320" t="str">
        <f>IF(AND(J25="-",J26="-",J27="-",J28="-",J29="-",J30="-"),
    "",
    IF(SUM(IF(J25="-",0,IF(J25&lt;0,-2,IF(J25&gt;0,2,0))),
            IF(J26="-",0,IF(J26&lt;0,-2,IF(J26&gt;0,2,0))),
            IF(J27="-",0,IF(J27&lt;0,-1,IF(J27&gt;0,1,0))),
            IF(J28="-",0,IF(J28&lt;0,-1,IF(J28&gt;0,1,0))),
            IF(J29="-",0,IF(J29&lt;0,-1,IF(J29&gt;0,1,0))),
            IF(J30="-",0,IF(J30&lt;0,-1,IF(J30&gt;0,1,0)))) / 9 &gt; 0.1,
        "BULLISH",
        IF(SUM(IF(J25="-",0,IF(J25&lt;0,-2,IF(J25&gt;0,2,0))),
                IF(J26="-",0,IF(J26&lt;0,-2,IF(J26&gt;0,2,0))),
                IF(J27="-",0,IF(J27&lt;0,-1,IF(J27&gt;0,1,0))),
                IF(J28="-",0,IF(J28&lt;0,-1,IF(J28&gt;0,1,0))),
                IF(J29="-",0,IF(J29&lt;0,-1,IF(J29&gt;0,1,0))),
                IF(J30="-",0,IF(J30&lt;0,-1,IF(J30&gt;0,1,0)))) / 9 &lt; -0.1,
            "BEARISH",
            "NEUTRO"
        )
    )
)</f>
        <v>BEARISH</v>
      </c>
      <c r="I24" s="321"/>
      <c r="J24" s="319"/>
      <c r="K24" s="320" t="str">
        <f>IF(AND(M25="-",M26="-",M27="-",M28="-",M29="-",M30="-"),
    "",
    IF(SUM(IF(M25="-",0,IF(M25&lt;0,-2,IF(M25&gt;0,2,0))),
            IF(M26="-",0,IF(M26&lt;0,-2,IF(M26&gt;0,2,0))),
            IF(M27="-",0,IF(M27&lt;0,-1,IF(M27&gt;0,1,0))),
            IF(M28="-",0,IF(M28&lt;0,-1,IF(M28&gt;0,1,0))),
            IF(M29="-",0,IF(M29&lt;0,-1,IF(M29&gt;0,1,0))),
            IF(M30="-",0,IF(M30&lt;0,-1,IF(M30&gt;0,1,0)))) / 9 &gt; 0.1,
        "BULLISH",
        IF(SUM(IF(M25="-",0,IF(M25&lt;0,-2,IF(M25&gt;0,2,0))),
                IF(M26="-",0,IF(M26&lt;0,-2,IF(M26&gt;0,2,0))),
                IF(M27="-",0,IF(M27&lt;0,-1,IF(M27&gt;0,1,0))),
                IF(M28="-",0,IF(M28&lt;0,-1,IF(M28&gt;0,1,0))),
                IF(M29="-",0,IF(M29&lt;0,-1,IF(M29&gt;0,1,0))),
                IF(M30="-",0,IF(M30&lt;0,-1,IF(M30&gt;0,1,0)))) / 9 &lt; -0.1,
            "BEARISH",
            "NEUTRO"
        )
    )
)</f>
        <v/>
      </c>
      <c r="L24" s="321"/>
      <c r="M24" s="319"/>
      <c r="N24" s="320" t="str">
        <f>IF(AND(P25="-",P26="-",P27="-",P28="-",P29="-",P30="-"),
    "",
    IF(SUM(IF(P25="-",0,IF(P25&lt;0,-2,IF(P25&gt;0,2,0))),
            IF(P26="-",0,IF(P26&lt;0,-2,IF(P26&gt;0,2,0))),
            IF(P27="-",0,IF(P27&lt;0,-1,IF(P27&gt;0,1,0))),
            IF(P28="-",0,IF(P28&lt;0,-1,IF(P28&gt;0,1,0))),
            IF(P29="-",0,IF(P29&lt;0,-1,IF(P29&gt;0,1,0))),
            IF(P30="-",0,IF(P30&lt;0,-1,IF(P30&gt;0,1,0)))) / 9 &gt; 0.1,
        "BULLISH",
        IF(SUM(IF(P25="-",0,IF(P25&lt;0,-2,IF(P25&gt;0,2,0))),
                IF(P26="-",0,IF(P26&lt;0,-2,IF(P26&gt;0,2,0))),
                IF(P27="-",0,IF(P27&lt;0,-1,IF(P27&gt;0,1,0))),
                IF(P28="-",0,IF(P28&lt;0,-1,IF(P28&gt;0,1,0))),
                IF(P29="-",0,IF(P29&lt;0,-1,IF(P29&gt;0,1,0))),
                IF(P30="-",0,IF(P30&lt;0,-1,IF(P30&gt;0,1,0)))) / 9 &lt; -0.1,
            "BEARISH",
            "NEUTRO"
        )
    )
)</f>
        <v>BEARISH</v>
      </c>
      <c r="O24" s="321"/>
      <c r="P24" s="319"/>
      <c r="Q24" s="320" t="str">
        <f>IF(AND(S25="-",S26="-",S27="-",S28="-",S29="-",S30="-"),
    "",
    IF(SUM(IF(S25="-",0,IF(S25&lt;0,-2,IF(S25&gt;0,2,0))),
            IF(S26="-",0,IF(S26&lt;0,-2,IF(S26&gt;0,2,0))),
            IF(S27="-",0,IF(S27&lt;0,-1,IF(S27&gt;0,1,0))),
            IF(S28="-",0,IF(S28&lt;0,-1,IF(S28&gt;0,1,0))),
            IF(S29="-",0,IF(S29&lt;0,-1,IF(S29&gt;0,1,0))),
            IF(S30="-",0,IF(S30&lt;0,-1,IF(S30&gt;0,1,0)))) / 9 &gt; 0.1,
        "BULLISH",
        IF(SUM(IF(S25="-",0,IF(S25&lt;0,-2,IF(S25&gt;0,2,0))),
                IF(S26="-",0,IF(S26&lt;0,-2,IF(S26&gt;0,2,0))),
                IF(S27="-",0,IF(S27&lt;0,-1,IF(S27&gt;0,1,0))),
                IF(S28="-",0,IF(S28&lt;0,-1,IF(S28&gt;0,1,0))),
                IF(S29="-",0,IF(S29&lt;0,-1,IF(S29&gt;0,1,0))),
                IF(S30="-",0,IF(S30&lt;0,-1,IF(S30&gt;0,1,0)))) / 9 &lt; -0.1,
            "BEARISH",
            "NEUTRO"
        )
    )
)</f>
        <v>BULLISH</v>
      </c>
      <c r="R24" s="321"/>
      <c r="S24" s="319"/>
      <c r="T24" s="320" t="str">
        <f>IF(AND(V25="-",V26="-",V27="-",V28="-",V29="-",V30="-"),
    "",
    IF(SUM(IF(V25="-",0,IF(V25&lt;0,-2,IF(V25&gt;0,2,0))),
            IF(V26="-",0,IF(V26&lt;0,-2,IF(V26&gt;0,2,0))),
            IF(V27="-",0,IF(V27&lt;0,-1,IF(V27&gt;0,1,0))),
            IF(V28="-",0,IF(V28&lt;0,-1,IF(V28&gt;0,1,0))),
            IF(V29="-",0,IF(V29&lt;0,-1,IF(V29&gt;0,1,0))),
            IF(V30="-",0,IF(V30&lt;0,-1,IF(V30&gt;0,1,0)))) / 9 &gt; 0.1,
        "BULLISH",
        IF(SUM(IF(V25="-",0,IF(V25&lt;0,-2,IF(V25&gt;0,2,0))),
                IF(V26="-",0,IF(V26&lt;0,-2,IF(V26&gt;0,2,0))),
                IF(V27="-",0,IF(V27&lt;0,-1,IF(V27&gt;0,1,0))),
                IF(V28="-",0,IF(V28&lt;0,-1,IF(V28&gt;0,1,0))),
                IF(V29="-",0,IF(V29&lt;0,-1,IF(V29&gt;0,1,0))),
                IF(V30="-",0,IF(V30&lt;0,-1,IF(V30&gt;0,1,0)))) / 9 &lt; -0.1,
            "BEARISH",
            "NEUTRO"
        )
    )
)</f>
        <v>NEUTRO</v>
      </c>
      <c r="U24" s="321"/>
      <c r="V24" s="319"/>
      <c r="W24" s="320" t="str">
        <f>IF(AND(Y25="-",Y26="-",Y27="-",Y28="-",Y29="-",Y30="-"),
    "",
    IF(SUM(IF(Y25="-",0,IF(Y25&lt;0,-2,IF(Y25&gt;0,2,0))),
            IF(Y26="-",0,IF(Y26&lt;0,-2,IF(Y26&gt;0,2,0))),
            IF(Y27="-",0,IF(Y27&lt;0,-1,IF(Y27&gt;0,1,0))),
            IF(Y28="-",0,IF(Y28&lt;0,-1,IF(Y28&gt;0,1,0))),
            IF(Y29="-",0,IF(Y29&lt;0,-1,IF(Y29&gt;0,1,0))),
            IF(Y30="-",0,IF(Y30&lt;0,-1,IF(Y30&gt;0,1,0)))) / 9 &gt; 0.1,
        "BULLISH",
        IF(SUM(IF(Y25="-",0,IF(Y25&lt;0,-2,IF(Y25&gt;0,2,0))),
                IF(Y26="-",0,IF(Y26&lt;0,-2,IF(Y26&gt;0,2,0))),
                IF(Y27="-",0,IF(Y27&lt;0,-1,IF(Y27&gt;0,1,0))),
                IF(Y28="-",0,IF(Y28&lt;0,-1,IF(Y28&gt;0,1,0))),
                IF(Y29="-",0,IF(Y29&lt;0,-1,IF(Y29&gt;0,1,0))),
                IF(Y30="-",0,IF(Y30&lt;0,-1,IF(Y30&gt;0,1,0)))) / 9 &lt; -0.1,
            "BEARISH",
            "NEUTRO"
        )
    )
)</f>
        <v>BEARISH</v>
      </c>
      <c r="X24" s="321"/>
      <c r="Y24" s="319"/>
      <c r="Z24" s="320" t="str">
        <f>IF(AND(AB25="-",AB26="-",AB27="-",AB28="-",AB29="-",AB30="-"),
    "",
    IF(SUM(IF(AB25="-",0,IF(AB25&lt;0,-2,IF(AB25&gt;0,2,0))),
            IF(AB26="-",0,IF(AB26&lt;0,-2,IF(AB26&gt;0,2,0))),
            IF(AB27="-",0,IF(AB27&lt;0,-1,IF(AB27&gt;0,1,0))),
            IF(AB28="-",0,IF(AB28&lt;0,-1,IF(AB28&gt;0,1,0))),
            IF(AB29="-",0,IF(AB29&lt;0,-1,IF(AB29&gt;0,1,0))),
            IF(AB30="-",0,IF(AB30&lt;0,-1,IF(AB30&gt;0,1,0)))) / 9 &gt; 0.1,
        "BULLISH",
        IF(SUM(IF(AB25="-",0,IF(AB25&lt;0,-2,IF(AB25&gt;0,2,0))),
                IF(AB26="-",0,IF(AB26&lt;0,-2,IF(AB26&gt;0,2,0))),
                IF(AB27="-",0,IF(AB27&lt;0,-1,IF(AB27&gt;0,1,0))),
                IF(AB28="-",0,IF(AB28&lt;0,-1,IF(AB28&gt;0,1,0))),
                IF(AB29="-",0,IF(AB29&lt;0,-1,IF(AB29&gt;0,1,0))),
                IF(AB30="-",0,IF(AB30&lt;0,-1,IF(AB30&gt;0,1,0)))) / 9 &lt; -0.1,
            "BEARISH",
            "NEUTRO"
        )
    )
)</f>
        <v>BEARISH</v>
      </c>
      <c r="AA24" s="321"/>
      <c r="AB24" s="319"/>
      <c r="AC24" s="320" t="str">
        <f>IF(AND(AE25="-",AE26="-",AE27="-",AE28="-",AE29="-",AE30="-"),
    "",
    IF(SUM(IF(AE25="-",0,IF(AE25&lt;0,-2,IF(AE25&gt;0,2,0))),
            IF(AE26="-",0,IF(AE26&lt;0,-2,IF(AE26&gt;0,2,0))),
            IF(AE27="-",0,IF(AE27&lt;0,-1,IF(AE27&gt;0,1,0))),
            IF(AE28="-",0,IF(AE28&lt;0,-1,IF(AE28&gt;0,1,0))),
            IF(AE29="-",0,IF(AE29&lt;0,-1,IF(AE29&gt;0,1,0))),
            IF(AE30="-",0,IF(AE30&lt;0,-1,IF(AE30&gt;0,1,0)))) / 9 &gt; 0.1,
        "BULLISH",
        IF(SUM(IF(AE25="-",0,IF(AE25&lt;0,-2,IF(AE25&gt;0,2,0))),
                IF(AE26="-",0,IF(AE26&lt;0,-2,IF(AE26&gt;0,2,0))),
                IF(AE27="-",0,IF(AE27&lt;0,-1,IF(AE27&gt;0,1,0))),
                IF(AE28="-",0,IF(AE28&lt;0,-1,IF(AE28&gt;0,1,0))),
                IF(AE29="-",0,IF(AE29&lt;0,-1,IF(AE29&gt;0,1,0))),
                IF(AE30="-",0,IF(AE30&lt;0,-1,IF(AE30&gt;0,1,0)))) / 9 &lt; -0.1,
            "BEARISH",
            "NEUTRO"
        )
    )
)</f>
        <v>NEUTRO</v>
      </c>
      <c r="AD24" s="321"/>
      <c r="AE24" s="319"/>
      <c r="AF24" s="320" t="str">
        <f>IF(AND(AH25="-",AH26="-",AH27="-",AH28="-",AH29="-",AH30="-"),
    "",
    IF(SUM(IF(AH25="-",0,IF(AH25&lt;0,-2,IF(AH25&gt;0,2,0))),
            IF(AH26="-",0,IF(AH26&lt;0,-2,IF(AH26&gt;0,2,0))),
            IF(AH27="-",0,IF(AH27&lt;0,-1,IF(AH27&gt;0,1,0))),
            IF(AH28="-",0,IF(AH28&lt;0,-1,IF(AH28&gt;0,1,0))),
            IF(AH29="-",0,IF(AH29&lt;0,-1,IF(AH29&gt;0,1,0))),
            IF(AH30="-",0,IF(AH30&lt;0,-1,IF(AH30&gt;0,1,0)))) / 9 &gt; 0.1,
        "BULLISH",
        IF(SUM(IF(AH25="-",0,IF(AH25&lt;0,-2,IF(AH25&gt;0,2,0))),
                IF(AH26="-",0,IF(AH26&lt;0,-2,IF(AH26&gt;0,2,0))),
                IF(AH27="-",0,IF(AH27&lt;0,-1,IF(AH27&gt;0,1,0))),
                IF(AH28="-",0,IF(AH28&lt;0,-1,IF(AH28&gt;0,1,0))),
                IF(AH29="-",0,IF(AH29&lt;0,-1,IF(AH29&gt;0,1,0))),
                IF(AH30="-",0,IF(AH30&lt;0,-1,IF(AH30&gt;0,1,0)))) / 9 &lt; -0.1,
            "BEARISH",
            "NEUTRO"
        )
    )
)</f>
        <v>BULLISH</v>
      </c>
      <c r="AG24" s="321"/>
      <c r="AH24" s="319"/>
      <c r="AI24" s="320" t="str">
        <f>IF(AND(AK25="-",AK26="-",AK27="-",AK28="-",AK29="-",AK30="-"),
    "",
    IF(SUM(IF(AK25="-",0,IF(AK25&lt;0,-2,IF(AK25&gt;0,2,0))),
            IF(AK26="-",0,IF(AK26&lt;0,-2,IF(AK26&gt;0,2,0))),
            IF(AK27="-",0,IF(AK27&lt;0,-1,IF(AK27&gt;0,1,0))),
            IF(AK28="-",0,IF(AK28&lt;0,-1,IF(AK28&gt;0,1,0))),
            IF(AK29="-",0,IF(AK29&lt;0,-1,IF(AK29&gt;0,1,0))),
            IF(AK30="-",0,IF(AK30&lt;0,-1,IF(AK30&gt;0,1,0)))) / 9 &gt; 0.1,
        "BULLISH",
        IF(SUM(IF(AK25="-",0,IF(AK25&lt;0,-2,IF(AK25&gt;0,2,0))),
                IF(AK26="-",0,IF(AK26&lt;0,-2,IF(AK26&gt;0,2,0))),
                IF(AK27="-",0,IF(AK27&lt;0,-1,IF(AK27&gt;0,1,0))),
                IF(AK28="-",0,IF(AK28&lt;0,-1,IF(AK28&gt;0,1,0))),
                IF(AK29="-",0,IF(AK29&lt;0,-1,IF(AK29&gt;0,1,0))),
                IF(AK30="-",0,IF(AK30&lt;0,-1,IF(AK30&gt;0,1,0)))) / 9 &lt; -0.1,
            "BEARISH",
            "NEUTRO"
        )
    )
)</f>
        <v>BULLISH</v>
      </c>
      <c r="AJ24" s="321"/>
      <c r="AK24" s="319"/>
      <c r="AL24" s="320" t="str">
        <f>IF(AND(AN25="-",AN26="-",AN27="-",AN28="-",AN29="-",AN30="-"),
    "",
    IF(SUM(IF(AN25="-",0,IF(AN25&lt;0,-2,IF(AN25&gt;0,2,0))),
            IF(AN26="-",0,IF(AN26&lt;0,-2,IF(AN26&gt;0,2,0))),
            IF(AN27="-",0,IF(AN27&lt;0,-1,IF(AN27&gt;0,1,0))),
            IF(AN28="-",0,IF(AN28&lt;0,-1,IF(AN28&gt;0,1,0))),
            IF(AN29="-",0,IF(AN29&lt;0,-1,IF(AN29&gt;0,1,0))),
            IF(AN30="-",0,IF(AN30&lt;0,-1,IF(AN30&gt;0,1,0)))) / 9 &gt; 0.1,
        "BULLISH",
        IF(SUM(IF(AN25="-",0,IF(AN25&lt;0,-2,IF(AN25&gt;0,2,0))),
                IF(AN26="-",0,IF(AN26&lt;0,-2,IF(AN26&gt;0,2,0))),
                IF(AN27="-",0,IF(AN27&lt;0,-1,IF(AN27&gt;0,1,0))),
                IF(AN28="-",0,IF(AN28&lt;0,-1,IF(AN28&gt;0,1,0))),
                IF(AN29="-",0,IF(AN29&lt;0,-1,IF(AN29&gt;0,1,0))),
                IF(AN30="-",0,IF(AN30&lt;0,-1,IF(AN30&gt;0,1,0)))) / 9 &lt; -0.1,
            "BEARISH",
            "NEUTRO"
        )
    )
)</f>
        <v>NEUTRO</v>
      </c>
      <c r="AM24" s="321"/>
      <c r="AN24" s="319"/>
      <c r="AO24" s="320" t="str">
        <f>IF(AND(AQ25="-",AQ26="-",AQ27="-",AQ28="-",AQ29="-",AQ30="-"),
    "",
    IF(SUM(IF(AQ25="-",0,IF(AQ25&lt;0,-2,IF(AQ25&gt;0,2,0))),
            IF(AQ26="-",0,IF(AQ26&lt;0,-2,IF(AQ26&gt;0,2,0))),
            IF(AQ27="-",0,IF(AQ27&lt;0,-1,IF(AQ27&gt;0,1,0))),
            IF(AQ28="-",0,IF(AQ28&lt;0,-1,IF(AQ28&gt;0,1,0))),
            IF(AQ29="-",0,IF(AQ29&lt;0,-1,IF(AQ29&gt;0,1,0))),
            IF(AQ30="-",0,IF(AQ30&lt;0,-1,IF(AQ30&gt;0,1,0)))) / 9 &gt; 0.1,
        "BULLISH",
        IF(SUM(IF(AQ25="-",0,IF(AQ25&lt;0,-2,IF(AQ25&gt;0,2,0))),
                IF(AQ26="-",0,IF(AQ26&lt;0,-2,IF(AQ26&gt;0,2,0))),
                IF(AQ27="-",0,IF(AQ27&lt;0,-1,IF(AQ27&gt;0,1,0))),
                IF(AQ28="-",0,IF(AQ28&lt;0,-1,IF(AQ28&gt;0,1,0))),
                IF(AQ29="-",0,IF(AQ29&lt;0,-1,IF(AQ29&gt;0,1,0))),
                IF(AQ30="-",0,IF(AQ30&lt;0,-1,IF(AQ30&gt;0,1,0)))) / 9 &lt; -0.1,
            "BEARISH",
            "NEUTRO"
        )
    )
)</f>
        <v>BULLISH</v>
      </c>
      <c r="AP24" s="321"/>
      <c r="AQ24" s="319"/>
      <c r="AR24" s="320" t="str">
        <f>IF(AND(AT25="-",AT26="-",AT27="-",AT28="-",AT29="-",AT30="-"),
    "",
    IF(SUM(IF(AT25="-",0,IF(AT25&lt;0,-2,IF(AT25&gt;0,2,0))),
            IF(AT26="-",0,IF(AT26&lt;0,-2,IF(AT26&gt;0,2,0))),
            IF(AT27="-",0,IF(AT27&lt;0,-1,IF(AT27&gt;0,1,0))),
            IF(AT28="-",0,IF(AT28&lt;0,-1,IF(AT28&gt;0,1,0))),
            IF(AT29="-",0,IF(AT29&lt;0,-1,IF(AT29&gt;0,1,0))),
            IF(AT30="-",0,IF(AT30&lt;0,-1,IF(AT30&gt;0,1,0)))) / 9 &gt; 0.1,
        "BULLISH",
        IF(SUM(IF(AT25="-",0,IF(AT25&lt;0,-2,IF(AT25&gt;0,2,0))),
                IF(AT26="-",0,IF(AT26&lt;0,-2,IF(AT26&gt;0,2,0))),
                IF(AT27="-",0,IF(AT27&lt;0,-1,IF(AT27&gt;0,1,0))),
                IF(AT28="-",0,IF(AT28&lt;0,-1,IF(AT28&gt;0,1,0))),
                IF(AT29="-",0,IF(AT29&lt;0,-1,IF(AT29&gt;0,1,0))),
                IF(AT30="-",0,IF(AT30&lt;0,-1,IF(AT30&gt;0,1,0)))) / 9 &lt; -0.1,
            "BEARISH",
            "NEUTRO"
        )
    )
)</f>
        <v>BEARISH</v>
      </c>
      <c r="AS24" s="321"/>
      <c r="AT24" s="319"/>
      <c r="AU24" s="320" t="str">
        <f>IF(AND(AW25="-",AW26="-",AW27="-",AW28="-",AW29="-",AW30="-"),
    "",
    IF(SUM(IF(AW25="-",0,IF(AW25&lt;0,-2,IF(AW25&gt;0,2,0))),
            IF(AW26="-",0,IF(AW26&lt;0,-2,IF(AW26&gt;0,2,0))),
            IF(AW27="-",0,IF(AW27&lt;0,-1,IF(AW27&gt;0,1,0))),
            IF(AW28="-",0,IF(AW28&lt;0,-1,IF(AW28&gt;0,1,0))),
            IF(AW29="-",0,IF(AW29&lt;0,-1,IF(AW29&gt;0,1,0))),
            IF(AW30="-",0,IF(AW30&lt;0,-1,IF(AW30&gt;0,1,0)))) / 9 &gt; 0.1,
        "BULLISH",
        IF(SUM(IF(AW25="-",0,IF(AW25&lt;0,-2,IF(AW25&gt;0,2,0))),
                IF(AW26="-",0,IF(AW26&lt;0,-2,IF(AW26&gt;0,2,0))),
                IF(AW27="-",0,IF(AW27&lt;0,-1,IF(AW27&gt;0,1,0))),
                IF(AW28="-",0,IF(AW28&lt;0,-1,IF(AW28&gt;0,1,0))),
                IF(AW29="-",0,IF(AW29&lt;0,-1,IF(AW29&gt;0,1,0))),
                IF(AW30="-",0,IF(AW30&lt;0,-1,IF(AW30&gt;0,1,0)))) / 9 &lt; -0.1,
            "BEARISH",
            "NEUTRO"
        )
    )
)</f>
        <v>BEARISH</v>
      </c>
      <c r="AV24" s="321"/>
      <c r="AW24" s="319"/>
    </row>
    <row r="25" spans="1:49" x14ac:dyDescent="0.25">
      <c r="A25" s="122" t="s">
        <v>222</v>
      </c>
      <c r="B25" s="123"/>
      <c r="C25" s="123"/>
      <c r="D25" s="62" t="str">
        <f t="shared" ref="D25:D30" si="16">IF(ISBLANK(B25),"-",B25-C25)</f>
        <v>-</v>
      </c>
      <c r="E25" s="123">
        <v>50.4</v>
      </c>
      <c r="F25" s="123">
        <v>48.6</v>
      </c>
      <c r="G25" s="62">
        <f t="shared" ref="G25:G30" si="17">IF(ISBLANK(E25),"-",E25-F25)</f>
        <v>1.7999999999999972</v>
      </c>
      <c r="H25" s="123">
        <v>48.6</v>
      </c>
      <c r="I25" s="123">
        <v>48.4</v>
      </c>
      <c r="J25" s="62">
        <f t="shared" ref="J25:J30" si="18">IF(ISBLANK(H25),"-",H25-I25)</f>
        <v>0.20000000000000284</v>
      </c>
      <c r="K25" s="123"/>
      <c r="L25" s="123"/>
      <c r="M25" s="62" t="str">
        <f t="shared" ref="M25:M30" si="19">IF(ISBLANK(K25),"-",K25-L25)</f>
        <v>-</v>
      </c>
      <c r="N25" s="123">
        <v>47.7</v>
      </c>
      <c r="O25" s="123">
        <v>48.3</v>
      </c>
      <c r="P25" s="62">
        <f t="shared" ref="P25:P30" si="20">IF(ISBLANK(N25),"-",N25-O25)</f>
        <v>-0.59999999999999432</v>
      </c>
      <c r="Q25" s="123">
        <v>48.3</v>
      </c>
      <c r="R25" s="123">
        <v>45.6</v>
      </c>
      <c r="S25" s="62">
        <f t="shared" ref="S25:S30" si="21">IF(ISBLANK(Q25),"-",Q25-R25)</f>
        <v>2.6999999999999957</v>
      </c>
      <c r="T25" s="123">
        <v>45.6</v>
      </c>
      <c r="U25" s="123">
        <v>46.1</v>
      </c>
      <c r="V25" s="62">
        <f t="shared" ref="V25:V30" si="22">IF(ISBLANK(T25),"-",T25-U25)</f>
        <v>-0.5</v>
      </c>
      <c r="W25" s="123">
        <v>46.1</v>
      </c>
      <c r="X25" s="123">
        <v>46.3</v>
      </c>
      <c r="Y25" s="62">
        <f t="shared" ref="Y25:Y30" si="23">IF(ISBLANK(W25),"-",W25-X25)</f>
        <v>-0.19999999999999574</v>
      </c>
      <c r="Z25" s="123"/>
      <c r="AA25" s="123"/>
      <c r="AB25" s="62" t="str">
        <f t="shared" ref="AB25:AB30" si="24">IF(ISBLANK(Z25),"-",Z25-AA25)</f>
        <v>-</v>
      </c>
      <c r="AC25" s="123">
        <v>47.8</v>
      </c>
      <c r="AD25" s="123">
        <v>52.2</v>
      </c>
      <c r="AE25" s="62">
        <f t="shared" ref="AE25:AE30" si="25">IF(ISBLANK(AC25),"-",AC25-AD25)</f>
        <v>-4.4000000000000057</v>
      </c>
      <c r="AF25" s="123">
        <v>52.2</v>
      </c>
      <c r="AG25" s="123">
        <v>52</v>
      </c>
      <c r="AH25" s="62">
        <f t="shared" ref="AH25:AH30" si="26">IF(ISBLANK(AF25),"-",AF25-AG25)</f>
        <v>0.20000000000000284</v>
      </c>
      <c r="AI25" s="123">
        <v>52</v>
      </c>
      <c r="AJ25" s="123">
        <v>50.4</v>
      </c>
      <c r="AK25" s="62">
        <f t="shared" ref="AK25:AK30" si="27">IF(ISBLANK(AI25),"-",AI25-AJ25)</f>
        <v>1.6000000000000014</v>
      </c>
      <c r="AL25" s="123"/>
      <c r="AM25" s="123"/>
      <c r="AN25" s="62" t="str">
        <f t="shared" ref="AN25:AN30" si="28">IF(ISBLANK(AL25),"-",AL25-AM25)</f>
        <v>-</v>
      </c>
      <c r="AO25" s="123">
        <v>49.5</v>
      </c>
      <c r="AP25" s="123">
        <v>47.8</v>
      </c>
      <c r="AQ25" s="62">
        <f t="shared" ref="AQ25:AQ30" si="29">IF(ISBLANK(AO25),"-",AO25-AP25)</f>
        <v>1.7000000000000028</v>
      </c>
      <c r="AR25" s="123">
        <v>49.3</v>
      </c>
      <c r="AS25" s="123">
        <v>49.3</v>
      </c>
      <c r="AT25" s="62">
        <f t="shared" ref="AT25:AT30" si="30">IF(ISBLANK(AR25),"-",AR25-AS25)</f>
        <v>0</v>
      </c>
      <c r="AU25" s="123">
        <v>49.4</v>
      </c>
      <c r="AV25" s="123">
        <v>49.8</v>
      </c>
      <c r="AW25" s="62">
        <f t="shared" ref="AW25:AW30" si="31">IF(ISBLANK(AU25),"-",AU25-AV25)</f>
        <v>-0.39999999999999858</v>
      </c>
    </row>
    <row r="26" spans="1:49" x14ac:dyDescent="0.25">
      <c r="A26" s="124" t="s">
        <v>133</v>
      </c>
      <c r="B26" s="125"/>
      <c r="C26" s="125"/>
      <c r="D26" s="54" t="str">
        <f t="shared" si="16"/>
        <v>-</v>
      </c>
      <c r="E26" s="125">
        <v>-2.2000000000000002</v>
      </c>
      <c r="F26" s="125">
        <v>-0.4</v>
      </c>
      <c r="G26" s="54">
        <f t="shared" si="17"/>
        <v>-1.8000000000000003</v>
      </c>
      <c r="H26" s="125">
        <v>-0.6</v>
      </c>
      <c r="I26" s="125">
        <v>0.2</v>
      </c>
      <c r="J26" s="54">
        <f t="shared" si="18"/>
        <v>-0.8</v>
      </c>
      <c r="K26" s="125"/>
      <c r="L26" s="125"/>
      <c r="M26" s="54" t="str">
        <f t="shared" si="19"/>
        <v>-</v>
      </c>
      <c r="N26" s="125">
        <v>-6.3</v>
      </c>
      <c r="O26" s="125">
        <v>-3.8</v>
      </c>
      <c r="P26" s="54">
        <f t="shared" si="20"/>
        <v>-2.5</v>
      </c>
      <c r="Q26" s="125">
        <v>-4.9000000000000004</v>
      </c>
      <c r="R26" s="125">
        <v>-5.5</v>
      </c>
      <c r="S26" s="54">
        <f t="shared" si="21"/>
        <v>0.59999999999999964</v>
      </c>
      <c r="T26" s="125">
        <v>-5.9</v>
      </c>
      <c r="U26" s="125">
        <v>-2.2999999999999998</v>
      </c>
      <c r="V26" s="54">
        <f t="shared" si="22"/>
        <v>-3.6000000000000005</v>
      </c>
      <c r="W26" s="125">
        <v>-0.5</v>
      </c>
      <c r="X26" s="125">
        <v>-1.4</v>
      </c>
      <c r="Y26" s="54">
        <f t="shared" si="23"/>
        <v>0.89999999999999991</v>
      </c>
      <c r="Z26" s="125"/>
      <c r="AA26" s="125"/>
      <c r="AB26" s="54" t="str">
        <f t="shared" si="24"/>
        <v>-</v>
      </c>
      <c r="AC26" s="125">
        <v>4</v>
      </c>
      <c r="AD26" s="125">
        <v>1</v>
      </c>
      <c r="AE26" s="54">
        <f t="shared" si="25"/>
        <v>3</v>
      </c>
      <c r="AF26" s="125">
        <v>-0.3</v>
      </c>
      <c r="AG26" s="125">
        <v>-0.5</v>
      </c>
      <c r="AH26" s="54">
        <f t="shared" si="26"/>
        <v>0.2</v>
      </c>
      <c r="AI26" s="125">
        <v>-0.9</v>
      </c>
      <c r="AJ26" s="125">
        <v>-1.5</v>
      </c>
      <c r="AK26" s="54">
        <f t="shared" si="27"/>
        <v>0.6</v>
      </c>
      <c r="AL26" s="125">
        <v>0.7</v>
      </c>
      <c r="AM26" s="125">
        <v>-0.2</v>
      </c>
      <c r="AN26" s="54">
        <f t="shared" si="28"/>
        <v>0.89999999999999991</v>
      </c>
      <c r="AO26" s="125">
        <v>0.7</v>
      </c>
      <c r="AP26" s="125">
        <v>-0.2</v>
      </c>
      <c r="AQ26" s="54">
        <f t="shared" si="29"/>
        <v>0.89999999999999991</v>
      </c>
      <c r="AR26" s="125">
        <v>-1.9</v>
      </c>
      <c r="AS26" s="125">
        <v>-1.3</v>
      </c>
      <c r="AT26" s="54">
        <f t="shared" si="30"/>
        <v>-0.59999999999999987</v>
      </c>
      <c r="AU26" s="125">
        <v>-2.2999999999999998</v>
      </c>
      <c r="AV26" s="125">
        <v>0.5</v>
      </c>
      <c r="AW26" s="54">
        <f t="shared" si="31"/>
        <v>-2.8</v>
      </c>
    </row>
    <row r="27" spans="1:49" x14ac:dyDescent="0.25">
      <c r="A27" s="108" t="s">
        <v>223</v>
      </c>
      <c r="D27" s="126" t="str">
        <f t="shared" si="16"/>
        <v>-</v>
      </c>
      <c r="E27" s="111">
        <v>50.9</v>
      </c>
      <c r="F27" s="111">
        <v>51.9</v>
      </c>
      <c r="G27" s="126">
        <f t="shared" si="17"/>
        <v>-1</v>
      </c>
      <c r="H27" s="111">
        <v>51.9</v>
      </c>
      <c r="I27" s="111">
        <v>48.4</v>
      </c>
      <c r="J27" s="126">
        <f t="shared" si="18"/>
        <v>3.5</v>
      </c>
      <c r="M27" s="126" t="str">
        <f t="shared" si="19"/>
        <v>-</v>
      </c>
      <c r="N27" s="111">
        <v>59.8</v>
      </c>
      <c r="O27" s="111">
        <v>50.1</v>
      </c>
      <c r="P27" s="126">
        <f t="shared" si="20"/>
        <v>9.6999999999999957</v>
      </c>
      <c r="Q27" s="111">
        <v>50.1</v>
      </c>
      <c r="R27" s="111">
        <v>53.3</v>
      </c>
      <c r="S27" s="126">
        <f t="shared" si="21"/>
        <v>-3.1999999999999957</v>
      </c>
      <c r="T27" s="111">
        <v>53.3</v>
      </c>
      <c r="U27" s="111">
        <v>47.9</v>
      </c>
      <c r="V27" s="126">
        <f t="shared" si="22"/>
        <v>5.3999999999999986</v>
      </c>
      <c r="W27" s="111">
        <v>47.9</v>
      </c>
      <c r="X27" s="111">
        <v>51.3</v>
      </c>
      <c r="Y27" s="126">
        <f t="shared" si="23"/>
        <v>-3.3999999999999986</v>
      </c>
      <c r="Z27" s="111">
        <v>51.3</v>
      </c>
      <c r="AA27" s="111">
        <v>55.3</v>
      </c>
      <c r="AB27" s="126">
        <f t="shared" si="24"/>
        <v>-4</v>
      </c>
      <c r="AC27" s="111">
        <v>55.3</v>
      </c>
      <c r="AD27" s="111">
        <v>54.7</v>
      </c>
      <c r="AE27" s="126">
        <f t="shared" si="25"/>
        <v>0.59999999999999432</v>
      </c>
      <c r="AF27" s="111">
        <v>54.7</v>
      </c>
      <c r="AG27" s="111">
        <v>52.3</v>
      </c>
      <c r="AH27" s="126">
        <f t="shared" si="26"/>
        <v>2.4000000000000057</v>
      </c>
      <c r="AI27" s="111">
        <v>52.3</v>
      </c>
      <c r="AJ27" s="111">
        <v>53.1</v>
      </c>
      <c r="AK27" s="126">
        <f t="shared" si="27"/>
        <v>-0.80000000000000426</v>
      </c>
      <c r="AL27" s="111">
        <v>53.1</v>
      </c>
      <c r="AM27" s="111">
        <v>48.2</v>
      </c>
      <c r="AN27" s="126">
        <f t="shared" si="28"/>
        <v>4.8999999999999986</v>
      </c>
      <c r="AO27" s="111">
        <v>57.6</v>
      </c>
      <c r="AP27" s="111">
        <v>62.5</v>
      </c>
      <c r="AQ27" s="126">
        <f t="shared" si="29"/>
        <v>-4.8999999999999986</v>
      </c>
      <c r="AR27" s="111">
        <v>62.5</v>
      </c>
      <c r="AS27" s="111">
        <v>52</v>
      </c>
      <c r="AT27" s="126">
        <f t="shared" si="30"/>
        <v>10.5</v>
      </c>
      <c r="AU27" s="111">
        <v>63</v>
      </c>
      <c r="AV27" s="111">
        <v>57.5</v>
      </c>
      <c r="AW27" s="126">
        <f t="shared" si="31"/>
        <v>5.5</v>
      </c>
    </row>
    <row r="28" spans="1:49" x14ac:dyDescent="0.25">
      <c r="A28" s="108" t="s">
        <v>224</v>
      </c>
      <c r="D28" s="113" t="str">
        <f>IF(ISBLANK(B28),"-",B28-C28)</f>
        <v>-</v>
      </c>
      <c r="G28" s="113" t="str">
        <f>IF(ISBLANK(E28),"-",E28-F28)</f>
        <v>-</v>
      </c>
      <c r="H28" s="109">
        <v>-1.7999999999999999E-2</v>
      </c>
      <c r="I28" s="109">
        <v>4.0000000000000001E-3</v>
      </c>
      <c r="J28" s="113">
        <f>IF(ISBLANK(H28),"-",H28-I28)</f>
        <v>-2.1999999999999999E-2</v>
      </c>
      <c r="M28" s="113" t="str">
        <f>IF(ISBLANK(K28),"-",K28-L28)</f>
        <v>-</v>
      </c>
      <c r="N28" s="109">
        <v>-1.2E-2</v>
      </c>
      <c r="O28" s="109">
        <v>1.7000000000000001E-2</v>
      </c>
      <c r="P28" s="113">
        <f>IF(ISBLANK(N28),"-",N28-O28)</f>
        <v>-2.9000000000000001E-2</v>
      </c>
      <c r="Q28" s="109">
        <v>1.2E-2</v>
      </c>
      <c r="R28" s="111">
        <v>0</v>
      </c>
      <c r="S28" s="113">
        <f>IF(ISBLANK(Q28),"-",Q28-R28)</f>
        <v>1.2E-2</v>
      </c>
      <c r="T28" s="109">
        <v>1E-3</v>
      </c>
      <c r="U28" s="112">
        <v>0</v>
      </c>
      <c r="V28" s="113">
        <f>IF(ISBLANK(T28),"-",T28-U28)</f>
        <v>1E-3</v>
      </c>
      <c r="W28" s="109">
        <v>2E-3</v>
      </c>
      <c r="X28" s="112">
        <v>0.01</v>
      </c>
      <c r="Y28" s="113">
        <f>IF(ISBLANK(W28),"-",W28-X28)</f>
        <v>-8.0000000000000002E-3</v>
      </c>
      <c r="Z28" s="109">
        <v>3.0000000000000001E-3</v>
      </c>
      <c r="AA28" s="109">
        <v>3.0000000000000001E-3</v>
      </c>
      <c r="AB28" s="113">
        <f>IF(ISBLANK(Z28),"-",Z28-AA28)</f>
        <v>0</v>
      </c>
      <c r="AC28" s="109">
        <v>-2E-3</v>
      </c>
      <c r="AD28" s="111">
        <v>0</v>
      </c>
      <c r="AE28" s="113">
        <f>IF(ISBLANK(AC28),"-",AC28-AD28)</f>
        <v>-2E-3</v>
      </c>
      <c r="AF28" s="112">
        <v>-2E-3</v>
      </c>
      <c r="AG28" s="109">
        <v>1.2999999999999999E-2</v>
      </c>
      <c r="AH28" s="113">
        <f>IF(ISBLANK(AF28),"-",AF28-AG28)</f>
        <v>-1.4999999999999999E-2</v>
      </c>
      <c r="AI28" s="109">
        <v>8.0000000000000002E-3</v>
      </c>
      <c r="AJ28" s="109">
        <v>-6.0000000000000001E-3</v>
      </c>
      <c r="AK28" s="113">
        <f>IF(ISBLANK(AI28),"-",AI28-AJ28)</f>
        <v>1.4E-2</v>
      </c>
      <c r="AL28" s="109">
        <v>-6.0000000000000001E-3</v>
      </c>
      <c r="AM28" s="109">
        <v>3.0000000000000001E-3</v>
      </c>
      <c r="AN28" s="113">
        <f>IF(ISBLANK(AL28),"-",AL28-AM28)</f>
        <v>-9.0000000000000011E-3</v>
      </c>
      <c r="AO28" s="109">
        <v>-6.0000000000000001E-3</v>
      </c>
      <c r="AP28" s="109">
        <v>-1.2E-2</v>
      </c>
      <c r="AQ28" s="113">
        <f>IF(ISBLANK(AO28),"-",AO28-AP28)</f>
        <v>6.0000000000000001E-3</v>
      </c>
      <c r="AR28" s="109">
        <v>-8.0000000000000002E-3</v>
      </c>
      <c r="AS28" s="109">
        <v>0.02</v>
      </c>
      <c r="AT28" s="113">
        <f t="shared" si="30"/>
        <v>-2.8000000000000001E-2</v>
      </c>
      <c r="AU28" s="109">
        <v>0</v>
      </c>
      <c r="AV28" s="109">
        <v>-2E-3</v>
      </c>
      <c r="AW28" s="113">
        <f t="shared" si="31"/>
        <v>2E-3</v>
      </c>
    </row>
    <row r="29" spans="1:49" x14ac:dyDescent="0.25">
      <c r="A29" s="108" t="s">
        <v>225</v>
      </c>
      <c r="D29" s="113" t="str">
        <f t="shared" si="16"/>
        <v>-</v>
      </c>
      <c r="G29" s="113" t="str">
        <f t="shared" si="17"/>
        <v>-</v>
      </c>
      <c r="H29" s="112">
        <v>-1.2E-2</v>
      </c>
      <c r="I29" s="109">
        <v>-0.01</v>
      </c>
      <c r="J29" s="113">
        <f t="shared" si="18"/>
        <v>-2E-3</v>
      </c>
      <c r="M29" s="113" t="str">
        <f t="shared" si="19"/>
        <v>-</v>
      </c>
      <c r="N29" s="112">
        <v>-0.01</v>
      </c>
      <c r="O29" s="109">
        <v>2.1999999999999999E-2</v>
      </c>
      <c r="P29" s="113">
        <f t="shared" si="20"/>
        <v>-3.2000000000000001E-2</v>
      </c>
      <c r="Q29" s="109">
        <v>2.5000000000000001E-2</v>
      </c>
      <c r="R29" s="109">
        <v>-1.4999999999999999E-2</v>
      </c>
      <c r="S29" s="113">
        <f t="shared" si="21"/>
        <v>0.04</v>
      </c>
      <c r="T29" s="109">
        <v>-8.9999999999999993E-3</v>
      </c>
      <c r="U29" s="109">
        <v>-1.4E-2</v>
      </c>
      <c r="V29" s="113">
        <f t="shared" si="22"/>
        <v>5.000000000000001E-3</v>
      </c>
      <c r="W29" s="109">
        <v>-1.4E-2</v>
      </c>
      <c r="X29" s="109">
        <v>-2E-3</v>
      </c>
      <c r="Y29" s="113">
        <f t="shared" si="23"/>
        <v>-1.2E-2</v>
      </c>
      <c r="Z29" s="109">
        <v>2E-3</v>
      </c>
      <c r="AA29" s="112">
        <v>0.02</v>
      </c>
      <c r="AB29" s="113">
        <f t="shared" si="24"/>
        <v>-1.8000000000000002E-2</v>
      </c>
      <c r="AC29" s="109">
        <v>3.0000000000000001E-3</v>
      </c>
      <c r="AD29" s="109">
        <v>8.0000000000000002E-3</v>
      </c>
      <c r="AE29" s="113">
        <f t="shared" si="25"/>
        <v>-5.0000000000000001E-3</v>
      </c>
      <c r="AF29" s="109">
        <v>8.0000000000000002E-3</v>
      </c>
      <c r="AG29" s="109">
        <v>-6.0000000000000001E-3</v>
      </c>
      <c r="AH29" s="113">
        <f t="shared" si="26"/>
        <v>1.4E-2</v>
      </c>
      <c r="AI29" s="109">
        <v>-5.0000000000000001E-3</v>
      </c>
      <c r="AJ29" s="109">
        <v>-1.2999999999999999E-2</v>
      </c>
      <c r="AK29" s="113">
        <f t="shared" si="27"/>
        <v>8.0000000000000002E-3</v>
      </c>
      <c r="AL29" s="109">
        <v>-1.2999999999999999E-2</v>
      </c>
      <c r="AM29" s="109">
        <v>1.0999999999999999E-2</v>
      </c>
      <c r="AN29" s="113">
        <f t="shared" si="28"/>
        <v>-2.4E-2</v>
      </c>
      <c r="AO29" s="109">
        <v>-2.1000000000000001E-2</v>
      </c>
      <c r="AP29" s="109">
        <v>2E-3</v>
      </c>
      <c r="AQ29" s="113">
        <f t="shared" si="29"/>
        <v>-2.3E-2</v>
      </c>
      <c r="AR29" s="109">
        <v>4.0000000000000001E-3</v>
      </c>
      <c r="AS29" s="109">
        <v>1.4E-2</v>
      </c>
      <c r="AT29" s="113">
        <f t="shared" si="30"/>
        <v>-0.01</v>
      </c>
      <c r="AU29" s="109">
        <v>7.0000000000000001E-3</v>
      </c>
      <c r="AV29" s="109">
        <v>0</v>
      </c>
      <c r="AW29" s="113">
        <f t="shared" si="31"/>
        <v>7.0000000000000001E-3</v>
      </c>
    </row>
    <row r="30" spans="1:49" x14ac:dyDescent="0.25">
      <c r="A30" s="108" t="s">
        <v>226</v>
      </c>
      <c r="D30" s="127" t="str">
        <f t="shared" si="16"/>
        <v>-</v>
      </c>
      <c r="G30" s="127" t="str">
        <f t="shared" si="17"/>
        <v>-</v>
      </c>
      <c r="H30" s="111">
        <v>16.440000000000001</v>
      </c>
      <c r="I30" s="111">
        <v>46.62</v>
      </c>
      <c r="J30" s="127">
        <f t="shared" si="18"/>
        <v>-30.179999999999996</v>
      </c>
      <c r="M30" s="127" t="str">
        <f t="shared" si="19"/>
        <v>-</v>
      </c>
      <c r="N30" s="111">
        <v>25.92</v>
      </c>
      <c r="O30" s="111">
        <v>26.66</v>
      </c>
      <c r="P30" s="127">
        <f t="shared" si="20"/>
        <v>-0.73999999999999844</v>
      </c>
      <c r="Q30" s="111">
        <v>0.71</v>
      </c>
      <c r="R30" s="111">
        <v>-6.29</v>
      </c>
      <c r="S30" s="127">
        <f t="shared" si="21"/>
        <v>7</v>
      </c>
      <c r="T30" s="111">
        <v>-2.79</v>
      </c>
      <c r="U30" s="111">
        <v>-4.21</v>
      </c>
      <c r="V30" s="127">
        <f t="shared" si="22"/>
        <v>1.42</v>
      </c>
      <c r="W30" s="111">
        <v>-4.2300000000000004</v>
      </c>
      <c r="X30" s="111">
        <v>-10.45</v>
      </c>
      <c r="Y30" s="127">
        <f t="shared" si="23"/>
        <v>6.2199999999999989</v>
      </c>
      <c r="AB30" s="127" t="str">
        <f t="shared" si="24"/>
        <v>-</v>
      </c>
      <c r="AC30" s="111">
        <v>14.37</v>
      </c>
      <c r="AD30" s="111">
        <v>13.84</v>
      </c>
      <c r="AE30" s="127">
        <f t="shared" si="25"/>
        <v>0.52999999999999936</v>
      </c>
      <c r="AF30" s="111">
        <v>16.399999999999999</v>
      </c>
      <c r="AG30" s="111">
        <v>29.65</v>
      </c>
      <c r="AH30" s="127">
        <f t="shared" si="26"/>
        <v>-13.25</v>
      </c>
      <c r="AI30" s="111">
        <v>28.3</v>
      </c>
      <c r="AJ30" s="111">
        <v>10.33</v>
      </c>
      <c r="AK30" s="127">
        <f t="shared" si="27"/>
        <v>17.97</v>
      </c>
      <c r="AL30" s="111">
        <v>9.9700000000000006</v>
      </c>
      <c r="AM30" s="111">
        <v>10.97</v>
      </c>
      <c r="AN30" s="127">
        <f t="shared" si="28"/>
        <v>-1</v>
      </c>
      <c r="AO30" s="111">
        <v>51.7</v>
      </c>
      <c r="AP30" s="111">
        <v>21.07</v>
      </c>
      <c r="AQ30" s="127">
        <f t="shared" si="29"/>
        <v>30.630000000000003</v>
      </c>
      <c r="AR30" s="111">
        <v>20.89</v>
      </c>
      <c r="AS30" s="111">
        <v>41.05</v>
      </c>
      <c r="AT30" s="127">
        <f t="shared" si="30"/>
        <v>-20.159999999999997</v>
      </c>
      <c r="AU30" s="111">
        <v>-8.7799999999999994</v>
      </c>
      <c r="AV30" s="128">
        <v>8.8800000000000008</v>
      </c>
      <c r="AW30" s="127">
        <f t="shared" si="31"/>
        <v>-17.66</v>
      </c>
    </row>
    <row r="31" spans="1:49" x14ac:dyDescent="0.25">
      <c r="D31" s="130"/>
      <c r="G31" s="130"/>
      <c r="J31" s="130"/>
      <c r="M31" s="130"/>
      <c r="P31" s="130"/>
      <c r="S31" s="130"/>
      <c r="V31" s="130"/>
      <c r="Y31" s="130"/>
      <c r="AB31" s="130"/>
      <c r="AE31" s="130"/>
      <c r="AH31" s="130"/>
      <c r="AK31" s="130"/>
      <c r="AN31" s="130"/>
      <c r="AO31" s="111"/>
      <c r="AP31" s="111"/>
      <c r="AQ31" s="130"/>
      <c r="AR31" s="111"/>
      <c r="AS31" s="111"/>
      <c r="AT31" s="130"/>
      <c r="AU31" s="111"/>
      <c r="AV31" s="111"/>
      <c r="AW31" s="130"/>
    </row>
    <row r="32" spans="1:49" x14ac:dyDescent="0.25">
      <c r="A32" s="102" t="s">
        <v>146</v>
      </c>
      <c r="B32" s="320" t="str">
        <f>IF(AND(D33="-",D34="-",D35="-"),
    "",
    IF(SUM(IF(D33="-",0,IF(D33&lt;0,-2,IF(D33&gt;0,2,0))),
            IF(D34="-",0,IF(D34&lt;0,-1,IF(D34&gt;0,1,0))),
            IF(D35="-",0,IF(D35&lt;0,-1,IF(D35&gt;0,1,0)))) / 4 &gt; 0.1,
        "BULLISH",
        IF(SUM(IF(D33="-",0,IF(D33&lt;0,-2,IF(D33&gt;0,2,0))),
                IF(D34="-",0,IF(D34&lt;0,-1,IF(D34&gt;0,1,0))),
                IF(D35="-",0,IF(D35&lt;0,-1,IF(D35&gt;0,1,0)))) / 4 &lt; -0.1,
            "BEARISH",
            "NEUTRO"
        )
    )
)</f>
        <v/>
      </c>
      <c r="C32" s="321"/>
      <c r="D32" s="319"/>
      <c r="E32" s="320" t="str">
        <f>IF(AND(G33="-",G34="-",G35="-"),
    "",
    IF(SUM(IF(G33="-",0,IF(G33&lt;0,-2,IF(G33&gt;0,2,0))),
            IF(G34="-",0,IF(G34&lt;0,-1,IF(G34&gt;0,1,0))),
            IF(G35="-",0,IF(G35&lt;0,-1,IF(G35&gt;0,1,0)))) / 4 &gt; 0.1,
        "BULLISH",
        IF(SUM(IF(G33="-",0,IF(G33&lt;0,-2,IF(G33&gt;0,2,0))),
                IF(G34="-",0,IF(G34&lt;0,-1,IF(G34&gt;0,1,0))),
                IF(G35="-",0,IF(G35&lt;0,-1,IF(G35&gt;0,1,0)))) / 4 &lt; -0.1,
            "BEARISH",
            "NEUTRO"
        )
    )
)</f>
        <v/>
      </c>
      <c r="F32" s="321"/>
      <c r="G32" s="319"/>
      <c r="H32" s="320" t="str">
        <f>IF(AND(J33="-",J34="-",J35="-"),
    "",
    IF(SUM(IF(J33="-",0,IF(J33&lt;0,-2,IF(J33&gt;0,2,0))),
            IF(J34="-",0,IF(J34&lt;0,-1,IF(J34&gt;0,1,0))),
            IF(J35="-",0,IF(J35&lt;0,-1,IF(J35&gt;0,1,0)))) / 4 &gt; 0.1,
        "BULLISH",
        IF(SUM(IF(J33="-",0,IF(J33&lt;0,-2,IF(J33&gt;0,2,0))),
                IF(J34="-",0,IF(J34&lt;0,-1,IF(J34&gt;0,1,0))),
                IF(J35="-",0,IF(J35&lt;0,-1,IF(J35&gt;0,1,0)))) / 4 &lt; -0.1,
            "BEARISH",
            "NEUTRO"
        )
    )
)</f>
        <v>BULLISH</v>
      </c>
      <c r="I32" s="321"/>
      <c r="J32" s="319"/>
      <c r="K32" s="320" t="str">
        <f>IF(AND(M33="-",M34="-",M35="-"),
    "",
    IF(SUM(IF(M33="-",0,IF(M33&lt;0,-2,IF(M33&gt;0,2,0))),
            IF(M34="-",0,IF(M34&lt;0,-1,IF(M34&gt;0,1,0))),
            IF(M35="-",0,IF(M35&lt;0,-1,IF(M35&gt;0,1,0)))) / 4 &gt; 0.1,
        "BULLISH",
        IF(SUM(IF(M33="-",0,IF(M33&lt;0,-2,IF(M33&gt;0,2,0))),
                IF(M34="-",0,IF(M34&lt;0,-1,IF(M34&gt;0,1,0))),
                IF(M35="-",0,IF(M35&lt;0,-1,IF(M35&gt;0,1,0)))) / 4 &lt; -0.1,
            "BEARISH",
            "NEUTRO"
        )
    )
)</f>
        <v/>
      </c>
      <c r="L32" s="321"/>
      <c r="M32" s="319"/>
      <c r="N32" s="320" t="str">
        <f>IF(AND(P33="-",P34="-",P35="-"),
    "",
    IF(SUM(IF(P33="-",0,IF(P33&lt;0,-2,IF(P33&gt;0,2,0))),
            IF(P34="-",0,IF(P34&lt;0,-1,IF(P34&gt;0,1,0))),
            IF(P35="-",0,IF(P35&lt;0,-1,IF(P35&gt;0,1,0)))) / 4 &gt; 0.1,
        "BULLISH",
        IF(SUM(IF(P33="-",0,IF(P33&lt;0,-2,IF(P33&gt;0,2,0))),
                IF(P34="-",0,IF(P34&lt;0,-1,IF(P34&gt;0,1,0))),
                IF(P35="-",0,IF(P35&lt;0,-1,IF(P35&gt;0,1,0)))) / 4 &lt; -0.1,
            "BEARISH",
            "NEUTRO"
        )
    )
)</f>
        <v>BEARISH</v>
      </c>
      <c r="O32" s="321"/>
      <c r="P32" s="319"/>
      <c r="Q32" s="320" t="str">
        <f>IF(AND(S33="-",S34="-",S35="-"),
    "",
    IF(SUM(IF(S33="-",0,IF(S33&lt;0,-2,IF(S33&gt;0,2,0))),
            IF(S34="-",0,IF(S34&lt;0,-1,IF(S34&gt;0,1,0))),
            IF(S35="-",0,IF(S35&lt;0,-1,IF(S35&gt;0,1,0)))) / 4 &gt; 0.1,
        "BULLISH",
        IF(SUM(IF(S33="-",0,IF(S33&lt;0,-2,IF(S33&gt;0,2,0))),
                IF(S34="-",0,IF(S34&lt;0,-1,IF(S34&gt;0,1,0))),
                IF(S35="-",0,IF(S35&lt;0,-1,IF(S35&gt;0,1,0)))) / 4 &lt; -0.1,
            "BEARISH",
            "NEUTRO"
        )
    )
)</f>
        <v>BULLISH</v>
      </c>
      <c r="R32" s="321"/>
      <c r="S32" s="319"/>
      <c r="T32" s="320" t="str">
        <f>IF(AND(V33="-",V34="-",V35="-"),
    "",
    IF(SUM(IF(V33="-",0,IF(V33&lt;0,-2,IF(V33&gt;0,2,0))),
            IF(V34="-",0,IF(V34&lt;0,-1,IF(V34&gt;0,1,0))),
            IF(V35="-",0,IF(V35&lt;0,-1,IF(V35&gt;0,1,0)))) / 4 &gt; 0.1,
        "BULLISH",
        IF(SUM(IF(V33="-",0,IF(V33&lt;0,-2,IF(V33&gt;0,2,0))),
                IF(V34="-",0,IF(V34&lt;0,-1,IF(V34&gt;0,1,0))),
                IF(V35="-",0,IF(V35&lt;0,-1,IF(V35&gt;0,1,0)))) / 4 &lt; -0.1,
            "BEARISH",
            "NEUTRO"
        )
    )
)</f>
        <v>BULLISH</v>
      </c>
      <c r="U32" s="321"/>
      <c r="V32" s="319"/>
      <c r="W32" s="320" t="str">
        <f>IF(AND(Y33="-",Y34="-",Y35="-"),
    "",
    IF(SUM(IF(Y33="-",0,IF(Y33&lt;0,-2,IF(Y33&gt;0,2,0))),
            IF(Y34="-",0,IF(Y34&lt;0,-1,IF(Y34&gt;0,1,0))),
            IF(Y35="-",0,IF(Y35&lt;0,-1,IF(Y35&gt;0,1,0)))) / 4 &gt; 0.1,
        "BULLISH",
        IF(SUM(IF(Y33="-",0,IF(Y33&lt;0,-2,IF(Y33&gt;0,2,0))),
                IF(Y34="-",0,IF(Y34&lt;0,-1,IF(Y34&gt;0,1,0))),
                IF(Y35="-",0,IF(Y35&lt;0,-1,IF(Y35&gt;0,1,0)))) / 4 &lt; -0.1,
            "BEARISH",
            "NEUTRO"
        )
    )
)</f>
        <v>BEARISH</v>
      </c>
      <c r="X32" s="321"/>
      <c r="Y32" s="319"/>
      <c r="Z32" s="320" t="str">
        <f>IF(AND(AB33="-",AB34="-",AB35="-"),
    "",
    IF(SUM(IF(AB33="-",0,IF(AB33&lt;0,-2,IF(AB33&gt;0,2,0))),
            IF(AB34="-",0,IF(AB34&lt;0,-1,IF(AB34&gt;0,1,0))),
            IF(AB35="-",0,IF(AB35&lt;0,-1,IF(AB35&gt;0,1,0)))) / 4 &gt; 0.1,
        "BULLISH",
        IF(SUM(IF(AB33="-",0,IF(AB33&lt;0,-2,IF(AB33&gt;0,2,0))),
                IF(AB34="-",0,IF(AB34&lt;0,-1,IF(AB34&gt;0,1,0))),
                IF(AB35="-",0,IF(AB35&lt;0,-1,IF(AB35&gt;0,1,0)))) / 4 &lt; -0.1,
            "BEARISH",
            "NEUTRO"
        )
    )
)</f>
        <v>BEARISH</v>
      </c>
      <c r="AA32" s="321"/>
      <c r="AB32" s="319"/>
      <c r="AC32" s="320" t="str">
        <f>IF(AND(AE33="-",AE34="-",AE35="-"),
    "",
    IF(SUM(IF(AE33="-",0,IF(AE33&lt;0,-2,IF(AE33&gt;0,2,0))),
            IF(AE34="-",0,IF(AE34&lt;0,-1,IF(AE34&gt;0,1,0))),
            IF(AE35="-",0,IF(AE35&lt;0,-1,IF(AE35&gt;0,1,0)))) / 4 &gt; 0.1,
        "BULLISH",
        IF(SUM(IF(AE33="-",0,IF(AE33&lt;0,-2,IF(AE33&gt;0,2,0))),
                IF(AE34="-",0,IF(AE34&lt;0,-1,IF(AE34&gt;0,1,0))),
                IF(AE35="-",0,IF(AE35&lt;0,-1,IF(AE35&gt;0,1,0)))) / 4 &lt; -0.1,
            "BEARISH",
            "NEUTRO"
        )
    )
)</f>
        <v>BULLISH</v>
      </c>
      <c r="AD32" s="321"/>
      <c r="AE32" s="319"/>
      <c r="AF32" s="320" t="str">
        <f>IF(AND(AH33="-",AH34="-",AH35="-"),
    "",
    IF(SUM(IF(AH33="-",0,IF(AH33&lt;0,-2,IF(AH33&gt;0,2,0))),
            IF(AH34="-",0,IF(AH34&lt;0,-1,IF(AH34&gt;0,1,0))),
            IF(AH35="-",0,IF(AH35&lt;0,-1,IF(AH35&gt;0,1,0)))) / 4 &gt; 0.1,
        "BULLISH",
        IF(SUM(IF(AH33="-",0,IF(AH33&lt;0,-2,IF(AH33&gt;0,2,0))),
                IF(AH34="-",0,IF(AH34&lt;0,-1,IF(AH34&gt;0,1,0))),
                IF(AH35="-",0,IF(AH35&lt;0,-1,IF(AH35&gt;0,1,0)))) / 4 &lt; -0.1,
            "BEARISH",
            "NEUTRO"
        )
    )
)</f>
        <v>BEARISH</v>
      </c>
      <c r="AG32" s="321"/>
      <c r="AH32" s="319"/>
      <c r="AI32" s="320" t="str">
        <f>IF(AND(AK33="-",AK34="-",AK35="-"),
    "",
    IF(SUM(IF(AK33="-",0,IF(AK33&lt;0,-2,IF(AK33&gt;0,2,0))),
            IF(AK34="-",0,IF(AK34&lt;0,-1,IF(AK34&gt;0,1,0))),
            IF(AK35="-",0,IF(AK35&lt;0,-1,IF(AK35&gt;0,1,0)))) / 4 &gt; 0.1,
        "BULLISH",
        IF(SUM(IF(AK33="-",0,IF(AK33&lt;0,-2,IF(AK33&gt;0,2,0))),
                IF(AK34="-",0,IF(AK34&lt;0,-1,IF(AK34&gt;0,1,0))),
                IF(AK35="-",0,IF(AK35&lt;0,-1,IF(AK35&gt;0,1,0)))) / 4 &lt; -0.1,
            "BEARISH",
            "NEUTRO"
        )
    )
)</f>
        <v>BULLISH</v>
      </c>
      <c r="AJ32" s="321"/>
      <c r="AK32" s="319"/>
      <c r="AL32" s="320" t="str">
        <f>IF(AND(AN33="-",AN34="-",AN35="-"),
    "",
    IF(SUM(IF(AN33="-",0,IF(AN33&lt;0,-2,IF(AN33&gt;0,2,0))),
            IF(AN34="-",0,IF(AN34&lt;0,-1,IF(AN34&gt;0,1,0))),
            IF(AN35="-",0,IF(AN35&lt;0,-1,IF(AN35&gt;0,1,0)))) / 4 &gt; 0.1,
        "BULLISH",
        IF(SUM(IF(AN33="-",0,IF(AN33&lt;0,-2,IF(AN33&gt;0,2,0))),
                IF(AN34="-",0,IF(AN34&lt;0,-1,IF(AN34&gt;0,1,0))),
                IF(AN35="-",0,IF(AN35&lt;0,-1,IF(AN35&gt;0,1,0)))) / 4 &lt; -0.1,
            "BEARISH",
            "NEUTRO"
        )
    )
)</f>
        <v>BEARISH</v>
      </c>
      <c r="AM32" s="321"/>
      <c r="AN32" s="319"/>
      <c r="AO32" s="320" t="str">
        <f>IF(AND(AQ33="-",AQ34="-",AQ35="-"),
    "",
    IF(SUM(IF(AQ33="-",0,IF(AQ33&lt;0,-2,IF(AQ33&gt;0,2,0))),
            IF(AQ34="-",0,IF(AQ34&lt;0,-1,IF(AQ34&gt;0,1,0))),
            IF(AQ35="-",0,IF(AQ35&lt;0,-1,IF(AQ35&gt;0,1,0)))) / 4 &gt; 0.1,
        "BULLISH",
        IF(SUM(IF(AQ33="-",0,IF(AQ33&lt;0,-2,IF(AQ33&gt;0,2,0))),
                IF(AQ34="-",0,IF(AQ34&lt;0,-1,IF(AQ34&gt;0,1,0))),
                IF(AQ35="-",0,IF(AQ35&lt;0,-1,IF(AQ35&gt;0,1,0)))) / 4 &lt; -0.1,
            "BEARISH",
            "NEUTRO"
        )
    )
)</f>
        <v>NEUTRO</v>
      </c>
      <c r="AP32" s="321"/>
      <c r="AQ32" s="319"/>
      <c r="AR32" s="320" t="str">
        <f>IF(AND(AT33="-",AT34="-",AT35="-"),
    "",
    IF(SUM(IF(AT33="-",0,IF(AT33&lt;0,-2,IF(AT33&gt;0,2,0))),
            IF(AT34="-",0,IF(AT34&lt;0,-1,IF(AT34&gt;0,1,0))),
            IF(AT35="-",0,IF(AT35&lt;0,-1,IF(AT35&gt;0,1,0)))) / 4 &gt; 0.1,
        "BULLISH",
        IF(SUM(IF(AT33="-",0,IF(AT33&lt;0,-2,IF(AT33&gt;0,2,0))),
                IF(AT34="-",0,IF(AT34&lt;0,-1,IF(AT34&gt;0,1,0))),
                IF(AT35="-",0,IF(AT35&lt;0,-1,IF(AT35&gt;0,1,0)))) / 4 &lt; -0.1,
            "BEARISH",
            "NEUTRO"
        )
    )
)</f>
        <v>BEARISH</v>
      </c>
      <c r="AS32" s="321"/>
      <c r="AT32" s="319"/>
      <c r="AU32" s="320" t="str">
        <f>IF(AND(AW33="-",AW34="-",AW35="-"),
    "",
    IF(SUM(IF(AW33="-",0,IF(AW33&lt;0,-2,IF(AW33&gt;0,2,0))),
            IF(AW34="-",0,IF(AW34&lt;0,-1,IF(AW34&gt;0,1,0))),
            IF(AW35="-",0,IF(AW35&lt;0,-1,IF(AW35&gt;0,1,0)))) / 4 &gt; 0.1,
        "BULLISH",
        IF(SUM(IF(AW33="-",0,IF(AW33&lt;0,-2,IF(AW33&gt;0,2,0))),
                IF(AW34="-",0,IF(AW34&lt;0,-1,IF(AW34&gt;0,1,0))),
                IF(AW35="-",0,IF(AW35&lt;0,-1,IF(AW35&gt;0,1,0)))) / 4 &lt; -0.1,
            "BEARISH",
            "NEUTRO"
        )
    )
)</f>
        <v>BEARISH</v>
      </c>
      <c r="AV32" s="321"/>
      <c r="AW32" s="319"/>
    </row>
    <row r="33" spans="1:49" x14ac:dyDescent="0.25">
      <c r="A33" s="122" t="s">
        <v>151</v>
      </c>
      <c r="B33" s="123"/>
      <c r="C33" s="123"/>
      <c r="D33" s="53" t="str">
        <f>IF(ISBLANK(B33),"-",B33-C33)</f>
        <v>-</v>
      </c>
      <c r="E33" s="123"/>
      <c r="F33" s="123"/>
      <c r="G33" s="53" t="str">
        <f>IF(ISBLANK(E33),"-",E33-F33)</f>
        <v>-</v>
      </c>
      <c r="H33" s="131">
        <v>0.14899999999999999</v>
      </c>
      <c r="I33" s="131">
        <v>5.8999999999999997E-2</v>
      </c>
      <c r="J33" s="53">
        <f>IF(ISBLANK(H33),"-",H33-I33)</f>
        <v>0.09</v>
      </c>
      <c r="K33" s="123"/>
      <c r="L33" s="123"/>
      <c r="M33" s="53" t="str">
        <f>IF(ISBLANK(K33),"-",K33-L33)</f>
        <v>-</v>
      </c>
      <c r="N33" s="131">
        <v>-1.2E-2</v>
      </c>
      <c r="O33" s="131">
        <v>-1.0999999999999999E-2</v>
      </c>
      <c r="P33" s="53">
        <f>IF(ISBLANK(N33),"-",N33-O33)</f>
        <v>-1.0000000000000009E-3</v>
      </c>
      <c r="Q33" s="242">
        <v>-1E-3</v>
      </c>
      <c r="R33" s="131">
        <v>-6.6000000000000003E-2</v>
      </c>
      <c r="S33" s="53">
        <f>IF(ISBLANK(Q33),"-",Q33-R33)</f>
        <v>6.5000000000000002E-2</v>
      </c>
      <c r="T33" s="131">
        <v>-6.6000000000000003E-2</v>
      </c>
      <c r="U33" s="123">
        <v>-5.3</v>
      </c>
      <c r="V33" s="53">
        <f>IF(ISBLANK(T33),"-",T33-U33)</f>
        <v>5.234</v>
      </c>
      <c r="W33" s="131">
        <v>-4.1000000000000002E-2</v>
      </c>
      <c r="X33" s="131">
        <v>4.9000000000000002E-2</v>
      </c>
      <c r="Y33" s="53">
        <f>IF(ISBLANK(W33),"-",W33-X33)</f>
        <v>-0.09</v>
      </c>
      <c r="Z33" s="131">
        <v>2.9000000000000001E-2</v>
      </c>
      <c r="AA33" s="131">
        <v>0.11600000000000001</v>
      </c>
      <c r="AB33" s="53">
        <f>IF(ISBLANK(Z33),"-",Z33-AA33)</f>
        <v>-8.7000000000000008E-2</v>
      </c>
      <c r="AC33" s="132">
        <v>0.11</v>
      </c>
      <c r="AD33" s="131">
        <v>-5.6000000000000001E-2</v>
      </c>
      <c r="AE33" s="53">
        <f>IF(ISBLANK(AC33),"-",AC33-AD33)</f>
        <v>0.16600000000000001</v>
      </c>
      <c r="AF33" s="131">
        <v>-5.8999999999999997E-2</v>
      </c>
      <c r="AG33" s="131">
        <v>0.115</v>
      </c>
      <c r="AH33" s="53">
        <f>IF(ISBLANK(AF33),"-",AF33-AG33)</f>
        <v>-0.17399999999999999</v>
      </c>
      <c r="AI33" s="131">
        <v>0.115</v>
      </c>
      <c r="AJ33" s="131">
        <v>-6.3E-2</v>
      </c>
      <c r="AK33" s="53">
        <f>IF(ISBLANK(AI33),"-",AI33-AJ33)</f>
        <v>0.17799999999999999</v>
      </c>
      <c r="AL33" s="132">
        <v>-7.0000000000000007E-2</v>
      </c>
      <c r="AM33" s="132">
        <v>0.20799999999999999</v>
      </c>
      <c r="AN33" s="53">
        <f>IF(ISBLANK(AL33),"-",AL33-AM33)</f>
        <v>-0.27800000000000002</v>
      </c>
      <c r="AO33" s="131">
        <v>-0.13900000000000001</v>
      </c>
      <c r="AP33" s="131">
        <v>-0.127</v>
      </c>
      <c r="AQ33" s="53">
        <f>IF(ISBLANK(AO33),"-",AO33-AP33)</f>
        <v>-1.2000000000000011E-2</v>
      </c>
      <c r="AR33" s="131">
        <v>-0.122</v>
      </c>
      <c r="AS33" s="131">
        <v>0.23400000000000001</v>
      </c>
      <c r="AT33" s="53">
        <f>IF(ISBLANK(AR33),"-",AR33-AS33)</f>
        <v>-0.35599999999999998</v>
      </c>
      <c r="AU33" s="131">
        <v>-0.11700000000000001</v>
      </c>
      <c r="AV33" s="131">
        <v>8.8999999999999996E-2</v>
      </c>
      <c r="AW33" s="53">
        <f>IF(ISBLANK(AU33),"-",AU33-AV33)</f>
        <v>-0.20600000000000002</v>
      </c>
    </row>
    <row r="34" spans="1:49" x14ac:dyDescent="0.25">
      <c r="A34" s="108" t="s">
        <v>227</v>
      </c>
      <c r="D34" s="113" t="str">
        <f>IF(ISBLANK(B34),"-",B34-C34)</f>
        <v>-</v>
      </c>
      <c r="G34" s="113" t="str">
        <f>IF(ISBLANK(E34),"-",E34-F34)</f>
        <v>-</v>
      </c>
      <c r="H34" s="109">
        <v>-2E-3</v>
      </c>
      <c r="I34" s="109">
        <v>0</v>
      </c>
      <c r="J34" s="113">
        <f>IF(ISBLANK(H34),"-",H34-I34)</f>
        <v>-2E-3</v>
      </c>
      <c r="M34" s="113" t="str">
        <f>IF(ISBLANK(K34),"-",K34-L34)</f>
        <v>-</v>
      </c>
      <c r="N34" s="109">
        <v>-2E-3</v>
      </c>
      <c r="O34" s="109">
        <v>-1E-3</v>
      </c>
      <c r="P34" s="113">
        <f>IF(ISBLANK(N34),"-",N34-O34)</f>
        <v>-1E-3</v>
      </c>
      <c r="Q34" s="109">
        <v>-1E-3</v>
      </c>
      <c r="R34" s="109">
        <v>-2E-3</v>
      </c>
      <c r="S34" s="113">
        <f>IF(ISBLANK(Q34),"-",Q34-R34)</f>
        <v>1E-3</v>
      </c>
      <c r="T34" s="109">
        <v>-2E-3</v>
      </c>
      <c r="U34" s="109">
        <v>-4.0000000000000001E-3</v>
      </c>
      <c r="V34" s="113">
        <f>IF(ISBLANK(T34),"-",T34-U34)</f>
        <v>2E-3</v>
      </c>
      <c r="W34" s="109">
        <v>-4.0000000000000001E-3</v>
      </c>
      <c r="X34" s="109">
        <v>1E-3</v>
      </c>
      <c r="Y34" s="113">
        <f>IF(ISBLANK(W34),"-",W34-X34)</f>
        <v>-5.0000000000000001E-3</v>
      </c>
      <c r="Z34" s="109">
        <v>1E-3</v>
      </c>
      <c r="AA34" s="109">
        <v>-1E-3</v>
      </c>
      <c r="AB34" s="113">
        <f>IF(ISBLANK(Z34),"-",Z34-AA34)</f>
        <v>2E-3</v>
      </c>
      <c r="AC34" s="109">
        <v>-1E-3</v>
      </c>
      <c r="AD34" s="109">
        <v>-1E-3</v>
      </c>
      <c r="AE34" s="113">
        <f>IF(ISBLANK(AC34),"-",AC34-AD34)</f>
        <v>0</v>
      </c>
      <c r="AF34" s="109">
        <v>-1E-3</v>
      </c>
      <c r="AG34" s="109">
        <v>-4.0000000000000001E-3</v>
      </c>
      <c r="AH34" s="113">
        <f>IF(ISBLANK(AF34),"-",AF34-AG34)</f>
        <v>3.0000000000000001E-3</v>
      </c>
      <c r="AI34" s="111">
        <v>0</v>
      </c>
      <c r="AJ34" s="111">
        <v>0</v>
      </c>
      <c r="AK34" s="113">
        <f>IF(ISBLANK(AI34),"-",AI34-AJ34)</f>
        <v>0</v>
      </c>
      <c r="AL34" s="111">
        <v>0</v>
      </c>
      <c r="AM34" s="109">
        <v>2E-3</v>
      </c>
      <c r="AN34" s="113">
        <f>IF(ISBLANK(AL34),"-",AL34-AM34)</f>
        <v>-2E-3</v>
      </c>
      <c r="AO34" s="109">
        <v>2E-3</v>
      </c>
      <c r="AP34" s="109">
        <v>-2E-3</v>
      </c>
      <c r="AQ34" s="113">
        <f>IF(ISBLANK(AO34),"-",AO34-AP34)</f>
        <v>4.0000000000000001E-3</v>
      </c>
      <c r="AR34" s="109">
        <v>-2E-3</v>
      </c>
      <c r="AS34" s="109">
        <v>2E-3</v>
      </c>
      <c r="AT34" s="113">
        <f>IF(ISBLANK(AR34),"-",AR34-AS34)</f>
        <v>-4.0000000000000001E-3</v>
      </c>
      <c r="AU34" s="109">
        <v>0</v>
      </c>
      <c r="AV34" s="109">
        <v>1E-3</v>
      </c>
      <c r="AW34" s="113">
        <f>IF(ISBLANK(AU34),"-",AU34-AV34)</f>
        <v>-1E-3</v>
      </c>
    </row>
    <row r="35" spans="1:49" x14ac:dyDescent="0.25">
      <c r="A35" s="108" t="s">
        <v>228</v>
      </c>
      <c r="D35" s="127" t="str">
        <f>IF(ISBLANK(B35),"-",B35-C35)</f>
        <v>-</v>
      </c>
      <c r="G35" s="127" t="str">
        <f>IF(ISBLANK(E35),"-",E35-F35)</f>
        <v>-</v>
      </c>
      <c r="H35" s="111">
        <v>282</v>
      </c>
      <c r="I35" s="111">
        <v>255</v>
      </c>
      <c r="J35" s="127">
        <f>IF(ISBLANK(H35),"-",H35-I35)</f>
        <v>27</v>
      </c>
      <c r="M35" s="127" t="str">
        <f>IF(ISBLANK(K35),"-",K35-L35)</f>
        <v>-</v>
      </c>
      <c r="N35" s="111">
        <v>279</v>
      </c>
      <c r="O35" s="111">
        <v>245</v>
      </c>
      <c r="P35" s="127">
        <f>IF(ISBLANK(N35),"-",N35-O35)</f>
        <v>34</v>
      </c>
      <c r="Q35" s="111">
        <v>246</v>
      </c>
      <c r="R35" s="111">
        <v>284</v>
      </c>
      <c r="S35" s="127">
        <f>IF(ISBLANK(Q35),"-",Q35-R35)</f>
        <v>-38</v>
      </c>
      <c r="T35" s="111">
        <v>284</v>
      </c>
      <c r="U35" s="111">
        <v>280</v>
      </c>
      <c r="V35" s="127">
        <f>IF(ISBLANK(T35),"-",T35-U35)</f>
        <v>4</v>
      </c>
      <c r="W35" s="111">
        <v>279</v>
      </c>
      <c r="X35" s="111">
        <v>214</v>
      </c>
      <c r="Y35" s="127">
        <f>IF(ISBLANK(W35),"-",W35-X35)</f>
        <v>65</v>
      </c>
      <c r="Z35" s="111">
        <v>214</v>
      </c>
      <c r="AA35" s="111">
        <v>239</v>
      </c>
      <c r="AB35" s="127">
        <f>IF(ISBLANK(Z35),"-",Z35-AA35)</f>
        <v>-25</v>
      </c>
      <c r="AC35" s="111">
        <v>240</v>
      </c>
      <c r="AD35" s="111">
        <v>232</v>
      </c>
      <c r="AE35" s="127">
        <f>IF(ISBLANK(AC35),"-",AC35-AD35)</f>
        <v>8</v>
      </c>
      <c r="AF35" s="111">
        <v>231</v>
      </c>
      <c r="AG35" s="111">
        <v>242</v>
      </c>
      <c r="AH35" s="127">
        <f>IF(ISBLANK(AF35),"-",AF35-AG35)</f>
        <v>-11</v>
      </c>
      <c r="AI35" s="111">
        <v>241</v>
      </c>
      <c r="AJ35" s="111">
        <v>223</v>
      </c>
      <c r="AK35" s="127">
        <f>IF(ISBLANK(AI35),"-",AI35-AJ35)</f>
        <v>18</v>
      </c>
      <c r="AL35" s="111">
        <v>224</v>
      </c>
      <c r="AM35" s="111">
        <v>213</v>
      </c>
      <c r="AN35" s="127">
        <f>IF(ISBLANK(AL35),"-",AL35-AM35)</f>
        <v>11</v>
      </c>
      <c r="AO35" s="111">
        <v>280</v>
      </c>
      <c r="AP35" s="111">
        <v>242</v>
      </c>
      <c r="AQ35" s="127">
        <f>IF(ISBLANK(AO35),"-",AO35-AP35)</f>
        <v>38</v>
      </c>
      <c r="AR35" s="111">
        <v>242</v>
      </c>
      <c r="AS35" s="111">
        <v>265</v>
      </c>
      <c r="AT35" s="127">
        <f>IF(ISBLANK(AR35),"-",AR35-AS35)</f>
        <v>-23</v>
      </c>
      <c r="AU35" s="111">
        <v>242</v>
      </c>
      <c r="AV35" s="111">
        <v>253</v>
      </c>
      <c r="AW35" s="127">
        <f>IF(ISBLANK(AU35),"-",AU35-AV35)</f>
        <v>-11</v>
      </c>
    </row>
    <row r="36" spans="1:49" x14ac:dyDescent="0.25">
      <c r="A36" s="108"/>
      <c r="D36" s="114"/>
      <c r="G36" s="114"/>
      <c r="J36" s="114"/>
      <c r="M36" s="114"/>
      <c r="P36" s="114"/>
      <c r="S36" s="114"/>
      <c r="V36" s="114"/>
      <c r="Y36" s="114"/>
      <c r="AB36" s="114"/>
      <c r="AE36" s="114"/>
      <c r="AH36" s="114"/>
      <c r="AK36" s="114"/>
      <c r="AN36" s="114"/>
      <c r="AO36" s="111"/>
      <c r="AP36" s="111"/>
      <c r="AQ36" s="114"/>
      <c r="AR36" s="111"/>
      <c r="AS36" s="111"/>
      <c r="AT36" s="114"/>
      <c r="AU36" s="111"/>
      <c r="AV36" s="111"/>
      <c r="AW36" s="114"/>
    </row>
    <row r="37" spans="1:49" x14ac:dyDescent="0.25">
      <c r="A37" s="102" t="s">
        <v>83</v>
      </c>
      <c r="B37" s="316" t="str">
        <f>IF(AND(D38="-",D39="-"),
    "",
    IF(SUM(IF(D38="-",0,IF(D38&lt;0,-2,IF(D38&gt;0,2,0))), IF(D39="-",0,IF(D39&lt;0,-2,IF(D39&gt;0,2,0)))) / 4 &gt; 0.1,
        "BULLISH",
        IF(SUM(IF(D38="-",0,IF(D38&lt;0,-2,IF(D38&gt;0,2,0))), IF(D39="-",0,IF(D39&lt;0,-2,IF(D39&gt;0,2,0)))) / 4 &lt; -0.1,
            "BEARISH",
            "NEUTRO"
        )
    )
)</f>
        <v/>
      </c>
      <c r="C37" s="317"/>
      <c r="D37" s="318"/>
      <c r="E37" s="316" t="str">
        <f>IF(AND(G38="-",G39="-"),
    "",
    IF(SUM(IF(G38="-",0,IF(G38&lt;0,-2,IF(G38&gt;0,2,0))), IF(G39="-",0,IF(G39&lt;0,-2,IF(G39&gt;0,2,0)))) / 4 &gt; 0.1,
        "BULLISH",
        IF(SUM(IF(G38="-",0,IF(G38&lt;0,-2,IF(G38&gt;0,2,0))), IF(G39="-",0,IF(G39&lt;0,-2,IF(G39&gt;0,2,0)))) / 4 &lt; -0.1,
            "BEARISH",
            "NEUTRO"
        )
    )
)</f>
        <v/>
      </c>
      <c r="F37" s="317"/>
      <c r="G37" s="318"/>
      <c r="H37" s="316" t="str">
        <f>IF(AND(J38="-",J39="-"),
    "",
    IF(SUM(IF(J38="-",0,IF(J38&lt;0,-2,IF(J38&gt;0,2,0))), IF(J39="-",0,IF(J39&lt;0,-2,IF(J39&gt;0,2,0)))) / 4 &gt; 0.1,
        "BULLISH",
        IF(SUM(IF(J38="-",0,IF(J38&lt;0,-2,IF(J38&gt;0,2,0))), IF(J39="-",0,IF(J39&lt;0,-2,IF(J39&gt;0,2,0)))) / 4 &lt; -0.1,
            "BEARISH",
            "NEUTRO"
        )
    )
)</f>
        <v/>
      </c>
      <c r="I37" s="317"/>
      <c r="J37" s="318"/>
      <c r="K37" s="316" t="str">
        <f>IF(AND(M38="-",M39="-"),
    "",
    IF(SUM(IF(M38="-",0,IF(M38&lt;0,-2,IF(M38&gt;0,2,0))), IF(M39="-",0,IF(M39&lt;0,-2,IF(M39&gt;0,2,0)))) / 4 &gt; 0.1,
        "BULLISH",
        IF(SUM(IF(M38="-",0,IF(M38&lt;0,-2,IF(M38&gt;0,2,0))), IF(M39="-",0,IF(M39&lt;0,-2,IF(M39&gt;0,2,0)))) / 4 &lt; -0.1,
            "BEARISH",
            "NEUTRO"
        )
    )
)</f>
        <v/>
      </c>
      <c r="L37" s="317"/>
      <c r="M37" s="318"/>
      <c r="N37" s="316" t="str">
        <f>IF(AND(P38="-",P39="-"),
    "",
    IF(SUM(IF(P38="-",0,IF(P38&lt;0,-2,IF(P38&gt;0,2,0))), IF(P39="-",0,IF(P39&lt;0,-2,IF(P39&gt;0,2,0)))) / 4 &gt; 0.1,
        "BULLISH",
        IF(SUM(IF(P38="-",0,IF(P38&lt;0,-2,IF(P38&gt;0,2,0))), IF(P39="-",0,IF(P39&lt;0,-2,IF(P39&gt;0,2,0)))) / 4 &lt; -0.1,
            "BEARISH",
            "NEUTRO"
        )
    )
)</f>
        <v/>
      </c>
      <c r="O37" s="317"/>
      <c r="P37" s="318"/>
      <c r="Q37" s="316" t="str">
        <f>IF(AND(S38="-",S39="-"),
    "",
    IF(SUM(IF(S38="-",0,IF(S38&lt;0,-2,IF(S38&gt;0,2,0))), IF(S39="-",0,IF(S39&lt;0,-2,IF(S39&gt;0,2,0)))) / 4 &gt; 0.1,
        "BULLISH",
        IF(SUM(IF(S38="-",0,IF(S38&lt;0,-2,IF(S38&gt;0,2,0))), IF(S39="-",0,IF(S39&lt;0,-2,IF(S39&gt;0,2,0)))) / 4 &lt; -0.1,
            "BEARISH",
            "NEUTRO"
        )
    )
)</f>
        <v/>
      </c>
      <c r="R37" s="317"/>
      <c r="S37" s="318"/>
      <c r="T37" s="316" t="str">
        <f>IF(AND(V38="-",V39="-"),
    "",
    IF(SUM(IF(V38="-",0,IF(V38&lt;0,-2,IF(V38&gt;0,2,0))), IF(V39="-",0,IF(V39&lt;0,-2,IF(V39&gt;0,2,0)))) / 4 &gt; 0.1,
        "BULLISH",
        IF(SUM(IF(V38="-",0,IF(V38&lt;0,-2,IF(V38&gt;0,2,0))), IF(V39="-",0,IF(V39&lt;0,-2,IF(V39&gt;0,2,0)))) / 4 &lt; -0.1,
            "BEARISH",
            "NEUTRO"
        )
    )
)</f>
        <v/>
      </c>
      <c r="U37" s="317"/>
      <c r="V37" s="318"/>
      <c r="W37" s="316" t="str">
        <f>IF(AND(Y38="-",Y39="-"),
    "",
    IF(SUM(IF(Y38="-",0,IF(Y38&lt;0,-2,IF(Y38&gt;0,2,0))), IF(Y39="-",0,IF(Y39&lt;0,-2,IF(Y39&gt;0,2,0)))) / 4 &gt; 0.1,
        "BULLISH",
        IF(SUM(IF(Y38="-",0,IF(Y38&lt;0,-2,IF(Y38&gt;0,2,0))), IF(Y39="-",0,IF(Y39&lt;0,-2,IF(Y39&gt;0,2,0)))) / 4 &lt; -0.1,
            "BEARISH",
            "NEUTRO"
        )
    )
)</f>
        <v/>
      </c>
      <c r="X37" s="317"/>
      <c r="Y37" s="318"/>
      <c r="Z37" s="316" t="str">
        <f>IF(AND(AB38="-",AB39="-"),
    "",
    IF(SUM(IF(AB38="-",0,IF(AB38&lt;0,-2,IF(AB38&gt;0,2,0))), IF(AB39="-",0,IF(AB39&lt;0,-2,IF(AB39&gt;0,2,0)))) / 4 &gt; 0.1,
        "BULLISH",
        IF(SUM(IF(AB38="-",0,IF(AB38&lt;0,-2,IF(AB38&gt;0,2,0))), IF(AB39="-",0,IF(AB39&lt;0,-2,IF(AB39&gt;0,2,0)))) / 4 &lt; -0.1,
            "BEARISH",
            "NEUTRO"
        )
    )
)</f>
        <v/>
      </c>
      <c r="AA37" s="317"/>
      <c r="AB37" s="318"/>
      <c r="AC37" s="316" t="str">
        <f>IF(AND(AE38="-",AE39="-"),
    "",
    IF(SUM(IF(AE38="-",0,IF(AE38&lt;0,-2,IF(AE38&gt;0,2,0))), IF(AE39="-",0,IF(AE39&lt;0,-2,IF(AE39&gt;0,2,0)))) / 4 &gt; 0.1,
        "BULLISH",
        IF(SUM(IF(AE38="-",0,IF(AE38&lt;0,-2,IF(AE38&gt;0,2,0))), IF(AE39="-",0,IF(AE39&lt;0,-2,IF(AE39&gt;0,2,0)))) / 4 &lt; -0.1,
            "BEARISH",
            "NEUTRO"
        )
    )
)</f>
        <v/>
      </c>
      <c r="AD37" s="317"/>
      <c r="AE37" s="318"/>
      <c r="AF37" s="316" t="str">
        <f>IF(AND(AH38="-",AH39="-"),
    "",
    IF(SUM(IF(AH38="-",0,IF(AH38&lt;0,-2,IF(AH38&gt;0,2,0))), IF(AH39="-",0,IF(AH39&lt;0,-2,IF(AH39&gt;0,2,0)))) / 4 &gt; 0.1,
        "BULLISH",
        IF(SUM(IF(AH38="-",0,IF(AH38&lt;0,-2,IF(AH38&gt;0,2,0))), IF(AH39="-",0,IF(AH39&lt;0,-2,IF(AH39&gt;0,2,0)))) / 4 &lt; -0.1,
            "BEARISH",
            "NEUTRO"
        )
    )
)</f>
        <v/>
      </c>
      <c r="AG37" s="317"/>
      <c r="AH37" s="318"/>
      <c r="AI37" s="316" t="str">
        <f>IF(AND(AK38="-",AK39="-"),
    "",
    IF(SUM(IF(AK38="-",0,IF(AK38&lt;0,-2,IF(AK38&gt;0,2,0))), IF(AK39="-",0,IF(AK39&lt;0,-2,IF(AK39&gt;0,2,0)))) / 4 &gt; 0.1,
        "BULLISH",
        IF(SUM(IF(AK38="-",0,IF(AK38&lt;0,-2,IF(AK38&gt;0,2,0))), IF(AK39="-",0,IF(AK39&lt;0,-2,IF(AK39&gt;0,2,0)))) / 4 &lt; -0.1,
            "BEARISH",
            "NEUTRO"
        )
    )
)</f>
        <v/>
      </c>
      <c r="AJ37" s="317"/>
      <c r="AK37" s="318"/>
      <c r="AL37" s="316" t="str">
        <f>IF(AND(AN38="-",AN39="-"),
    "",
    IF(SUM(IF(AN38="-",0,IF(AN38&lt;0,-2,IF(AN38&gt;0,2,0))), IF(AN39="-",0,IF(AN39&lt;0,-2,IF(AN39&gt;0,2,0)))) / 4 &gt; 0.1,
        "BULLISH",
        IF(SUM(IF(AN38="-",0,IF(AN38&lt;0,-2,IF(AN38&gt;0,2,0))), IF(AN39="-",0,IF(AN39&lt;0,-2,IF(AN39&gt;0,2,0)))) / 4 &lt; -0.1,
            "BEARISH",
            "NEUTRO"
        )
    )
)</f>
        <v/>
      </c>
      <c r="AM37" s="317"/>
      <c r="AN37" s="318"/>
      <c r="AO37" s="316" t="str">
        <f>IF(AND(AQ38="-",AQ39="-"),
    "",
    IF(SUM(IF(AQ38="-",0,IF(AQ38&lt;0,-2,IF(AQ38&gt;0,2,0))), IF(AQ39="-",0,IF(AQ39&lt;0,-2,IF(AQ39&gt;0,2,0)))) / 4 &gt; 0.1,
        "BULLISH",
        IF(SUM(IF(AQ38="-",0,IF(AQ38&lt;0,-2,IF(AQ38&gt;0,2,0))), IF(AQ39="-",0,IF(AQ39&lt;0,-2,IF(AQ39&gt;0,2,0)))) / 4 &lt; -0.1,
            "BEARISH",
            "NEUTRO"
        )
    )
)</f>
        <v/>
      </c>
      <c r="AP37" s="317"/>
      <c r="AQ37" s="318"/>
      <c r="AR37" s="316" t="str">
        <f>IF(AND(AT38="-",AT39="-"),
    "",
    IF(SUM(IF(AT38="-",0,IF(AT38&lt;0,-2,IF(AT38&gt;0,2,0))), IF(AT39="-",0,IF(AT39&lt;0,-2,IF(AT39&gt;0,2,0)))) / 4 &gt; 0.1,
        "BULLISH",
        IF(SUM(IF(AT38="-",0,IF(AT38&lt;0,-2,IF(AT38&gt;0,2,0))), IF(AT39="-",0,IF(AT39&lt;0,-2,IF(AT39&gt;0,2,0)))) / 4 &lt; -0.1,
            "BEARISH",
            "NEUTRO"
        )
    )
)</f>
        <v/>
      </c>
      <c r="AS37" s="317"/>
      <c r="AT37" s="318"/>
      <c r="AU37" s="316" t="str">
        <f>IF(AND(AW38="-",AW39="-"),
    "",
    IF(SUM(IF(AW38="-",0,IF(AW38&lt;0,-2,IF(AW38&gt;0,2,0))), IF(AW39="-",0,IF(AW39&lt;0,-2,IF(AW39&gt;0,2,0)))) / 4 &gt; 0.1,
        "BULLISH",
        IF(SUM(IF(AW38="-",0,IF(AW38&lt;0,-2,IF(AW38&gt;0,2,0))), IF(AW39="-",0,IF(AW39&lt;0,-2,IF(AW39&gt;0,2,0)))) / 4 &lt; -0.1,
            "BEARISH",
            "NEUTRO"
        )
    )
)</f>
        <v/>
      </c>
      <c r="AV37" s="317"/>
      <c r="AW37" s="318"/>
    </row>
    <row r="38" spans="1:49" x14ac:dyDescent="0.25">
      <c r="A38" s="122" t="s">
        <v>229</v>
      </c>
      <c r="B38" s="123"/>
      <c r="C38" s="123"/>
      <c r="D38" s="62" t="str">
        <f>IF(ISBLANK(B38),"-",B38-C38)</f>
        <v>-</v>
      </c>
      <c r="E38" s="123"/>
      <c r="F38" s="123"/>
      <c r="G38" s="62" t="str">
        <f>IF(ISBLANK(E38),"-",E38-F38)</f>
        <v>-</v>
      </c>
      <c r="H38" s="123"/>
      <c r="I38" s="123"/>
      <c r="J38" s="62" t="str">
        <f>IF(ISBLANK(H38),"-",H38-I38)</f>
        <v>-</v>
      </c>
      <c r="K38" s="123"/>
      <c r="L38" s="123"/>
      <c r="M38" s="62" t="str">
        <f>IF(ISBLANK(K38),"-",K38-L38)</f>
        <v>-</v>
      </c>
      <c r="N38" s="123"/>
      <c r="O38" s="123"/>
      <c r="P38" s="62" t="str">
        <f>IF(ISBLANK(N38),"-",N38-O38)</f>
        <v>-</v>
      </c>
      <c r="Q38" s="123"/>
      <c r="R38" s="123">
        <v>64.92</v>
      </c>
      <c r="S38" s="62" t="str">
        <f>IF(ISBLANK(Q38),"-",Q38-R38)</f>
        <v>-</v>
      </c>
      <c r="T38" s="123"/>
      <c r="U38" s="123"/>
      <c r="V38" s="62" t="str">
        <f>IF(ISBLANK(T38),"-",T38-U38)</f>
        <v>-</v>
      </c>
      <c r="W38" s="123"/>
      <c r="X38" s="123"/>
      <c r="Y38" s="62" t="str">
        <f>IF(ISBLANK(W38),"-",W38-X38)</f>
        <v>-</v>
      </c>
      <c r="Z38" s="123"/>
      <c r="AA38" s="123"/>
      <c r="AB38" s="62" t="str">
        <f>IF(ISBLANK(Z38),"-",Z38-AA38)</f>
        <v>-</v>
      </c>
      <c r="AC38" s="123"/>
      <c r="AD38" s="123"/>
      <c r="AE38" s="62" t="str">
        <f>IF(ISBLANK(AC38),"-",AC38-AD38)</f>
        <v>-</v>
      </c>
      <c r="AF38" s="123"/>
      <c r="AG38" s="123"/>
      <c r="AH38" s="62" t="str">
        <f>IF(ISBLANK(AF38),"-",AF38-AG38)</f>
        <v>-</v>
      </c>
      <c r="AI38" s="123"/>
      <c r="AJ38" s="123"/>
      <c r="AK38" s="62" t="str">
        <f>IF(ISBLANK(AI38),"-",AI38-AJ38)</f>
        <v>-</v>
      </c>
      <c r="AL38" s="123"/>
      <c r="AM38" s="123"/>
      <c r="AN38" s="62" t="str">
        <f>IF(ISBLANK(AL38),"-",AL38-AM38)</f>
        <v>-</v>
      </c>
      <c r="AO38" s="123"/>
      <c r="AP38" s="123"/>
      <c r="AQ38" s="62" t="str">
        <f>IF(ISBLANK(AO38),"-",AO38-AP38)</f>
        <v>-</v>
      </c>
      <c r="AR38" s="123"/>
      <c r="AS38" s="123"/>
      <c r="AT38" s="62" t="str">
        <f>IF(ISBLANK(AR38),"-",AR38-AS38)</f>
        <v>-</v>
      </c>
      <c r="AU38" s="123"/>
      <c r="AV38" s="123"/>
      <c r="AW38" s="62" t="str">
        <f>IF(ISBLANK(AU38),"-",AU38-AV38)</f>
        <v>-</v>
      </c>
    </row>
    <row r="39" spans="1:49" x14ac:dyDescent="0.25">
      <c r="A39" s="124" t="s">
        <v>158</v>
      </c>
      <c r="B39" s="125"/>
      <c r="C39" s="125"/>
      <c r="D39" s="62" t="str">
        <f>IF(ISBLANK(B39),"-",B39-C39)</f>
        <v>-</v>
      </c>
      <c r="E39" s="125"/>
      <c r="F39" s="125"/>
      <c r="G39" s="62" t="str">
        <f>IF(ISBLANK(E39),"-",E39-F39)</f>
        <v>-</v>
      </c>
      <c r="H39" s="125"/>
      <c r="I39" s="125"/>
      <c r="J39" s="62" t="str">
        <f>IF(ISBLANK(H39),"-",H39-I39)</f>
        <v>-</v>
      </c>
      <c r="K39" s="125"/>
      <c r="L39" s="125"/>
      <c r="M39" s="62" t="str">
        <f>IF(ISBLANK(K39),"-",K39-L39)</f>
        <v>-</v>
      </c>
      <c r="N39" s="125"/>
      <c r="O39" s="125"/>
      <c r="P39" s="62" t="str">
        <f>IF(ISBLANK(N39),"-",N39-O39)</f>
        <v>-</v>
      </c>
      <c r="Q39" s="125"/>
      <c r="R39" s="125">
        <v>31.91</v>
      </c>
      <c r="S39" s="62" t="str">
        <f>IF(ISBLANK(Q39),"-",Q39-R39)</f>
        <v>-</v>
      </c>
      <c r="T39" s="125"/>
      <c r="U39" s="125"/>
      <c r="V39" s="62" t="str">
        <f>IF(ISBLANK(T39),"-",T39-U39)</f>
        <v>-</v>
      </c>
      <c r="W39" s="125"/>
      <c r="X39" s="125"/>
      <c r="Y39" s="62" t="str">
        <f>IF(ISBLANK(W39),"-",W39-X39)</f>
        <v>-</v>
      </c>
      <c r="Z39" s="125"/>
      <c r="AA39" s="125"/>
      <c r="AB39" s="62" t="str">
        <f>IF(ISBLANK(Z39),"-",Z39-AA39)</f>
        <v>-</v>
      </c>
      <c r="AC39" s="125"/>
      <c r="AD39" s="125"/>
      <c r="AE39" s="62" t="str">
        <f>IF(ISBLANK(AC39),"-",AC39-AD39)</f>
        <v>-</v>
      </c>
      <c r="AF39" s="125"/>
      <c r="AG39" s="125"/>
      <c r="AH39" s="62" t="str">
        <f>IF(ISBLANK(AF39),"-",AF39-AG39)</f>
        <v>-</v>
      </c>
      <c r="AI39" s="125"/>
      <c r="AJ39" s="125"/>
      <c r="AK39" s="62" t="str">
        <f>IF(ISBLANK(AI39),"-",AI39-AJ39)</f>
        <v>-</v>
      </c>
      <c r="AL39" s="125"/>
      <c r="AM39" s="125"/>
      <c r="AN39" s="62" t="str">
        <f>IF(ISBLANK(AL39),"-",AL39-AM39)</f>
        <v>-</v>
      </c>
      <c r="AO39" s="125"/>
      <c r="AP39" s="125"/>
      <c r="AQ39" s="62" t="str">
        <f>IF(ISBLANK(AO39),"-",AO39-AP39)</f>
        <v>-</v>
      </c>
      <c r="AR39" s="125"/>
      <c r="AS39" s="125"/>
      <c r="AT39" s="62" t="str">
        <f>IF(ISBLANK(AR39),"-",AR39-AS39)</f>
        <v>-</v>
      </c>
      <c r="AU39" s="125"/>
      <c r="AV39" s="125"/>
      <c r="AW39" s="62" t="str">
        <f>IF(ISBLANK(AU39),"-",AU39-AV39)</f>
        <v>-</v>
      </c>
    </row>
    <row r="47" spans="1:49" x14ac:dyDescent="0.25">
      <c r="C47" s="123"/>
      <c r="F47" s="123"/>
      <c r="I47" s="123"/>
      <c r="L47" s="123"/>
      <c r="O47" s="123"/>
      <c r="R47" s="123"/>
      <c r="U47" s="123"/>
      <c r="X47" s="123"/>
      <c r="AA47" s="123"/>
      <c r="AD47" s="123"/>
      <c r="AG47" s="123"/>
      <c r="AJ47" s="123">
        <v>3</v>
      </c>
    </row>
    <row r="48" spans="1:49" x14ac:dyDescent="0.25">
      <c r="C48" s="125"/>
      <c r="F48" s="125"/>
      <c r="I48" s="125"/>
      <c r="L48" s="125"/>
      <c r="O48" s="125"/>
      <c r="R48" s="125"/>
      <c r="U48" s="125"/>
      <c r="X48" s="125"/>
      <c r="AA48" s="125"/>
      <c r="AD48" s="125"/>
      <c r="AG48" s="125"/>
      <c r="AJ48" s="125"/>
    </row>
    <row r="49" spans="3:36" x14ac:dyDescent="0.25">
      <c r="C49" s="123"/>
      <c r="F49" s="123"/>
      <c r="I49" s="123"/>
      <c r="L49" s="123"/>
      <c r="O49" s="123"/>
      <c r="R49" s="123"/>
      <c r="U49" s="123"/>
      <c r="X49" s="123"/>
      <c r="AA49" s="123"/>
      <c r="AD49" s="123"/>
      <c r="AG49" s="123"/>
      <c r="AJ49" s="123">
        <v>3</v>
      </c>
    </row>
    <row r="50" spans="3:36" x14ac:dyDescent="0.25">
      <c r="C50" s="125"/>
      <c r="F50" s="125"/>
      <c r="I50" s="125"/>
      <c r="L50" s="125"/>
      <c r="O50" s="125"/>
      <c r="R50" s="125"/>
      <c r="U50" s="125"/>
      <c r="X50" s="125"/>
      <c r="AA50" s="125"/>
      <c r="AD50" s="125"/>
      <c r="AG50" s="125"/>
      <c r="AJ50" s="125"/>
    </row>
  </sheetData>
  <mergeCells count="129">
    <mergeCell ref="B2:D2"/>
    <mergeCell ref="B12:D12"/>
    <mergeCell ref="B16:D16"/>
    <mergeCell ref="B20:D20"/>
    <mergeCell ref="B24:D24"/>
    <mergeCell ref="B32:D32"/>
    <mergeCell ref="B37:D37"/>
    <mergeCell ref="B1:C1"/>
    <mergeCell ref="Z24:AB24"/>
    <mergeCell ref="Z12:AB12"/>
    <mergeCell ref="Z20:AB20"/>
    <mergeCell ref="Z16:AB16"/>
    <mergeCell ref="Z2:AB2"/>
    <mergeCell ref="Q1:R1"/>
    <mergeCell ref="T1:U1"/>
    <mergeCell ref="W1:X1"/>
    <mergeCell ref="Q2:S2"/>
    <mergeCell ref="T2:V2"/>
    <mergeCell ref="W2:Y2"/>
    <mergeCell ref="Q32:S32"/>
    <mergeCell ref="T32:V32"/>
    <mergeCell ref="W32:Y32"/>
    <mergeCell ref="Q12:S12"/>
    <mergeCell ref="T12:V12"/>
    <mergeCell ref="AU37:AW37"/>
    <mergeCell ref="Z32:AB32"/>
    <mergeCell ref="AC32:AE32"/>
    <mergeCell ref="AF32:AH32"/>
    <mergeCell ref="AI32:AK32"/>
    <mergeCell ref="AL32:AN32"/>
    <mergeCell ref="AO32:AQ32"/>
    <mergeCell ref="AR32:AT32"/>
    <mergeCell ref="AU32:AW32"/>
    <mergeCell ref="Z37:AB37"/>
    <mergeCell ref="AC37:AE37"/>
    <mergeCell ref="AF37:AH37"/>
    <mergeCell ref="AI37:AK37"/>
    <mergeCell ref="AL37:AN37"/>
    <mergeCell ref="AO37:AQ37"/>
    <mergeCell ref="AR37:AT37"/>
    <mergeCell ref="AC12:AE12"/>
    <mergeCell ref="AF12:AH12"/>
    <mergeCell ref="AI12:AK12"/>
    <mergeCell ref="AL12:AN12"/>
    <mergeCell ref="AO12:AQ12"/>
    <mergeCell ref="AR12:AT12"/>
    <mergeCell ref="AU15:AV15"/>
    <mergeCell ref="AC24:AE24"/>
    <mergeCell ref="AI24:AK24"/>
    <mergeCell ref="AL24:AN24"/>
    <mergeCell ref="AO24:AQ24"/>
    <mergeCell ref="AC20:AE20"/>
    <mergeCell ref="AF20:AH20"/>
    <mergeCell ref="AI20:AK20"/>
    <mergeCell ref="AL20:AN20"/>
    <mergeCell ref="AF24:AH24"/>
    <mergeCell ref="AU16:AW16"/>
    <mergeCell ref="AU20:AW20"/>
    <mergeCell ref="AR24:AT24"/>
    <mergeCell ref="AU24:AW24"/>
    <mergeCell ref="AO20:AQ20"/>
    <mergeCell ref="AR20:AT20"/>
    <mergeCell ref="AC16:AE16"/>
    <mergeCell ref="AF16:AH16"/>
    <mergeCell ref="AI16:AK16"/>
    <mergeCell ref="AL16:AN16"/>
    <mergeCell ref="AO16:AQ16"/>
    <mergeCell ref="AR16:AT16"/>
    <mergeCell ref="AR1:AS1"/>
    <mergeCell ref="AU1:AV1"/>
    <mergeCell ref="AO2:AQ2"/>
    <mergeCell ref="AR2:AT2"/>
    <mergeCell ref="AU2:AW2"/>
    <mergeCell ref="AU12:AW12"/>
    <mergeCell ref="AC2:AE2"/>
    <mergeCell ref="AF2:AH2"/>
    <mergeCell ref="AI2:AK2"/>
    <mergeCell ref="AL2:AN2"/>
    <mergeCell ref="Z1:AA1"/>
    <mergeCell ref="AC1:AD1"/>
    <mergeCell ref="AI1:AJ1"/>
    <mergeCell ref="AL1:AM1"/>
    <mergeCell ref="AO1:AP1"/>
    <mergeCell ref="AF1:AG1"/>
    <mergeCell ref="W12:Y12"/>
    <mergeCell ref="Q16:S16"/>
    <mergeCell ref="T16:V16"/>
    <mergeCell ref="W16:Y16"/>
    <mergeCell ref="Q37:S37"/>
    <mergeCell ref="T37:V37"/>
    <mergeCell ref="W37:Y37"/>
    <mergeCell ref="Q20:S20"/>
    <mergeCell ref="T20:V20"/>
    <mergeCell ref="W20:Y20"/>
    <mergeCell ref="Q24:S24"/>
    <mergeCell ref="T24:V24"/>
    <mergeCell ref="W24:Y24"/>
    <mergeCell ref="N1:O1"/>
    <mergeCell ref="N32:P32"/>
    <mergeCell ref="N37:P37"/>
    <mergeCell ref="N2:P2"/>
    <mergeCell ref="N12:P12"/>
    <mergeCell ref="N16:P16"/>
    <mergeCell ref="N20:P20"/>
    <mergeCell ref="N24:P24"/>
    <mergeCell ref="K1:L1"/>
    <mergeCell ref="K2:M2"/>
    <mergeCell ref="K12:M12"/>
    <mergeCell ref="K16:M16"/>
    <mergeCell ref="K20:M20"/>
    <mergeCell ref="K24:M24"/>
    <mergeCell ref="K32:M32"/>
    <mergeCell ref="K37:M37"/>
    <mergeCell ref="E2:G2"/>
    <mergeCell ref="E12:G12"/>
    <mergeCell ref="E16:G16"/>
    <mergeCell ref="E20:G20"/>
    <mergeCell ref="E24:G24"/>
    <mergeCell ref="E32:G32"/>
    <mergeCell ref="E37:G37"/>
    <mergeCell ref="E1:F1"/>
    <mergeCell ref="H2:J2"/>
    <mergeCell ref="H12:J12"/>
    <mergeCell ref="H16:J16"/>
    <mergeCell ref="H20:J20"/>
    <mergeCell ref="H24:J24"/>
    <mergeCell ref="H32:J32"/>
    <mergeCell ref="H37:J37"/>
    <mergeCell ref="H1:I1"/>
  </mergeCells>
  <conditionalFormatting sqref="A2">
    <cfRule type="containsBlanks" dxfId="3288" priority="1577">
      <formula>LEN(TRIM(A2))=0</formula>
    </cfRule>
    <cfRule type="containsText" dxfId="3287" priority="1578" operator="containsText" text="NEUTRO">
      <formula>NOT(ISERROR(SEARCH("NEUTRO",A2)))</formula>
    </cfRule>
    <cfRule type="containsText" dxfId="3286" priority="1579" operator="containsText" text="BULLISH">
      <formula>NOT(ISERROR(SEARCH("BULLISH",A2)))</formula>
    </cfRule>
    <cfRule type="containsText" dxfId="3285" priority="1580" operator="containsText" text="BEARISH">
      <formula>NOT(ISERROR(SEARCH("BEARISH",A2)))</formula>
    </cfRule>
  </conditionalFormatting>
  <conditionalFormatting sqref="A12">
    <cfRule type="containsBlanks" dxfId="3284" priority="1573">
      <formula>LEN(TRIM(A12))=0</formula>
    </cfRule>
    <cfRule type="containsText" dxfId="3283" priority="1574" operator="containsText" text="NEUTRO">
      <formula>NOT(ISERROR(SEARCH("NEUTRO",A12)))</formula>
    </cfRule>
    <cfRule type="containsText" dxfId="3282" priority="1575" operator="containsText" text="BULLISH">
      <formula>NOT(ISERROR(SEARCH("BULLISH",A12)))</formula>
    </cfRule>
    <cfRule type="containsText" dxfId="3281" priority="1576" operator="containsText" text="BEARISH">
      <formula>NOT(ISERROR(SEARCH("BEARISH",A12)))</formula>
    </cfRule>
  </conditionalFormatting>
  <conditionalFormatting sqref="A16">
    <cfRule type="containsBlanks" dxfId="3280" priority="1569">
      <formula>LEN(TRIM(A16))=0</formula>
    </cfRule>
    <cfRule type="containsText" dxfId="3279" priority="1570" operator="containsText" text="NEUTRO">
      <formula>NOT(ISERROR(SEARCH("NEUTRO",A16)))</formula>
    </cfRule>
    <cfRule type="containsText" dxfId="3278" priority="1571" operator="containsText" text="BULLISH">
      <formula>NOT(ISERROR(SEARCH("BULLISH",A16)))</formula>
    </cfRule>
    <cfRule type="containsText" dxfId="3277" priority="1572" operator="containsText" text="BEARISH">
      <formula>NOT(ISERROR(SEARCH("BEARISH",A16)))</formula>
    </cfRule>
  </conditionalFormatting>
  <conditionalFormatting sqref="A20">
    <cfRule type="containsBlanks" dxfId="3276" priority="1565">
      <formula>LEN(TRIM(A20))=0</formula>
    </cfRule>
    <cfRule type="containsText" dxfId="3275" priority="1566" operator="containsText" text="NEUTRO">
      <formula>NOT(ISERROR(SEARCH("NEUTRO",A20)))</formula>
    </cfRule>
    <cfRule type="containsText" dxfId="3274" priority="1567" operator="containsText" text="BULLISH">
      <formula>NOT(ISERROR(SEARCH("BULLISH",A20)))</formula>
    </cfRule>
    <cfRule type="containsText" dxfId="3273" priority="1568" operator="containsText" text="BEARISH">
      <formula>NOT(ISERROR(SEARCH("BEARISH",A20)))</formula>
    </cfRule>
  </conditionalFormatting>
  <conditionalFormatting sqref="A24">
    <cfRule type="containsBlanks" dxfId="3272" priority="1561">
      <formula>LEN(TRIM(A24))=0</formula>
    </cfRule>
    <cfRule type="containsText" dxfId="3271" priority="1562" operator="containsText" text="NEUTRO">
      <formula>NOT(ISERROR(SEARCH("NEUTRO",A24)))</formula>
    </cfRule>
    <cfRule type="containsText" dxfId="3270" priority="1563" operator="containsText" text="BULLISH">
      <formula>NOT(ISERROR(SEARCH("BULLISH",A24)))</formula>
    </cfRule>
    <cfRule type="containsText" dxfId="3269" priority="1564" operator="containsText" text="BEARISH">
      <formula>NOT(ISERROR(SEARCH("BEARISH",A24)))</formula>
    </cfRule>
  </conditionalFormatting>
  <conditionalFormatting sqref="A32">
    <cfRule type="containsBlanks" dxfId="3268" priority="1557">
      <formula>LEN(TRIM(A32))=0</formula>
    </cfRule>
    <cfRule type="containsText" dxfId="3267" priority="1558" operator="containsText" text="NEUTRO">
      <formula>NOT(ISERROR(SEARCH("NEUTRO",A32)))</formula>
    </cfRule>
    <cfRule type="containsText" dxfId="3266" priority="1559" operator="containsText" text="BULLISH">
      <formula>NOT(ISERROR(SEARCH("BULLISH",A32)))</formula>
    </cfRule>
    <cfRule type="containsText" dxfId="3265" priority="1560" operator="containsText" text="BEARISH">
      <formula>NOT(ISERROR(SEARCH("BEARISH",A32)))</formula>
    </cfRule>
  </conditionalFormatting>
  <conditionalFormatting sqref="A37">
    <cfRule type="containsBlanks" dxfId="3264" priority="1553">
      <formula>LEN(TRIM(A37))=0</formula>
    </cfRule>
    <cfRule type="containsText" dxfId="3263" priority="1554" operator="containsText" text="NEUTRO">
      <formula>NOT(ISERROR(SEARCH("NEUTRO",A37)))</formula>
    </cfRule>
    <cfRule type="containsText" dxfId="3262" priority="1555" operator="containsText" text="BULLISH">
      <formula>NOT(ISERROR(SEARCH("BULLISH",A37)))</formula>
    </cfRule>
    <cfRule type="containsText" dxfId="3261" priority="1556" operator="containsText" text="BEARISH">
      <formula>NOT(ISERROR(SEARCH("BEARISH",A37)))</formula>
    </cfRule>
  </conditionalFormatting>
  <conditionalFormatting sqref="AW39">
    <cfRule type="cellIs" dxfId="3260" priority="1485" operator="equal">
      <formula>"-"</formula>
    </cfRule>
    <cfRule type="cellIs" dxfId="3259" priority="1486" operator="lessThan">
      <formula>0</formula>
    </cfRule>
    <cfRule type="cellIs" dxfId="3258" priority="1487" operator="greaterThan">
      <formula>0</formula>
    </cfRule>
  </conditionalFormatting>
  <conditionalFormatting sqref="AU12:AW12 AU16:AW16 AU20:AW20 AU24:AW24 AU32:AW32 AU37:AW37 AU2:AW2 B2:S2 B12:S12 B16:S16 B20:S20 B24:S24 B32:S32 B37:S37">
    <cfRule type="notContainsErrors" dxfId="3257" priority="1552">
      <formula>NOT(ISERROR(B2))</formula>
    </cfRule>
  </conditionalFormatting>
  <conditionalFormatting sqref="AW15">
    <cfRule type="colorScale" priority="1551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AW8:AW10">
    <cfRule type="cellIs" dxfId="3256" priority="1548" operator="lessThan">
      <formula>0</formula>
    </cfRule>
    <cfRule type="cellIs" dxfId="3255" priority="1549" operator="greaterThan">
      <formula>0</formula>
    </cfRule>
  </conditionalFormatting>
  <conditionalFormatting sqref="AW8:AW10">
    <cfRule type="cellIs" dxfId="3254" priority="1547" operator="equal">
      <formula>"-"</formula>
    </cfRule>
  </conditionalFormatting>
  <conditionalFormatting sqref="AW11">
    <cfRule type="colorScale" priority="1550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AW3:AW7">
    <cfRule type="cellIs" dxfId="3253" priority="1544" operator="equal">
      <formula>"-"</formula>
    </cfRule>
    <cfRule type="cellIs" dxfId="3252" priority="1545" operator="lessThan">
      <formula>0</formula>
    </cfRule>
    <cfRule type="cellIs" dxfId="3251" priority="1546" operator="greaterThan">
      <formula>0</formula>
    </cfRule>
  </conditionalFormatting>
  <conditionalFormatting sqref="AW27:AW31">
    <cfRule type="cellIs" dxfId="3250" priority="1542" operator="lessThan">
      <formula>0</formula>
    </cfRule>
    <cfRule type="cellIs" dxfId="3249" priority="1543" operator="greaterThan">
      <formula>0</formula>
    </cfRule>
  </conditionalFormatting>
  <conditionalFormatting sqref="AW27:AW31">
    <cfRule type="cellIs" dxfId="3248" priority="1541" operator="equal">
      <formula>"-"</formula>
    </cfRule>
  </conditionalFormatting>
  <conditionalFormatting sqref="AW36">
    <cfRule type="colorScale" priority="1540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AW34:AW35">
    <cfRule type="cellIs" dxfId="3247" priority="1538" operator="lessThan">
      <formula>0</formula>
    </cfRule>
    <cfRule type="cellIs" dxfId="3246" priority="1539" operator="greaterThan">
      <formula>0</formula>
    </cfRule>
  </conditionalFormatting>
  <conditionalFormatting sqref="AW34:AW35">
    <cfRule type="cellIs" dxfId="3245" priority="1537" operator="equal">
      <formula>"-"</formula>
    </cfRule>
  </conditionalFormatting>
  <conditionalFormatting sqref="AU2">
    <cfRule type="containsText" dxfId="3244" priority="1533" operator="containsText" text="NEUTRO">
      <formula>NOT(ISERROR(SEARCH("NEUTRO",AU2)))</formula>
    </cfRule>
    <cfRule type="containsText" dxfId="3243" priority="1534" operator="containsText" text="BULLISH">
      <formula>NOT(ISERROR(SEARCH("BULLISH",AU2)))</formula>
    </cfRule>
    <cfRule type="containsText" dxfId="3242" priority="1535" operator="containsText" text="BEARISH">
      <formula>NOT(ISERROR(SEARCH("BEARISH",AU2)))</formula>
    </cfRule>
    <cfRule type="containsBlanks" dxfId="3241" priority="1536">
      <formula>LEN(TRIM(AU2))=0</formula>
    </cfRule>
  </conditionalFormatting>
  <conditionalFormatting sqref="AU12">
    <cfRule type="containsText" dxfId="3240" priority="1529" operator="containsText" text="NEUTRO">
      <formula>NOT(ISERROR(SEARCH("NEUTRO",AU12)))</formula>
    </cfRule>
    <cfRule type="containsText" dxfId="3239" priority="1530" operator="containsText" text="BULLISH">
      <formula>NOT(ISERROR(SEARCH("BULLISH",AU12)))</formula>
    </cfRule>
    <cfRule type="containsText" dxfId="3238" priority="1531" operator="containsText" text="BEARISH">
      <formula>NOT(ISERROR(SEARCH("BEARISH",AU12)))</formula>
    </cfRule>
    <cfRule type="containsBlanks" dxfId="3237" priority="1532">
      <formula>LEN(TRIM(AU12))=0</formula>
    </cfRule>
  </conditionalFormatting>
  <conditionalFormatting sqref="AU16">
    <cfRule type="containsText" dxfId="3236" priority="1525" operator="containsText" text="NEUTRO">
      <formula>NOT(ISERROR(SEARCH("NEUTRO",AU16)))</formula>
    </cfRule>
    <cfRule type="containsText" dxfId="3235" priority="1526" operator="containsText" text="BULLISH">
      <formula>NOT(ISERROR(SEARCH("BULLISH",AU16)))</formula>
    </cfRule>
    <cfRule type="containsText" dxfId="3234" priority="1527" operator="containsText" text="BEARISH">
      <formula>NOT(ISERROR(SEARCH("BEARISH",AU16)))</formula>
    </cfRule>
    <cfRule type="containsBlanks" dxfId="3233" priority="1528">
      <formula>LEN(TRIM(AU16))=0</formula>
    </cfRule>
  </conditionalFormatting>
  <conditionalFormatting sqref="AU20">
    <cfRule type="containsText" dxfId="3232" priority="1521" operator="containsText" text="NEUTRO">
      <formula>NOT(ISERROR(SEARCH("NEUTRO",AU20)))</formula>
    </cfRule>
    <cfRule type="containsText" dxfId="3231" priority="1522" operator="containsText" text="BULLISH">
      <formula>NOT(ISERROR(SEARCH("BULLISH",AU20)))</formula>
    </cfRule>
    <cfRule type="containsText" dxfId="3230" priority="1523" operator="containsText" text="BEARISH">
      <formula>NOT(ISERROR(SEARCH("BEARISH",AU20)))</formula>
    </cfRule>
    <cfRule type="containsBlanks" dxfId="3229" priority="1524">
      <formula>LEN(TRIM(AU20))=0</formula>
    </cfRule>
  </conditionalFormatting>
  <conditionalFormatting sqref="AU24">
    <cfRule type="containsText" dxfId="3228" priority="1517" operator="containsText" text="NEUTRO">
      <formula>NOT(ISERROR(SEARCH("NEUTRO",AU24)))</formula>
    </cfRule>
    <cfRule type="containsText" dxfId="3227" priority="1518" operator="containsText" text="BULLISH">
      <formula>NOT(ISERROR(SEARCH("BULLISH",AU24)))</formula>
    </cfRule>
    <cfRule type="containsText" dxfId="3226" priority="1519" operator="containsText" text="BEARISH">
      <formula>NOT(ISERROR(SEARCH("BEARISH",AU24)))</formula>
    </cfRule>
    <cfRule type="containsBlanks" dxfId="3225" priority="1520">
      <formula>LEN(TRIM(AU24))=0</formula>
    </cfRule>
  </conditionalFormatting>
  <conditionalFormatting sqref="AU32">
    <cfRule type="containsText" dxfId="3224" priority="1513" operator="containsText" text="NEUTRO">
      <formula>NOT(ISERROR(SEARCH("NEUTRO",AU32)))</formula>
    </cfRule>
    <cfRule type="containsText" dxfId="3223" priority="1514" operator="containsText" text="BULLISH">
      <formula>NOT(ISERROR(SEARCH("BULLISH",AU32)))</formula>
    </cfRule>
    <cfRule type="containsText" dxfId="3222" priority="1515" operator="containsText" text="BEARISH">
      <formula>NOT(ISERROR(SEARCH("BEARISH",AU32)))</formula>
    </cfRule>
    <cfRule type="containsBlanks" dxfId="3221" priority="1516">
      <formula>LEN(TRIM(AU32))=0</formula>
    </cfRule>
  </conditionalFormatting>
  <conditionalFormatting sqref="AU37">
    <cfRule type="containsText" dxfId="3220" priority="1509" operator="containsText" text="NEUTRO">
      <formula>NOT(ISERROR(SEARCH("NEUTRO",AU37)))</formula>
    </cfRule>
    <cfRule type="containsText" dxfId="3219" priority="1510" operator="containsText" text="BULLISH">
      <formula>NOT(ISERROR(SEARCH("BULLISH",AU37)))</formula>
    </cfRule>
    <cfRule type="containsText" dxfId="3218" priority="1511" operator="containsText" text="BEARISH">
      <formula>NOT(ISERROR(SEARCH("BEARISH",AU37)))</formula>
    </cfRule>
    <cfRule type="containsBlanks" dxfId="3217" priority="1512">
      <formula>LEN(TRIM(AU37))=0</formula>
    </cfRule>
  </conditionalFormatting>
  <conditionalFormatting sqref="AW13:AW14">
    <cfRule type="cellIs" dxfId="3216" priority="1506" operator="equal">
      <formula>"-"</formula>
    </cfRule>
    <cfRule type="cellIs" dxfId="3215" priority="1507" operator="lessThan">
      <formula>0</formula>
    </cfRule>
    <cfRule type="cellIs" dxfId="3214" priority="1508" operator="greaterThan">
      <formula>0</formula>
    </cfRule>
  </conditionalFormatting>
  <conditionalFormatting sqref="AW18">
    <cfRule type="cellIs" dxfId="3213" priority="1504" operator="lessThan">
      <formula>0</formula>
    </cfRule>
    <cfRule type="cellIs" dxfId="3212" priority="1505" operator="greaterThan">
      <formula>0</formula>
    </cfRule>
  </conditionalFormatting>
  <conditionalFormatting sqref="AW18">
    <cfRule type="cellIs" dxfId="3211" priority="1503" operator="equal">
      <formula>"-"</formula>
    </cfRule>
  </conditionalFormatting>
  <conditionalFormatting sqref="AW17">
    <cfRule type="cellIs" dxfId="3210" priority="1501" operator="lessThan">
      <formula>0</formula>
    </cfRule>
    <cfRule type="cellIs" dxfId="3209" priority="1502" operator="greaterThan">
      <formula>0</formula>
    </cfRule>
  </conditionalFormatting>
  <conditionalFormatting sqref="AW17">
    <cfRule type="cellIs" dxfId="3208" priority="1500" operator="equal">
      <formula>"-"</formula>
    </cfRule>
  </conditionalFormatting>
  <conditionalFormatting sqref="AW21:AW22">
    <cfRule type="cellIs" dxfId="3207" priority="1497" operator="equal">
      <formula>"-"</formula>
    </cfRule>
    <cfRule type="cellIs" dxfId="3206" priority="1498" operator="lessThan">
      <formula>0</formula>
    </cfRule>
    <cfRule type="cellIs" dxfId="3205" priority="1499" operator="greaterThan">
      <formula>0</formula>
    </cfRule>
  </conditionalFormatting>
  <conditionalFormatting sqref="AW25:AW26">
    <cfRule type="cellIs" dxfId="3204" priority="1494" operator="equal">
      <formula>"-"</formula>
    </cfRule>
    <cfRule type="cellIs" dxfId="3203" priority="1495" operator="lessThan">
      <formula>0</formula>
    </cfRule>
    <cfRule type="cellIs" dxfId="3202" priority="1496" operator="greaterThan">
      <formula>0</formula>
    </cfRule>
  </conditionalFormatting>
  <conditionalFormatting sqref="AW33">
    <cfRule type="cellIs" dxfId="3201" priority="1491" operator="equal">
      <formula>"-"</formula>
    </cfRule>
    <cfRule type="cellIs" dxfId="3200" priority="1492" operator="lessThan">
      <formula>0</formula>
    </cfRule>
    <cfRule type="cellIs" dxfId="3199" priority="1493" operator="greaterThan">
      <formula>0</formula>
    </cfRule>
  </conditionalFormatting>
  <conditionalFormatting sqref="AW38">
    <cfRule type="cellIs" dxfId="3198" priority="1488" operator="equal">
      <formula>"-"</formula>
    </cfRule>
    <cfRule type="cellIs" dxfId="3197" priority="1489" operator="lessThan">
      <formula>0</formula>
    </cfRule>
    <cfRule type="cellIs" dxfId="3196" priority="1490" operator="greaterThan">
      <formula>0</formula>
    </cfRule>
  </conditionalFormatting>
  <conditionalFormatting sqref="AR2:AT2">
    <cfRule type="notContainsErrors" dxfId="3195" priority="1445">
      <formula>NOT(ISERROR(AR2))</formula>
    </cfRule>
  </conditionalFormatting>
  <conditionalFormatting sqref="AR2">
    <cfRule type="containsText" dxfId="3194" priority="1441" operator="containsText" text="NEUTRO">
      <formula>NOT(ISERROR(SEARCH("NEUTRO",AR2)))</formula>
    </cfRule>
    <cfRule type="containsText" dxfId="3193" priority="1442" operator="containsText" text="BULLISH">
      <formula>NOT(ISERROR(SEARCH("BULLISH",AR2)))</formula>
    </cfRule>
    <cfRule type="containsText" dxfId="3192" priority="1443" operator="containsText" text="BEARISH">
      <formula>NOT(ISERROR(SEARCH("BEARISH",AR2)))</formula>
    </cfRule>
    <cfRule type="containsBlanks" dxfId="3191" priority="1444">
      <formula>LEN(TRIM(AR2))=0</formula>
    </cfRule>
  </conditionalFormatting>
  <conditionalFormatting sqref="AT39">
    <cfRule type="cellIs" dxfId="3190" priority="1446" operator="equal">
      <formula>"-"</formula>
    </cfRule>
    <cfRule type="cellIs" dxfId="3189" priority="1447" operator="lessThan">
      <formula>0</formula>
    </cfRule>
    <cfRule type="cellIs" dxfId="3188" priority="1448" operator="greaterThan">
      <formula>0</formula>
    </cfRule>
  </conditionalFormatting>
  <conditionalFormatting sqref="AT15">
    <cfRule type="colorScale" priority="1484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AT8:AT10">
    <cfRule type="cellIs" dxfId="3187" priority="1481" operator="lessThan">
      <formula>0</formula>
    </cfRule>
    <cfRule type="cellIs" dxfId="3186" priority="1482" operator="greaterThan">
      <formula>0</formula>
    </cfRule>
  </conditionalFormatting>
  <conditionalFormatting sqref="AT8:AT10">
    <cfRule type="cellIs" dxfId="3185" priority="1480" operator="equal">
      <formula>"-"</formula>
    </cfRule>
  </conditionalFormatting>
  <conditionalFormatting sqref="AT11">
    <cfRule type="colorScale" priority="1483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AT3:AT7">
    <cfRule type="cellIs" dxfId="3184" priority="1477" operator="equal">
      <formula>"-"</formula>
    </cfRule>
    <cfRule type="cellIs" dxfId="3183" priority="1478" operator="lessThan">
      <formula>0</formula>
    </cfRule>
    <cfRule type="cellIs" dxfId="3182" priority="1479" operator="greaterThan">
      <formula>0</formula>
    </cfRule>
  </conditionalFormatting>
  <conditionalFormatting sqref="AT27:AT31">
    <cfRule type="cellIs" dxfId="3181" priority="1475" operator="lessThan">
      <formula>0</formula>
    </cfRule>
    <cfRule type="cellIs" dxfId="3180" priority="1476" operator="greaterThan">
      <formula>0</formula>
    </cfRule>
  </conditionalFormatting>
  <conditionalFormatting sqref="AT27:AT31">
    <cfRule type="cellIs" dxfId="3179" priority="1474" operator="equal">
      <formula>"-"</formula>
    </cfRule>
  </conditionalFormatting>
  <conditionalFormatting sqref="AT36">
    <cfRule type="colorScale" priority="1473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AT34:AT35">
    <cfRule type="cellIs" dxfId="3178" priority="1471" operator="lessThan">
      <formula>0</formula>
    </cfRule>
    <cfRule type="cellIs" dxfId="3177" priority="1472" operator="greaterThan">
      <formula>0</formula>
    </cfRule>
  </conditionalFormatting>
  <conditionalFormatting sqref="AT34:AT35">
    <cfRule type="cellIs" dxfId="3176" priority="1470" operator="equal">
      <formula>"-"</formula>
    </cfRule>
  </conditionalFormatting>
  <conditionalFormatting sqref="AT13:AT14">
    <cfRule type="cellIs" dxfId="3175" priority="1467" operator="equal">
      <formula>"-"</formula>
    </cfRule>
    <cfRule type="cellIs" dxfId="3174" priority="1468" operator="lessThan">
      <formula>0</formula>
    </cfRule>
    <cfRule type="cellIs" dxfId="3173" priority="1469" operator="greaterThan">
      <formula>0</formula>
    </cfRule>
  </conditionalFormatting>
  <conditionalFormatting sqref="AT18">
    <cfRule type="cellIs" dxfId="3172" priority="1465" operator="lessThan">
      <formula>0</formula>
    </cfRule>
    <cfRule type="cellIs" dxfId="3171" priority="1466" operator="greaterThan">
      <formula>0</formula>
    </cfRule>
  </conditionalFormatting>
  <conditionalFormatting sqref="AT18">
    <cfRule type="cellIs" dxfId="3170" priority="1464" operator="equal">
      <formula>"-"</formula>
    </cfRule>
  </conditionalFormatting>
  <conditionalFormatting sqref="AT17">
    <cfRule type="cellIs" dxfId="3169" priority="1462" operator="lessThan">
      <formula>0</formula>
    </cfRule>
    <cfRule type="cellIs" dxfId="3168" priority="1463" operator="greaterThan">
      <formula>0</formula>
    </cfRule>
  </conditionalFormatting>
  <conditionalFormatting sqref="AT17">
    <cfRule type="cellIs" dxfId="3167" priority="1461" operator="equal">
      <formula>"-"</formula>
    </cfRule>
  </conditionalFormatting>
  <conditionalFormatting sqref="AT21:AT22">
    <cfRule type="cellIs" dxfId="3166" priority="1458" operator="equal">
      <formula>"-"</formula>
    </cfRule>
    <cfRule type="cellIs" dxfId="3165" priority="1459" operator="lessThan">
      <formula>0</formula>
    </cfRule>
    <cfRule type="cellIs" dxfId="3164" priority="1460" operator="greaterThan">
      <formula>0</formula>
    </cfRule>
  </conditionalFormatting>
  <conditionalFormatting sqref="AT25:AT26">
    <cfRule type="cellIs" dxfId="3163" priority="1455" operator="equal">
      <formula>"-"</formula>
    </cfRule>
    <cfRule type="cellIs" dxfId="3162" priority="1456" operator="lessThan">
      <formula>0</formula>
    </cfRule>
    <cfRule type="cellIs" dxfId="3161" priority="1457" operator="greaterThan">
      <formula>0</formula>
    </cfRule>
  </conditionalFormatting>
  <conditionalFormatting sqref="AT33">
    <cfRule type="cellIs" dxfId="3160" priority="1452" operator="equal">
      <formula>"-"</formula>
    </cfRule>
    <cfRule type="cellIs" dxfId="3159" priority="1453" operator="lessThan">
      <formula>0</formula>
    </cfRule>
    <cfRule type="cellIs" dxfId="3158" priority="1454" operator="greaterThan">
      <formula>0</formula>
    </cfRule>
  </conditionalFormatting>
  <conditionalFormatting sqref="AT38">
    <cfRule type="cellIs" dxfId="3157" priority="1449" operator="equal">
      <formula>"-"</formula>
    </cfRule>
    <cfRule type="cellIs" dxfId="3156" priority="1450" operator="lessThan">
      <formula>0</formula>
    </cfRule>
    <cfRule type="cellIs" dxfId="3155" priority="1451" operator="greaterThan">
      <formula>0</formula>
    </cfRule>
  </conditionalFormatting>
  <conditionalFormatting sqref="AR24:AT24">
    <cfRule type="notContainsErrors" dxfId="3154" priority="1425">
      <formula>NOT(ISERROR(AR24))</formula>
    </cfRule>
  </conditionalFormatting>
  <conditionalFormatting sqref="AR12:AT12">
    <cfRule type="notContainsErrors" dxfId="3153" priority="1440">
      <formula>NOT(ISERROR(AR12))</formula>
    </cfRule>
  </conditionalFormatting>
  <conditionalFormatting sqref="AR12">
    <cfRule type="containsText" dxfId="3152" priority="1436" operator="containsText" text="NEUTRO">
      <formula>NOT(ISERROR(SEARCH("NEUTRO",AR12)))</formula>
    </cfRule>
    <cfRule type="containsText" dxfId="3151" priority="1437" operator="containsText" text="BULLISH">
      <formula>NOT(ISERROR(SEARCH("BULLISH",AR12)))</formula>
    </cfRule>
    <cfRule type="containsText" dxfId="3150" priority="1438" operator="containsText" text="BEARISH">
      <formula>NOT(ISERROR(SEARCH("BEARISH",AR12)))</formula>
    </cfRule>
    <cfRule type="containsBlanks" dxfId="3149" priority="1439">
      <formula>LEN(TRIM(AR12))=0</formula>
    </cfRule>
  </conditionalFormatting>
  <conditionalFormatting sqref="AR16:AT16">
    <cfRule type="notContainsErrors" dxfId="3148" priority="1435">
      <formula>NOT(ISERROR(AR16))</formula>
    </cfRule>
  </conditionalFormatting>
  <conditionalFormatting sqref="AR16">
    <cfRule type="containsText" dxfId="3147" priority="1431" operator="containsText" text="NEUTRO">
      <formula>NOT(ISERROR(SEARCH("NEUTRO",AR16)))</formula>
    </cfRule>
    <cfRule type="containsText" dxfId="3146" priority="1432" operator="containsText" text="BULLISH">
      <formula>NOT(ISERROR(SEARCH("BULLISH",AR16)))</formula>
    </cfRule>
    <cfRule type="containsText" dxfId="3145" priority="1433" operator="containsText" text="BEARISH">
      <formula>NOT(ISERROR(SEARCH("BEARISH",AR16)))</formula>
    </cfRule>
    <cfRule type="containsBlanks" dxfId="3144" priority="1434">
      <formula>LEN(TRIM(AR16))=0</formula>
    </cfRule>
  </conditionalFormatting>
  <conditionalFormatting sqref="AR20:AT20">
    <cfRule type="notContainsErrors" dxfId="3143" priority="1430">
      <formula>NOT(ISERROR(AR20))</formula>
    </cfRule>
  </conditionalFormatting>
  <conditionalFormatting sqref="AR20">
    <cfRule type="containsText" dxfId="3142" priority="1426" operator="containsText" text="NEUTRO">
      <formula>NOT(ISERROR(SEARCH("NEUTRO",AR20)))</formula>
    </cfRule>
    <cfRule type="containsText" dxfId="3141" priority="1427" operator="containsText" text="BULLISH">
      <formula>NOT(ISERROR(SEARCH("BULLISH",AR20)))</formula>
    </cfRule>
    <cfRule type="containsText" dxfId="3140" priority="1428" operator="containsText" text="BEARISH">
      <formula>NOT(ISERROR(SEARCH("BEARISH",AR20)))</formula>
    </cfRule>
    <cfRule type="containsBlanks" dxfId="3139" priority="1429">
      <formula>LEN(TRIM(AR20))=0</formula>
    </cfRule>
  </conditionalFormatting>
  <conditionalFormatting sqref="AR24">
    <cfRule type="containsText" dxfId="3138" priority="1421" operator="containsText" text="NEUTRO">
      <formula>NOT(ISERROR(SEARCH("NEUTRO",AR24)))</formula>
    </cfRule>
    <cfRule type="containsText" dxfId="3137" priority="1422" operator="containsText" text="BULLISH">
      <formula>NOT(ISERROR(SEARCH("BULLISH",AR24)))</formula>
    </cfRule>
    <cfRule type="containsText" dxfId="3136" priority="1423" operator="containsText" text="BEARISH">
      <formula>NOT(ISERROR(SEARCH("BEARISH",AR24)))</formula>
    </cfRule>
    <cfRule type="containsBlanks" dxfId="3135" priority="1424">
      <formula>LEN(TRIM(AR24))=0</formula>
    </cfRule>
  </conditionalFormatting>
  <conditionalFormatting sqref="AR32:AT32">
    <cfRule type="notContainsErrors" dxfId="3134" priority="1420">
      <formula>NOT(ISERROR(AR32))</formula>
    </cfRule>
  </conditionalFormatting>
  <conditionalFormatting sqref="AR32">
    <cfRule type="containsText" dxfId="3133" priority="1416" operator="containsText" text="NEUTRO">
      <formula>NOT(ISERROR(SEARCH("NEUTRO",AR32)))</formula>
    </cfRule>
    <cfRule type="containsText" dxfId="3132" priority="1417" operator="containsText" text="BULLISH">
      <formula>NOT(ISERROR(SEARCH("BULLISH",AR32)))</formula>
    </cfRule>
    <cfRule type="containsText" dxfId="3131" priority="1418" operator="containsText" text="BEARISH">
      <formula>NOT(ISERROR(SEARCH("BEARISH",AR32)))</formula>
    </cfRule>
    <cfRule type="containsBlanks" dxfId="3130" priority="1419">
      <formula>LEN(TRIM(AR32))=0</formula>
    </cfRule>
  </conditionalFormatting>
  <conditionalFormatting sqref="AR37:AT37">
    <cfRule type="notContainsErrors" dxfId="3129" priority="1415">
      <formula>NOT(ISERROR(AR37))</formula>
    </cfRule>
  </conditionalFormatting>
  <conditionalFormatting sqref="AR37">
    <cfRule type="containsText" dxfId="3128" priority="1411" operator="containsText" text="NEUTRO">
      <formula>NOT(ISERROR(SEARCH("NEUTRO",AR37)))</formula>
    </cfRule>
    <cfRule type="containsText" dxfId="3127" priority="1412" operator="containsText" text="BULLISH">
      <formula>NOT(ISERROR(SEARCH("BULLISH",AR37)))</formula>
    </cfRule>
    <cfRule type="containsText" dxfId="3126" priority="1413" operator="containsText" text="BEARISH">
      <formula>NOT(ISERROR(SEARCH("BEARISH",AR37)))</formula>
    </cfRule>
    <cfRule type="containsBlanks" dxfId="3125" priority="1414">
      <formula>LEN(TRIM(AR37))=0</formula>
    </cfRule>
  </conditionalFormatting>
  <conditionalFormatting sqref="AQ39">
    <cfRule type="cellIs" dxfId="3124" priority="1372" operator="equal">
      <formula>"-"</formula>
    </cfRule>
    <cfRule type="cellIs" dxfId="3123" priority="1373" operator="lessThan">
      <formula>0</formula>
    </cfRule>
    <cfRule type="cellIs" dxfId="3122" priority="1374" operator="greaterThan">
      <formula>0</formula>
    </cfRule>
  </conditionalFormatting>
  <conditionalFormatting sqref="AQ15">
    <cfRule type="colorScale" priority="1410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AQ8:AQ10">
    <cfRule type="cellIs" dxfId="3121" priority="1407" operator="lessThan">
      <formula>0</formula>
    </cfRule>
    <cfRule type="cellIs" dxfId="3120" priority="1408" operator="greaterThan">
      <formula>0</formula>
    </cfRule>
  </conditionalFormatting>
  <conditionalFormatting sqref="AQ8:AQ10">
    <cfRule type="cellIs" dxfId="3119" priority="1406" operator="equal">
      <formula>"-"</formula>
    </cfRule>
  </conditionalFormatting>
  <conditionalFormatting sqref="AQ11">
    <cfRule type="colorScale" priority="1409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AQ3:AQ7">
    <cfRule type="cellIs" dxfId="3118" priority="1403" operator="equal">
      <formula>"-"</formula>
    </cfRule>
    <cfRule type="cellIs" dxfId="3117" priority="1404" operator="lessThan">
      <formula>0</formula>
    </cfRule>
    <cfRule type="cellIs" dxfId="3116" priority="1405" operator="greaterThan">
      <formula>0</formula>
    </cfRule>
  </conditionalFormatting>
  <conditionalFormatting sqref="AQ27:AQ31">
    <cfRule type="cellIs" dxfId="3115" priority="1401" operator="lessThan">
      <formula>0</formula>
    </cfRule>
    <cfRule type="cellIs" dxfId="3114" priority="1402" operator="greaterThan">
      <formula>0</formula>
    </cfRule>
  </conditionalFormatting>
  <conditionalFormatting sqref="AQ27:AQ31">
    <cfRule type="cellIs" dxfId="3113" priority="1400" operator="equal">
      <formula>"-"</formula>
    </cfRule>
  </conditionalFormatting>
  <conditionalFormatting sqref="AQ36">
    <cfRule type="colorScale" priority="1399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AQ34:AQ35">
    <cfRule type="cellIs" dxfId="3112" priority="1397" operator="lessThan">
      <formula>0</formula>
    </cfRule>
    <cfRule type="cellIs" dxfId="3111" priority="1398" operator="greaterThan">
      <formula>0</formula>
    </cfRule>
  </conditionalFormatting>
  <conditionalFormatting sqref="AQ34:AQ35">
    <cfRule type="cellIs" dxfId="3110" priority="1396" operator="equal">
      <formula>"-"</formula>
    </cfRule>
  </conditionalFormatting>
  <conditionalFormatting sqref="AQ13:AQ14">
    <cfRule type="cellIs" dxfId="3109" priority="1393" operator="equal">
      <formula>"-"</formula>
    </cfRule>
    <cfRule type="cellIs" dxfId="3108" priority="1394" operator="lessThan">
      <formula>0</formula>
    </cfRule>
    <cfRule type="cellIs" dxfId="3107" priority="1395" operator="greaterThan">
      <formula>0</formula>
    </cfRule>
  </conditionalFormatting>
  <conditionalFormatting sqref="AQ18">
    <cfRule type="cellIs" dxfId="3106" priority="1391" operator="lessThan">
      <formula>0</formula>
    </cfRule>
    <cfRule type="cellIs" dxfId="3105" priority="1392" operator="greaterThan">
      <formula>0</formula>
    </cfRule>
  </conditionalFormatting>
  <conditionalFormatting sqref="AQ18">
    <cfRule type="cellIs" dxfId="3104" priority="1390" operator="equal">
      <formula>"-"</formula>
    </cfRule>
  </conditionalFormatting>
  <conditionalFormatting sqref="AQ17">
    <cfRule type="cellIs" dxfId="3103" priority="1388" operator="lessThan">
      <formula>0</formula>
    </cfRule>
    <cfRule type="cellIs" dxfId="3102" priority="1389" operator="greaterThan">
      <formula>0</formula>
    </cfRule>
  </conditionalFormatting>
  <conditionalFormatting sqref="AQ17">
    <cfRule type="cellIs" dxfId="3101" priority="1387" operator="equal">
      <formula>"-"</formula>
    </cfRule>
  </conditionalFormatting>
  <conditionalFormatting sqref="AQ21:AQ22">
    <cfRule type="cellIs" dxfId="3100" priority="1384" operator="equal">
      <formula>"-"</formula>
    </cfRule>
    <cfRule type="cellIs" dxfId="3099" priority="1385" operator="lessThan">
      <formula>0</formula>
    </cfRule>
    <cfRule type="cellIs" dxfId="3098" priority="1386" operator="greaterThan">
      <formula>0</formula>
    </cfRule>
  </conditionalFormatting>
  <conditionalFormatting sqref="AQ25:AQ26">
    <cfRule type="cellIs" dxfId="3097" priority="1381" operator="equal">
      <formula>"-"</formula>
    </cfRule>
    <cfRule type="cellIs" dxfId="3096" priority="1382" operator="lessThan">
      <formula>0</formula>
    </cfRule>
    <cfRule type="cellIs" dxfId="3095" priority="1383" operator="greaterThan">
      <formula>0</formula>
    </cfRule>
  </conditionalFormatting>
  <conditionalFormatting sqref="AQ33">
    <cfRule type="cellIs" dxfId="3094" priority="1378" operator="equal">
      <formula>"-"</formula>
    </cfRule>
    <cfRule type="cellIs" dxfId="3093" priority="1379" operator="lessThan">
      <formula>0</formula>
    </cfRule>
    <cfRule type="cellIs" dxfId="3092" priority="1380" operator="greaterThan">
      <formula>0</formula>
    </cfRule>
  </conditionalFormatting>
  <conditionalFormatting sqref="AQ38">
    <cfRule type="cellIs" dxfId="3091" priority="1375" operator="equal">
      <formula>"-"</formula>
    </cfRule>
    <cfRule type="cellIs" dxfId="3090" priority="1376" operator="lessThan">
      <formula>0</formula>
    </cfRule>
    <cfRule type="cellIs" dxfId="3089" priority="1377" operator="greaterThan">
      <formula>0</formula>
    </cfRule>
  </conditionalFormatting>
  <conditionalFormatting sqref="AO2:AQ2">
    <cfRule type="notContainsErrors" dxfId="3088" priority="1371">
      <formula>NOT(ISERROR(AO2))</formula>
    </cfRule>
  </conditionalFormatting>
  <conditionalFormatting sqref="AO2">
    <cfRule type="containsText" dxfId="3087" priority="1367" operator="containsText" text="NEUTRO">
      <formula>NOT(ISERROR(SEARCH("NEUTRO",AO2)))</formula>
    </cfRule>
    <cfRule type="containsText" dxfId="3086" priority="1368" operator="containsText" text="BULLISH">
      <formula>NOT(ISERROR(SEARCH("BULLISH",AO2)))</formula>
    </cfRule>
    <cfRule type="containsText" dxfId="3085" priority="1369" operator="containsText" text="BEARISH">
      <formula>NOT(ISERROR(SEARCH("BEARISH",AO2)))</formula>
    </cfRule>
    <cfRule type="containsBlanks" dxfId="3084" priority="1370">
      <formula>LEN(TRIM(AO2))=0</formula>
    </cfRule>
  </conditionalFormatting>
  <conditionalFormatting sqref="AO12:AQ12">
    <cfRule type="notContainsErrors" dxfId="3083" priority="1366">
      <formula>NOT(ISERROR(AO12))</formula>
    </cfRule>
  </conditionalFormatting>
  <conditionalFormatting sqref="AO12">
    <cfRule type="containsText" dxfId="3082" priority="1362" operator="containsText" text="NEUTRO">
      <formula>NOT(ISERROR(SEARCH("NEUTRO",AO12)))</formula>
    </cfRule>
    <cfRule type="containsText" dxfId="3081" priority="1363" operator="containsText" text="BULLISH">
      <formula>NOT(ISERROR(SEARCH("BULLISH",AO12)))</formula>
    </cfRule>
    <cfRule type="containsText" dxfId="3080" priority="1364" operator="containsText" text="BEARISH">
      <formula>NOT(ISERROR(SEARCH("BEARISH",AO12)))</formula>
    </cfRule>
    <cfRule type="containsBlanks" dxfId="3079" priority="1365">
      <formula>LEN(TRIM(AO12))=0</formula>
    </cfRule>
  </conditionalFormatting>
  <conditionalFormatting sqref="AO16:AQ16">
    <cfRule type="notContainsErrors" dxfId="3078" priority="1361">
      <formula>NOT(ISERROR(AO16))</formula>
    </cfRule>
  </conditionalFormatting>
  <conditionalFormatting sqref="AO16">
    <cfRule type="containsText" dxfId="3077" priority="1357" operator="containsText" text="NEUTRO">
      <formula>NOT(ISERROR(SEARCH("NEUTRO",AO16)))</formula>
    </cfRule>
    <cfRule type="containsText" dxfId="3076" priority="1358" operator="containsText" text="BULLISH">
      <formula>NOT(ISERROR(SEARCH("BULLISH",AO16)))</formula>
    </cfRule>
    <cfRule type="containsText" dxfId="3075" priority="1359" operator="containsText" text="BEARISH">
      <formula>NOT(ISERROR(SEARCH("BEARISH",AO16)))</formula>
    </cfRule>
    <cfRule type="containsBlanks" dxfId="3074" priority="1360">
      <formula>LEN(TRIM(AO16))=0</formula>
    </cfRule>
  </conditionalFormatting>
  <conditionalFormatting sqref="AO20:AQ20">
    <cfRule type="notContainsErrors" dxfId="3073" priority="1356">
      <formula>NOT(ISERROR(AO20))</formula>
    </cfRule>
  </conditionalFormatting>
  <conditionalFormatting sqref="AO20">
    <cfRule type="containsText" dxfId="3072" priority="1352" operator="containsText" text="NEUTRO">
      <formula>NOT(ISERROR(SEARCH("NEUTRO",AO20)))</formula>
    </cfRule>
    <cfRule type="containsText" dxfId="3071" priority="1353" operator="containsText" text="BULLISH">
      <formula>NOT(ISERROR(SEARCH("BULLISH",AO20)))</formula>
    </cfRule>
    <cfRule type="containsText" dxfId="3070" priority="1354" operator="containsText" text="BEARISH">
      <formula>NOT(ISERROR(SEARCH("BEARISH",AO20)))</formula>
    </cfRule>
    <cfRule type="containsBlanks" dxfId="3069" priority="1355">
      <formula>LEN(TRIM(AO20))=0</formula>
    </cfRule>
  </conditionalFormatting>
  <conditionalFormatting sqref="AO24:AQ24">
    <cfRule type="notContainsErrors" dxfId="3068" priority="1351">
      <formula>NOT(ISERROR(AO24))</formula>
    </cfRule>
  </conditionalFormatting>
  <conditionalFormatting sqref="AO24">
    <cfRule type="containsText" dxfId="3067" priority="1347" operator="containsText" text="NEUTRO">
      <formula>NOT(ISERROR(SEARCH("NEUTRO",AO24)))</formula>
    </cfRule>
    <cfRule type="containsText" dxfId="3066" priority="1348" operator="containsText" text="BULLISH">
      <formula>NOT(ISERROR(SEARCH("BULLISH",AO24)))</formula>
    </cfRule>
    <cfRule type="containsText" dxfId="3065" priority="1349" operator="containsText" text="BEARISH">
      <formula>NOT(ISERROR(SEARCH("BEARISH",AO24)))</formula>
    </cfRule>
    <cfRule type="containsBlanks" dxfId="3064" priority="1350">
      <formula>LEN(TRIM(AO24))=0</formula>
    </cfRule>
  </conditionalFormatting>
  <conditionalFormatting sqref="AO32:AQ32">
    <cfRule type="notContainsErrors" dxfId="3063" priority="1346">
      <formula>NOT(ISERROR(AO32))</formula>
    </cfRule>
  </conditionalFormatting>
  <conditionalFormatting sqref="AO32">
    <cfRule type="containsText" dxfId="3062" priority="1342" operator="containsText" text="NEUTRO">
      <formula>NOT(ISERROR(SEARCH("NEUTRO",AO32)))</formula>
    </cfRule>
    <cfRule type="containsText" dxfId="3061" priority="1343" operator="containsText" text="BULLISH">
      <formula>NOT(ISERROR(SEARCH("BULLISH",AO32)))</formula>
    </cfRule>
    <cfRule type="containsText" dxfId="3060" priority="1344" operator="containsText" text="BEARISH">
      <formula>NOT(ISERROR(SEARCH("BEARISH",AO32)))</formula>
    </cfRule>
    <cfRule type="containsBlanks" dxfId="3059" priority="1345">
      <formula>LEN(TRIM(AO32))=0</formula>
    </cfRule>
  </conditionalFormatting>
  <conditionalFormatting sqref="AO37:AQ37">
    <cfRule type="notContainsErrors" dxfId="3058" priority="1341">
      <formula>NOT(ISERROR(AO37))</formula>
    </cfRule>
  </conditionalFormatting>
  <conditionalFormatting sqref="AO37">
    <cfRule type="containsText" dxfId="3057" priority="1337" operator="containsText" text="NEUTRO">
      <formula>NOT(ISERROR(SEARCH("NEUTRO",AO37)))</formula>
    </cfRule>
    <cfRule type="containsText" dxfId="3056" priority="1338" operator="containsText" text="BULLISH">
      <formula>NOT(ISERROR(SEARCH("BULLISH",AO37)))</formula>
    </cfRule>
    <cfRule type="containsText" dxfId="3055" priority="1339" operator="containsText" text="BEARISH">
      <formula>NOT(ISERROR(SEARCH("BEARISH",AO37)))</formula>
    </cfRule>
    <cfRule type="containsBlanks" dxfId="3054" priority="1340">
      <formula>LEN(TRIM(AO37))=0</formula>
    </cfRule>
  </conditionalFormatting>
  <conditionalFormatting sqref="AN39">
    <cfRule type="cellIs" dxfId="3053" priority="1298" operator="equal">
      <formula>"-"</formula>
    </cfRule>
    <cfRule type="cellIs" dxfId="3052" priority="1299" operator="lessThan">
      <formula>0</formula>
    </cfRule>
    <cfRule type="cellIs" dxfId="3051" priority="1300" operator="greaterThan">
      <formula>0</formula>
    </cfRule>
  </conditionalFormatting>
  <conditionalFormatting sqref="AN15">
    <cfRule type="colorScale" priority="1336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AN8:AN10">
    <cfRule type="cellIs" dxfId="3050" priority="1333" operator="lessThan">
      <formula>0</formula>
    </cfRule>
    <cfRule type="cellIs" dxfId="3049" priority="1334" operator="greaterThan">
      <formula>0</formula>
    </cfRule>
  </conditionalFormatting>
  <conditionalFormatting sqref="AN8:AN10">
    <cfRule type="cellIs" dxfId="3048" priority="1332" operator="equal">
      <formula>"-"</formula>
    </cfRule>
  </conditionalFormatting>
  <conditionalFormatting sqref="AN11">
    <cfRule type="colorScale" priority="1335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AN3:AN7">
    <cfRule type="cellIs" dxfId="3047" priority="1329" operator="equal">
      <formula>"-"</formula>
    </cfRule>
    <cfRule type="cellIs" dxfId="3046" priority="1330" operator="lessThan">
      <formula>0</formula>
    </cfRule>
    <cfRule type="cellIs" dxfId="3045" priority="1331" operator="greaterThan">
      <formula>0</formula>
    </cfRule>
  </conditionalFormatting>
  <conditionalFormatting sqref="AN27:AN31">
    <cfRule type="cellIs" dxfId="3044" priority="1327" operator="lessThan">
      <formula>0</formula>
    </cfRule>
    <cfRule type="cellIs" dxfId="3043" priority="1328" operator="greaterThan">
      <formula>0</formula>
    </cfRule>
  </conditionalFormatting>
  <conditionalFormatting sqref="AN27:AN31">
    <cfRule type="cellIs" dxfId="3042" priority="1326" operator="equal">
      <formula>"-"</formula>
    </cfRule>
  </conditionalFormatting>
  <conditionalFormatting sqref="AN36">
    <cfRule type="colorScale" priority="1325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AN34:AN35">
    <cfRule type="cellIs" dxfId="3041" priority="1323" operator="lessThan">
      <formula>0</formula>
    </cfRule>
    <cfRule type="cellIs" dxfId="3040" priority="1324" operator="greaterThan">
      <formula>0</formula>
    </cfRule>
  </conditionalFormatting>
  <conditionalFormatting sqref="AN34:AN35">
    <cfRule type="cellIs" dxfId="3039" priority="1322" operator="equal">
      <formula>"-"</formula>
    </cfRule>
  </conditionalFormatting>
  <conditionalFormatting sqref="AN13:AN14">
    <cfRule type="cellIs" dxfId="3038" priority="1319" operator="equal">
      <formula>"-"</formula>
    </cfRule>
    <cfRule type="cellIs" dxfId="3037" priority="1320" operator="lessThan">
      <formula>0</formula>
    </cfRule>
    <cfRule type="cellIs" dxfId="3036" priority="1321" operator="greaterThan">
      <formula>0</formula>
    </cfRule>
  </conditionalFormatting>
  <conditionalFormatting sqref="AN18">
    <cfRule type="cellIs" dxfId="3035" priority="1317" operator="lessThan">
      <formula>0</formula>
    </cfRule>
    <cfRule type="cellIs" dxfId="3034" priority="1318" operator="greaterThan">
      <formula>0</formula>
    </cfRule>
  </conditionalFormatting>
  <conditionalFormatting sqref="AN18">
    <cfRule type="cellIs" dxfId="3033" priority="1316" operator="equal">
      <formula>"-"</formula>
    </cfRule>
  </conditionalFormatting>
  <conditionalFormatting sqref="AN17">
    <cfRule type="cellIs" dxfId="3032" priority="1314" operator="lessThan">
      <formula>0</formula>
    </cfRule>
    <cfRule type="cellIs" dxfId="3031" priority="1315" operator="greaterThan">
      <formula>0</formula>
    </cfRule>
  </conditionalFormatting>
  <conditionalFormatting sqref="AN17">
    <cfRule type="cellIs" dxfId="3030" priority="1313" operator="equal">
      <formula>"-"</formula>
    </cfRule>
  </conditionalFormatting>
  <conditionalFormatting sqref="AN21:AN22">
    <cfRule type="cellIs" dxfId="3029" priority="1310" operator="equal">
      <formula>"-"</formula>
    </cfRule>
    <cfRule type="cellIs" dxfId="3028" priority="1311" operator="lessThan">
      <formula>0</formula>
    </cfRule>
    <cfRule type="cellIs" dxfId="3027" priority="1312" operator="greaterThan">
      <formula>0</formula>
    </cfRule>
  </conditionalFormatting>
  <conditionalFormatting sqref="AN25:AN26">
    <cfRule type="cellIs" dxfId="3026" priority="1307" operator="equal">
      <formula>"-"</formula>
    </cfRule>
    <cfRule type="cellIs" dxfId="3025" priority="1308" operator="lessThan">
      <formula>0</formula>
    </cfRule>
    <cfRule type="cellIs" dxfId="3024" priority="1309" operator="greaterThan">
      <formula>0</formula>
    </cfRule>
  </conditionalFormatting>
  <conditionalFormatting sqref="AN33">
    <cfRule type="cellIs" dxfId="3023" priority="1304" operator="equal">
      <formula>"-"</formula>
    </cfRule>
    <cfRule type="cellIs" dxfId="3022" priority="1305" operator="lessThan">
      <formula>0</formula>
    </cfRule>
    <cfRule type="cellIs" dxfId="3021" priority="1306" operator="greaterThan">
      <formula>0</formula>
    </cfRule>
  </conditionalFormatting>
  <conditionalFormatting sqref="AN38">
    <cfRule type="cellIs" dxfId="3020" priority="1301" operator="equal">
      <formula>"-"</formula>
    </cfRule>
    <cfRule type="cellIs" dxfId="3019" priority="1302" operator="lessThan">
      <formula>0</formula>
    </cfRule>
    <cfRule type="cellIs" dxfId="3018" priority="1303" operator="greaterThan">
      <formula>0</formula>
    </cfRule>
  </conditionalFormatting>
  <conditionalFormatting sqref="AL2:AN2">
    <cfRule type="notContainsErrors" dxfId="3017" priority="1297">
      <formula>NOT(ISERROR(AL2))</formula>
    </cfRule>
  </conditionalFormatting>
  <conditionalFormatting sqref="AL2">
    <cfRule type="containsText" dxfId="3016" priority="1293" operator="containsText" text="NEUTRO">
      <formula>NOT(ISERROR(SEARCH("NEUTRO",AL2)))</formula>
    </cfRule>
    <cfRule type="containsText" dxfId="3015" priority="1294" operator="containsText" text="BULLISH">
      <formula>NOT(ISERROR(SEARCH("BULLISH",AL2)))</formula>
    </cfRule>
    <cfRule type="containsText" dxfId="3014" priority="1295" operator="containsText" text="BEARISH">
      <formula>NOT(ISERROR(SEARCH("BEARISH",AL2)))</formula>
    </cfRule>
    <cfRule type="containsBlanks" dxfId="3013" priority="1296">
      <formula>LEN(TRIM(AL2))=0</formula>
    </cfRule>
  </conditionalFormatting>
  <conditionalFormatting sqref="AL12:AN12">
    <cfRule type="notContainsErrors" dxfId="3012" priority="1292">
      <formula>NOT(ISERROR(AL12))</formula>
    </cfRule>
  </conditionalFormatting>
  <conditionalFormatting sqref="AL12">
    <cfRule type="containsText" dxfId="3011" priority="1288" operator="containsText" text="NEUTRO">
      <formula>NOT(ISERROR(SEARCH("NEUTRO",AL12)))</formula>
    </cfRule>
    <cfRule type="containsText" dxfId="3010" priority="1289" operator="containsText" text="BULLISH">
      <formula>NOT(ISERROR(SEARCH("BULLISH",AL12)))</formula>
    </cfRule>
    <cfRule type="containsText" dxfId="3009" priority="1290" operator="containsText" text="BEARISH">
      <formula>NOT(ISERROR(SEARCH("BEARISH",AL12)))</formula>
    </cfRule>
    <cfRule type="containsBlanks" dxfId="3008" priority="1291">
      <formula>LEN(TRIM(AL12))=0</formula>
    </cfRule>
  </conditionalFormatting>
  <conditionalFormatting sqref="AL16:AN16">
    <cfRule type="notContainsErrors" dxfId="3007" priority="1287">
      <formula>NOT(ISERROR(AL16))</formula>
    </cfRule>
  </conditionalFormatting>
  <conditionalFormatting sqref="AL16">
    <cfRule type="containsText" dxfId="3006" priority="1283" operator="containsText" text="NEUTRO">
      <formula>NOT(ISERROR(SEARCH("NEUTRO",AL16)))</formula>
    </cfRule>
    <cfRule type="containsText" dxfId="3005" priority="1284" operator="containsText" text="BULLISH">
      <formula>NOT(ISERROR(SEARCH("BULLISH",AL16)))</formula>
    </cfRule>
    <cfRule type="containsText" dxfId="3004" priority="1285" operator="containsText" text="BEARISH">
      <formula>NOT(ISERROR(SEARCH("BEARISH",AL16)))</formula>
    </cfRule>
    <cfRule type="containsBlanks" dxfId="3003" priority="1286">
      <formula>LEN(TRIM(AL16))=0</formula>
    </cfRule>
  </conditionalFormatting>
  <conditionalFormatting sqref="AL20:AN20">
    <cfRule type="notContainsErrors" dxfId="3002" priority="1282">
      <formula>NOT(ISERROR(AL20))</formula>
    </cfRule>
  </conditionalFormatting>
  <conditionalFormatting sqref="AL20">
    <cfRule type="containsText" dxfId="3001" priority="1278" operator="containsText" text="NEUTRO">
      <formula>NOT(ISERROR(SEARCH("NEUTRO",AL20)))</formula>
    </cfRule>
    <cfRule type="containsText" dxfId="3000" priority="1279" operator="containsText" text="BULLISH">
      <formula>NOT(ISERROR(SEARCH("BULLISH",AL20)))</formula>
    </cfRule>
    <cfRule type="containsText" dxfId="2999" priority="1280" operator="containsText" text="BEARISH">
      <formula>NOT(ISERROR(SEARCH("BEARISH",AL20)))</formula>
    </cfRule>
    <cfRule type="containsBlanks" dxfId="2998" priority="1281">
      <formula>LEN(TRIM(AL20))=0</formula>
    </cfRule>
  </conditionalFormatting>
  <conditionalFormatting sqref="AL24:AN24">
    <cfRule type="notContainsErrors" dxfId="2997" priority="1277">
      <formula>NOT(ISERROR(AL24))</formula>
    </cfRule>
  </conditionalFormatting>
  <conditionalFormatting sqref="AL24">
    <cfRule type="containsText" dxfId="2996" priority="1273" operator="containsText" text="NEUTRO">
      <formula>NOT(ISERROR(SEARCH("NEUTRO",AL24)))</formula>
    </cfRule>
    <cfRule type="containsText" dxfId="2995" priority="1274" operator="containsText" text="BULLISH">
      <formula>NOT(ISERROR(SEARCH("BULLISH",AL24)))</formula>
    </cfRule>
    <cfRule type="containsText" dxfId="2994" priority="1275" operator="containsText" text="BEARISH">
      <formula>NOT(ISERROR(SEARCH("BEARISH",AL24)))</formula>
    </cfRule>
    <cfRule type="containsBlanks" dxfId="2993" priority="1276">
      <formula>LEN(TRIM(AL24))=0</formula>
    </cfRule>
  </conditionalFormatting>
  <conditionalFormatting sqref="AL32:AN32">
    <cfRule type="notContainsErrors" dxfId="2992" priority="1272">
      <formula>NOT(ISERROR(AL32))</formula>
    </cfRule>
  </conditionalFormatting>
  <conditionalFormatting sqref="AL32">
    <cfRule type="containsText" dxfId="2991" priority="1268" operator="containsText" text="NEUTRO">
      <formula>NOT(ISERROR(SEARCH("NEUTRO",AL32)))</formula>
    </cfRule>
    <cfRule type="containsText" dxfId="2990" priority="1269" operator="containsText" text="BULLISH">
      <formula>NOT(ISERROR(SEARCH("BULLISH",AL32)))</formula>
    </cfRule>
    <cfRule type="containsText" dxfId="2989" priority="1270" operator="containsText" text="BEARISH">
      <formula>NOT(ISERROR(SEARCH("BEARISH",AL32)))</formula>
    </cfRule>
    <cfRule type="containsBlanks" dxfId="2988" priority="1271">
      <formula>LEN(TRIM(AL32))=0</formula>
    </cfRule>
  </conditionalFormatting>
  <conditionalFormatting sqref="AL37:AN37">
    <cfRule type="notContainsErrors" dxfId="2987" priority="1267">
      <formula>NOT(ISERROR(AL37))</formula>
    </cfRule>
  </conditionalFormatting>
  <conditionalFormatting sqref="AL37">
    <cfRule type="containsText" dxfId="2986" priority="1263" operator="containsText" text="NEUTRO">
      <formula>NOT(ISERROR(SEARCH("NEUTRO",AL37)))</formula>
    </cfRule>
    <cfRule type="containsText" dxfId="2985" priority="1264" operator="containsText" text="BULLISH">
      <formula>NOT(ISERROR(SEARCH("BULLISH",AL37)))</formula>
    </cfRule>
    <cfRule type="containsText" dxfId="2984" priority="1265" operator="containsText" text="BEARISH">
      <formula>NOT(ISERROR(SEARCH("BEARISH",AL37)))</formula>
    </cfRule>
    <cfRule type="containsBlanks" dxfId="2983" priority="1266">
      <formula>LEN(TRIM(AL37))=0</formula>
    </cfRule>
  </conditionalFormatting>
  <conditionalFormatting sqref="AK39">
    <cfRule type="cellIs" dxfId="2982" priority="1224" operator="equal">
      <formula>"-"</formula>
    </cfRule>
    <cfRule type="cellIs" dxfId="2981" priority="1225" operator="lessThan">
      <formula>0</formula>
    </cfRule>
    <cfRule type="cellIs" dxfId="2980" priority="1226" operator="greaterThan">
      <formula>0</formula>
    </cfRule>
  </conditionalFormatting>
  <conditionalFormatting sqref="AK15">
    <cfRule type="colorScale" priority="1262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AK8:AK10">
    <cfRule type="cellIs" dxfId="2979" priority="1259" operator="lessThan">
      <formula>0</formula>
    </cfRule>
    <cfRule type="cellIs" dxfId="2978" priority="1260" operator="greaterThan">
      <formula>0</formula>
    </cfRule>
  </conditionalFormatting>
  <conditionalFormatting sqref="AK8:AK10">
    <cfRule type="cellIs" dxfId="2977" priority="1258" operator="equal">
      <formula>"-"</formula>
    </cfRule>
  </conditionalFormatting>
  <conditionalFormatting sqref="AK11">
    <cfRule type="colorScale" priority="1261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AK3:AK7">
    <cfRule type="cellIs" dxfId="2976" priority="1255" operator="equal">
      <formula>"-"</formula>
    </cfRule>
    <cfRule type="cellIs" dxfId="2975" priority="1256" operator="lessThan">
      <formula>0</formula>
    </cfRule>
    <cfRule type="cellIs" dxfId="2974" priority="1257" operator="greaterThan">
      <formula>0</formula>
    </cfRule>
  </conditionalFormatting>
  <conditionalFormatting sqref="AK27:AK31">
    <cfRule type="cellIs" dxfId="2973" priority="1253" operator="lessThan">
      <formula>0</formula>
    </cfRule>
    <cfRule type="cellIs" dxfId="2972" priority="1254" operator="greaterThan">
      <formula>0</formula>
    </cfRule>
  </conditionalFormatting>
  <conditionalFormatting sqref="AK27:AK31">
    <cfRule type="cellIs" dxfId="2971" priority="1252" operator="equal">
      <formula>"-"</formula>
    </cfRule>
  </conditionalFormatting>
  <conditionalFormatting sqref="AK36">
    <cfRule type="colorScale" priority="1251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AK34:AK35">
    <cfRule type="cellIs" dxfId="2970" priority="1249" operator="lessThan">
      <formula>0</formula>
    </cfRule>
    <cfRule type="cellIs" dxfId="2969" priority="1250" operator="greaterThan">
      <formula>0</formula>
    </cfRule>
  </conditionalFormatting>
  <conditionalFormatting sqref="AK34:AK35">
    <cfRule type="cellIs" dxfId="2968" priority="1248" operator="equal">
      <formula>"-"</formula>
    </cfRule>
  </conditionalFormatting>
  <conditionalFormatting sqref="AK13:AK14">
    <cfRule type="cellIs" dxfId="2967" priority="1245" operator="equal">
      <formula>"-"</formula>
    </cfRule>
    <cfRule type="cellIs" dxfId="2966" priority="1246" operator="lessThan">
      <formula>0</formula>
    </cfRule>
    <cfRule type="cellIs" dxfId="2965" priority="1247" operator="greaterThan">
      <formula>0</formula>
    </cfRule>
  </conditionalFormatting>
  <conditionalFormatting sqref="AK18">
    <cfRule type="cellIs" dxfId="2964" priority="1243" operator="lessThan">
      <formula>0</formula>
    </cfRule>
    <cfRule type="cellIs" dxfId="2963" priority="1244" operator="greaterThan">
      <formula>0</formula>
    </cfRule>
  </conditionalFormatting>
  <conditionalFormatting sqref="AK18">
    <cfRule type="cellIs" dxfId="2962" priority="1242" operator="equal">
      <formula>"-"</formula>
    </cfRule>
  </conditionalFormatting>
  <conditionalFormatting sqref="AK17">
    <cfRule type="cellIs" dxfId="2961" priority="1240" operator="lessThan">
      <formula>0</formula>
    </cfRule>
    <cfRule type="cellIs" dxfId="2960" priority="1241" operator="greaterThan">
      <formula>0</formula>
    </cfRule>
  </conditionalFormatting>
  <conditionalFormatting sqref="AK17">
    <cfRule type="cellIs" dxfId="2959" priority="1239" operator="equal">
      <formula>"-"</formula>
    </cfRule>
  </conditionalFormatting>
  <conditionalFormatting sqref="AK21:AK22">
    <cfRule type="cellIs" dxfId="2958" priority="1236" operator="equal">
      <formula>"-"</formula>
    </cfRule>
    <cfRule type="cellIs" dxfId="2957" priority="1237" operator="lessThan">
      <formula>0</formula>
    </cfRule>
    <cfRule type="cellIs" dxfId="2956" priority="1238" operator="greaterThan">
      <formula>0</formula>
    </cfRule>
  </conditionalFormatting>
  <conditionalFormatting sqref="AK25:AK26">
    <cfRule type="cellIs" dxfId="2955" priority="1233" operator="equal">
      <formula>"-"</formula>
    </cfRule>
    <cfRule type="cellIs" dxfId="2954" priority="1234" operator="lessThan">
      <formula>0</formula>
    </cfRule>
    <cfRule type="cellIs" dxfId="2953" priority="1235" operator="greaterThan">
      <formula>0</formula>
    </cfRule>
  </conditionalFormatting>
  <conditionalFormatting sqref="AK33">
    <cfRule type="cellIs" dxfId="2952" priority="1230" operator="equal">
      <formula>"-"</formula>
    </cfRule>
    <cfRule type="cellIs" dxfId="2951" priority="1231" operator="lessThan">
      <formula>0</formula>
    </cfRule>
    <cfRule type="cellIs" dxfId="2950" priority="1232" operator="greaterThan">
      <formula>0</formula>
    </cfRule>
  </conditionalFormatting>
  <conditionalFormatting sqref="AK38">
    <cfRule type="cellIs" dxfId="2949" priority="1227" operator="equal">
      <formula>"-"</formula>
    </cfRule>
    <cfRule type="cellIs" dxfId="2948" priority="1228" operator="lessThan">
      <formula>0</formula>
    </cfRule>
    <cfRule type="cellIs" dxfId="2947" priority="1229" operator="greaterThan">
      <formula>0</formula>
    </cfRule>
  </conditionalFormatting>
  <conditionalFormatting sqref="AI2:AK2">
    <cfRule type="notContainsErrors" dxfId="2946" priority="1223">
      <formula>NOT(ISERROR(AI2))</formula>
    </cfRule>
  </conditionalFormatting>
  <conditionalFormatting sqref="AI2">
    <cfRule type="containsText" dxfId="2945" priority="1219" operator="containsText" text="NEUTRO">
      <formula>NOT(ISERROR(SEARCH("NEUTRO",AI2)))</formula>
    </cfRule>
    <cfRule type="containsText" dxfId="2944" priority="1220" operator="containsText" text="BULLISH">
      <formula>NOT(ISERROR(SEARCH("BULLISH",AI2)))</formula>
    </cfRule>
    <cfRule type="containsText" dxfId="2943" priority="1221" operator="containsText" text="BEARISH">
      <formula>NOT(ISERROR(SEARCH("BEARISH",AI2)))</formula>
    </cfRule>
    <cfRule type="containsBlanks" dxfId="2942" priority="1222">
      <formula>LEN(TRIM(AI2))=0</formula>
    </cfRule>
  </conditionalFormatting>
  <conditionalFormatting sqref="AI12:AK12">
    <cfRule type="notContainsErrors" dxfId="2941" priority="1218">
      <formula>NOT(ISERROR(AI12))</formula>
    </cfRule>
  </conditionalFormatting>
  <conditionalFormatting sqref="AI12">
    <cfRule type="containsText" dxfId="2940" priority="1214" operator="containsText" text="NEUTRO">
      <formula>NOT(ISERROR(SEARCH("NEUTRO",AI12)))</formula>
    </cfRule>
    <cfRule type="containsText" dxfId="2939" priority="1215" operator="containsText" text="BULLISH">
      <formula>NOT(ISERROR(SEARCH("BULLISH",AI12)))</formula>
    </cfRule>
    <cfRule type="containsText" dxfId="2938" priority="1216" operator="containsText" text="BEARISH">
      <formula>NOT(ISERROR(SEARCH("BEARISH",AI12)))</formula>
    </cfRule>
    <cfRule type="containsBlanks" dxfId="2937" priority="1217">
      <formula>LEN(TRIM(AI12))=0</formula>
    </cfRule>
  </conditionalFormatting>
  <conditionalFormatting sqref="AI16:AK16">
    <cfRule type="notContainsErrors" dxfId="2936" priority="1213">
      <formula>NOT(ISERROR(AI16))</formula>
    </cfRule>
  </conditionalFormatting>
  <conditionalFormatting sqref="AI16">
    <cfRule type="containsText" dxfId="2935" priority="1209" operator="containsText" text="NEUTRO">
      <formula>NOT(ISERROR(SEARCH("NEUTRO",AI16)))</formula>
    </cfRule>
    <cfRule type="containsText" dxfId="2934" priority="1210" operator="containsText" text="BULLISH">
      <formula>NOT(ISERROR(SEARCH("BULLISH",AI16)))</formula>
    </cfRule>
    <cfRule type="containsText" dxfId="2933" priority="1211" operator="containsText" text="BEARISH">
      <formula>NOT(ISERROR(SEARCH("BEARISH",AI16)))</formula>
    </cfRule>
    <cfRule type="containsBlanks" dxfId="2932" priority="1212">
      <formula>LEN(TRIM(AI16))=0</formula>
    </cfRule>
  </conditionalFormatting>
  <conditionalFormatting sqref="AI20:AK20">
    <cfRule type="notContainsErrors" dxfId="2931" priority="1208">
      <formula>NOT(ISERROR(AI20))</formula>
    </cfRule>
  </conditionalFormatting>
  <conditionalFormatting sqref="AI20">
    <cfRule type="containsText" dxfId="2930" priority="1204" operator="containsText" text="NEUTRO">
      <formula>NOT(ISERROR(SEARCH("NEUTRO",AI20)))</formula>
    </cfRule>
    <cfRule type="containsText" dxfId="2929" priority="1205" operator="containsText" text="BULLISH">
      <formula>NOT(ISERROR(SEARCH("BULLISH",AI20)))</formula>
    </cfRule>
    <cfRule type="containsText" dxfId="2928" priority="1206" operator="containsText" text="BEARISH">
      <formula>NOT(ISERROR(SEARCH("BEARISH",AI20)))</formula>
    </cfRule>
    <cfRule type="containsBlanks" dxfId="2927" priority="1207">
      <formula>LEN(TRIM(AI20))=0</formula>
    </cfRule>
  </conditionalFormatting>
  <conditionalFormatting sqref="AI24:AK24">
    <cfRule type="notContainsErrors" dxfId="2926" priority="1203">
      <formula>NOT(ISERROR(AI24))</formula>
    </cfRule>
  </conditionalFormatting>
  <conditionalFormatting sqref="AI24">
    <cfRule type="containsText" dxfId="2925" priority="1199" operator="containsText" text="NEUTRO">
      <formula>NOT(ISERROR(SEARCH("NEUTRO",AI24)))</formula>
    </cfRule>
    <cfRule type="containsText" dxfId="2924" priority="1200" operator="containsText" text="BULLISH">
      <formula>NOT(ISERROR(SEARCH("BULLISH",AI24)))</formula>
    </cfRule>
    <cfRule type="containsText" dxfId="2923" priority="1201" operator="containsText" text="BEARISH">
      <formula>NOT(ISERROR(SEARCH("BEARISH",AI24)))</formula>
    </cfRule>
    <cfRule type="containsBlanks" dxfId="2922" priority="1202">
      <formula>LEN(TRIM(AI24))=0</formula>
    </cfRule>
  </conditionalFormatting>
  <conditionalFormatting sqref="AI32:AK32">
    <cfRule type="notContainsErrors" dxfId="2921" priority="1198">
      <formula>NOT(ISERROR(AI32))</formula>
    </cfRule>
  </conditionalFormatting>
  <conditionalFormatting sqref="AI32">
    <cfRule type="containsText" dxfId="2920" priority="1194" operator="containsText" text="NEUTRO">
      <formula>NOT(ISERROR(SEARCH("NEUTRO",AI32)))</formula>
    </cfRule>
    <cfRule type="containsText" dxfId="2919" priority="1195" operator="containsText" text="BULLISH">
      <formula>NOT(ISERROR(SEARCH("BULLISH",AI32)))</formula>
    </cfRule>
    <cfRule type="containsText" dxfId="2918" priority="1196" operator="containsText" text="BEARISH">
      <formula>NOT(ISERROR(SEARCH("BEARISH",AI32)))</formula>
    </cfRule>
    <cfRule type="containsBlanks" dxfId="2917" priority="1197">
      <formula>LEN(TRIM(AI32))=0</formula>
    </cfRule>
  </conditionalFormatting>
  <conditionalFormatting sqref="AI37:AK37">
    <cfRule type="notContainsErrors" dxfId="2916" priority="1193">
      <formula>NOT(ISERROR(AI37))</formula>
    </cfRule>
  </conditionalFormatting>
  <conditionalFormatting sqref="AI37">
    <cfRule type="containsText" dxfId="2915" priority="1189" operator="containsText" text="NEUTRO">
      <formula>NOT(ISERROR(SEARCH("NEUTRO",AI37)))</formula>
    </cfRule>
    <cfRule type="containsText" dxfId="2914" priority="1190" operator="containsText" text="BULLISH">
      <formula>NOT(ISERROR(SEARCH("BULLISH",AI37)))</formula>
    </cfRule>
    <cfRule type="containsText" dxfId="2913" priority="1191" operator="containsText" text="BEARISH">
      <formula>NOT(ISERROR(SEARCH("BEARISH",AI37)))</formula>
    </cfRule>
    <cfRule type="containsBlanks" dxfId="2912" priority="1192">
      <formula>LEN(TRIM(AI37))=0</formula>
    </cfRule>
  </conditionalFormatting>
  <conditionalFormatting sqref="AH39">
    <cfRule type="cellIs" dxfId="2911" priority="1150" operator="equal">
      <formula>"-"</formula>
    </cfRule>
    <cfRule type="cellIs" dxfId="2910" priority="1151" operator="lessThan">
      <formula>0</formula>
    </cfRule>
    <cfRule type="cellIs" dxfId="2909" priority="1152" operator="greaterThan">
      <formula>0</formula>
    </cfRule>
  </conditionalFormatting>
  <conditionalFormatting sqref="AH15">
    <cfRule type="colorScale" priority="1188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AH8:AH10">
    <cfRule type="cellIs" dxfId="2908" priority="1185" operator="lessThan">
      <formula>0</formula>
    </cfRule>
    <cfRule type="cellIs" dxfId="2907" priority="1186" operator="greaterThan">
      <formula>0</formula>
    </cfRule>
  </conditionalFormatting>
  <conditionalFormatting sqref="AH8:AH10">
    <cfRule type="cellIs" dxfId="2906" priority="1184" operator="equal">
      <formula>"-"</formula>
    </cfRule>
  </conditionalFormatting>
  <conditionalFormatting sqref="AH11">
    <cfRule type="colorScale" priority="1187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AH3:AH7">
    <cfRule type="cellIs" dxfId="2905" priority="1181" operator="equal">
      <formula>"-"</formula>
    </cfRule>
    <cfRule type="cellIs" dxfId="2904" priority="1182" operator="lessThan">
      <formula>0</formula>
    </cfRule>
    <cfRule type="cellIs" dxfId="2903" priority="1183" operator="greaterThan">
      <formula>0</formula>
    </cfRule>
  </conditionalFormatting>
  <conditionalFormatting sqref="AH27:AH31">
    <cfRule type="cellIs" dxfId="2902" priority="1179" operator="lessThan">
      <formula>0</formula>
    </cfRule>
    <cfRule type="cellIs" dxfId="2901" priority="1180" operator="greaterThan">
      <formula>0</formula>
    </cfRule>
  </conditionalFormatting>
  <conditionalFormatting sqref="AH27:AH31">
    <cfRule type="cellIs" dxfId="2900" priority="1178" operator="equal">
      <formula>"-"</formula>
    </cfRule>
  </conditionalFormatting>
  <conditionalFormatting sqref="AH36">
    <cfRule type="colorScale" priority="1177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AH34:AH35">
    <cfRule type="cellIs" dxfId="2899" priority="1175" operator="lessThan">
      <formula>0</formula>
    </cfRule>
    <cfRule type="cellIs" dxfId="2898" priority="1176" operator="greaterThan">
      <formula>0</formula>
    </cfRule>
  </conditionalFormatting>
  <conditionalFormatting sqref="AH34:AH35">
    <cfRule type="cellIs" dxfId="2897" priority="1174" operator="equal">
      <formula>"-"</formula>
    </cfRule>
  </conditionalFormatting>
  <conditionalFormatting sqref="AH13:AH14">
    <cfRule type="cellIs" dxfId="2896" priority="1171" operator="equal">
      <formula>"-"</formula>
    </cfRule>
    <cfRule type="cellIs" dxfId="2895" priority="1172" operator="lessThan">
      <formula>0</formula>
    </cfRule>
    <cfRule type="cellIs" dxfId="2894" priority="1173" operator="greaterThan">
      <formula>0</formula>
    </cfRule>
  </conditionalFormatting>
  <conditionalFormatting sqref="AH18">
    <cfRule type="cellIs" dxfId="2893" priority="1169" operator="lessThan">
      <formula>0</formula>
    </cfRule>
    <cfRule type="cellIs" dxfId="2892" priority="1170" operator="greaterThan">
      <formula>0</formula>
    </cfRule>
  </conditionalFormatting>
  <conditionalFormatting sqref="AH18">
    <cfRule type="cellIs" dxfId="2891" priority="1168" operator="equal">
      <formula>"-"</formula>
    </cfRule>
  </conditionalFormatting>
  <conditionalFormatting sqref="AH17">
    <cfRule type="cellIs" dxfId="2890" priority="1166" operator="lessThan">
      <formula>0</formula>
    </cfRule>
    <cfRule type="cellIs" dxfId="2889" priority="1167" operator="greaterThan">
      <formula>0</formula>
    </cfRule>
  </conditionalFormatting>
  <conditionalFormatting sqref="AH17">
    <cfRule type="cellIs" dxfId="2888" priority="1165" operator="equal">
      <formula>"-"</formula>
    </cfRule>
  </conditionalFormatting>
  <conditionalFormatting sqref="AH21:AH22">
    <cfRule type="cellIs" dxfId="2887" priority="1162" operator="equal">
      <formula>"-"</formula>
    </cfRule>
    <cfRule type="cellIs" dxfId="2886" priority="1163" operator="lessThan">
      <formula>0</formula>
    </cfRule>
    <cfRule type="cellIs" dxfId="2885" priority="1164" operator="greaterThan">
      <formula>0</formula>
    </cfRule>
  </conditionalFormatting>
  <conditionalFormatting sqref="AH25:AH26">
    <cfRule type="cellIs" dxfId="2884" priority="1159" operator="equal">
      <formula>"-"</formula>
    </cfRule>
    <cfRule type="cellIs" dxfId="2883" priority="1160" operator="lessThan">
      <formula>0</formula>
    </cfRule>
    <cfRule type="cellIs" dxfId="2882" priority="1161" operator="greaterThan">
      <formula>0</formula>
    </cfRule>
  </conditionalFormatting>
  <conditionalFormatting sqref="AH33">
    <cfRule type="cellIs" dxfId="2881" priority="1156" operator="equal">
      <formula>"-"</formula>
    </cfRule>
    <cfRule type="cellIs" dxfId="2880" priority="1157" operator="lessThan">
      <formula>0</formula>
    </cfRule>
    <cfRule type="cellIs" dxfId="2879" priority="1158" operator="greaterThan">
      <formula>0</formula>
    </cfRule>
  </conditionalFormatting>
  <conditionalFormatting sqref="AH38">
    <cfRule type="cellIs" dxfId="2878" priority="1153" operator="equal">
      <formula>"-"</formula>
    </cfRule>
    <cfRule type="cellIs" dxfId="2877" priority="1154" operator="lessThan">
      <formula>0</formula>
    </cfRule>
    <cfRule type="cellIs" dxfId="2876" priority="1155" operator="greaterThan">
      <formula>0</formula>
    </cfRule>
  </conditionalFormatting>
  <conditionalFormatting sqref="AF2:AH2">
    <cfRule type="notContainsErrors" dxfId="2875" priority="1149">
      <formula>NOT(ISERROR(AF2))</formula>
    </cfRule>
  </conditionalFormatting>
  <conditionalFormatting sqref="AF2">
    <cfRule type="containsText" dxfId="2874" priority="1145" operator="containsText" text="NEUTRO">
      <formula>NOT(ISERROR(SEARCH("NEUTRO",AF2)))</formula>
    </cfRule>
    <cfRule type="containsText" dxfId="2873" priority="1146" operator="containsText" text="BULLISH">
      <formula>NOT(ISERROR(SEARCH("BULLISH",AF2)))</formula>
    </cfRule>
    <cfRule type="containsText" dxfId="2872" priority="1147" operator="containsText" text="BEARISH">
      <formula>NOT(ISERROR(SEARCH("BEARISH",AF2)))</formula>
    </cfRule>
    <cfRule type="containsBlanks" dxfId="2871" priority="1148">
      <formula>LEN(TRIM(AF2))=0</formula>
    </cfRule>
  </conditionalFormatting>
  <conditionalFormatting sqref="AF12:AH12">
    <cfRule type="notContainsErrors" dxfId="2870" priority="1144">
      <formula>NOT(ISERROR(AF12))</formula>
    </cfRule>
  </conditionalFormatting>
  <conditionalFormatting sqref="AF12">
    <cfRule type="containsText" dxfId="2869" priority="1140" operator="containsText" text="NEUTRO">
      <formula>NOT(ISERROR(SEARCH("NEUTRO",AF12)))</formula>
    </cfRule>
    <cfRule type="containsText" dxfId="2868" priority="1141" operator="containsText" text="BULLISH">
      <formula>NOT(ISERROR(SEARCH("BULLISH",AF12)))</formula>
    </cfRule>
    <cfRule type="containsText" dxfId="2867" priority="1142" operator="containsText" text="BEARISH">
      <formula>NOT(ISERROR(SEARCH("BEARISH",AF12)))</formula>
    </cfRule>
    <cfRule type="containsBlanks" dxfId="2866" priority="1143">
      <formula>LEN(TRIM(AF12))=0</formula>
    </cfRule>
  </conditionalFormatting>
  <conditionalFormatting sqref="AF16:AH16">
    <cfRule type="notContainsErrors" dxfId="2865" priority="1139">
      <formula>NOT(ISERROR(AF16))</formula>
    </cfRule>
  </conditionalFormatting>
  <conditionalFormatting sqref="AF16">
    <cfRule type="containsText" dxfId="2864" priority="1135" operator="containsText" text="NEUTRO">
      <formula>NOT(ISERROR(SEARCH("NEUTRO",AF16)))</formula>
    </cfRule>
    <cfRule type="containsText" dxfId="2863" priority="1136" operator="containsText" text="BULLISH">
      <formula>NOT(ISERROR(SEARCH("BULLISH",AF16)))</formula>
    </cfRule>
    <cfRule type="containsText" dxfId="2862" priority="1137" operator="containsText" text="BEARISH">
      <formula>NOT(ISERROR(SEARCH("BEARISH",AF16)))</formula>
    </cfRule>
    <cfRule type="containsBlanks" dxfId="2861" priority="1138">
      <formula>LEN(TRIM(AF16))=0</formula>
    </cfRule>
  </conditionalFormatting>
  <conditionalFormatting sqref="AF20:AH20">
    <cfRule type="notContainsErrors" dxfId="2860" priority="1134">
      <formula>NOT(ISERROR(AF20))</formula>
    </cfRule>
  </conditionalFormatting>
  <conditionalFormatting sqref="AF20">
    <cfRule type="containsText" dxfId="2859" priority="1130" operator="containsText" text="NEUTRO">
      <formula>NOT(ISERROR(SEARCH("NEUTRO",AF20)))</formula>
    </cfRule>
    <cfRule type="containsText" dxfId="2858" priority="1131" operator="containsText" text="BULLISH">
      <formula>NOT(ISERROR(SEARCH("BULLISH",AF20)))</formula>
    </cfRule>
    <cfRule type="containsText" dxfId="2857" priority="1132" operator="containsText" text="BEARISH">
      <formula>NOT(ISERROR(SEARCH("BEARISH",AF20)))</formula>
    </cfRule>
    <cfRule type="containsBlanks" dxfId="2856" priority="1133">
      <formula>LEN(TRIM(AF20))=0</formula>
    </cfRule>
  </conditionalFormatting>
  <conditionalFormatting sqref="AF24:AH24">
    <cfRule type="notContainsErrors" dxfId="2855" priority="1129">
      <formula>NOT(ISERROR(AF24))</formula>
    </cfRule>
  </conditionalFormatting>
  <conditionalFormatting sqref="AF24">
    <cfRule type="containsText" dxfId="2854" priority="1125" operator="containsText" text="NEUTRO">
      <formula>NOT(ISERROR(SEARCH("NEUTRO",AF24)))</formula>
    </cfRule>
    <cfRule type="containsText" dxfId="2853" priority="1126" operator="containsText" text="BULLISH">
      <formula>NOT(ISERROR(SEARCH("BULLISH",AF24)))</formula>
    </cfRule>
    <cfRule type="containsText" dxfId="2852" priority="1127" operator="containsText" text="BEARISH">
      <formula>NOT(ISERROR(SEARCH("BEARISH",AF24)))</formula>
    </cfRule>
    <cfRule type="containsBlanks" dxfId="2851" priority="1128">
      <formula>LEN(TRIM(AF24))=0</formula>
    </cfRule>
  </conditionalFormatting>
  <conditionalFormatting sqref="AF32:AH32">
    <cfRule type="notContainsErrors" dxfId="2850" priority="1124">
      <formula>NOT(ISERROR(AF32))</formula>
    </cfRule>
  </conditionalFormatting>
  <conditionalFormatting sqref="AF32">
    <cfRule type="containsText" dxfId="2849" priority="1120" operator="containsText" text="NEUTRO">
      <formula>NOT(ISERROR(SEARCH("NEUTRO",AF32)))</formula>
    </cfRule>
    <cfRule type="containsText" dxfId="2848" priority="1121" operator="containsText" text="BULLISH">
      <formula>NOT(ISERROR(SEARCH("BULLISH",AF32)))</formula>
    </cfRule>
    <cfRule type="containsText" dxfId="2847" priority="1122" operator="containsText" text="BEARISH">
      <formula>NOT(ISERROR(SEARCH("BEARISH",AF32)))</formula>
    </cfRule>
    <cfRule type="containsBlanks" dxfId="2846" priority="1123">
      <formula>LEN(TRIM(AF32))=0</formula>
    </cfRule>
  </conditionalFormatting>
  <conditionalFormatting sqref="AF37:AH37">
    <cfRule type="notContainsErrors" dxfId="2845" priority="1119">
      <formula>NOT(ISERROR(AF37))</formula>
    </cfRule>
  </conditionalFormatting>
  <conditionalFormatting sqref="AF37">
    <cfRule type="containsText" dxfId="2844" priority="1115" operator="containsText" text="NEUTRO">
      <formula>NOT(ISERROR(SEARCH("NEUTRO",AF37)))</formula>
    </cfRule>
    <cfRule type="containsText" dxfId="2843" priority="1116" operator="containsText" text="BULLISH">
      <formula>NOT(ISERROR(SEARCH("BULLISH",AF37)))</formula>
    </cfRule>
    <cfRule type="containsText" dxfId="2842" priority="1117" operator="containsText" text="BEARISH">
      <formula>NOT(ISERROR(SEARCH("BEARISH",AF37)))</formula>
    </cfRule>
    <cfRule type="containsBlanks" dxfId="2841" priority="1118">
      <formula>LEN(TRIM(AF37))=0</formula>
    </cfRule>
  </conditionalFormatting>
  <conditionalFormatting sqref="AE39">
    <cfRule type="cellIs" dxfId="2840" priority="1076" operator="equal">
      <formula>"-"</formula>
    </cfRule>
    <cfRule type="cellIs" dxfId="2839" priority="1077" operator="lessThan">
      <formula>0</formula>
    </cfRule>
    <cfRule type="cellIs" dxfId="2838" priority="1078" operator="greaterThan">
      <formula>0</formula>
    </cfRule>
  </conditionalFormatting>
  <conditionalFormatting sqref="AE15">
    <cfRule type="colorScale" priority="1114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AE8:AE10">
    <cfRule type="cellIs" dxfId="2837" priority="1111" operator="lessThan">
      <formula>0</formula>
    </cfRule>
    <cfRule type="cellIs" dxfId="2836" priority="1112" operator="greaterThan">
      <formula>0</formula>
    </cfRule>
  </conditionalFormatting>
  <conditionalFormatting sqref="AE8:AE10">
    <cfRule type="cellIs" dxfId="2835" priority="1110" operator="equal">
      <formula>"-"</formula>
    </cfRule>
  </conditionalFormatting>
  <conditionalFormatting sqref="AE11">
    <cfRule type="colorScale" priority="1113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AE3:AE7">
    <cfRule type="cellIs" dxfId="2834" priority="1107" operator="equal">
      <formula>"-"</formula>
    </cfRule>
    <cfRule type="cellIs" dxfId="2833" priority="1108" operator="lessThan">
      <formula>0</formula>
    </cfRule>
    <cfRule type="cellIs" dxfId="2832" priority="1109" operator="greaterThan">
      <formula>0</formula>
    </cfRule>
  </conditionalFormatting>
  <conditionalFormatting sqref="AE27:AE31">
    <cfRule type="cellIs" dxfId="2831" priority="1105" operator="lessThan">
      <formula>0</formula>
    </cfRule>
    <cfRule type="cellIs" dxfId="2830" priority="1106" operator="greaterThan">
      <formula>0</formula>
    </cfRule>
  </conditionalFormatting>
  <conditionalFormatting sqref="AE27:AE31">
    <cfRule type="cellIs" dxfId="2829" priority="1104" operator="equal">
      <formula>"-"</formula>
    </cfRule>
  </conditionalFormatting>
  <conditionalFormatting sqref="AE36">
    <cfRule type="colorScale" priority="1103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AE34:AE35">
    <cfRule type="cellIs" dxfId="2828" priority="1101" operator="lessThan">
      <formula>0</formula>
    </cfRule>
    <cfRule type="cellIs" dxfId="2827" priority="1102" operator="greaterThan">
      <formula>0</formula>
    </cfRule>
  </conditionalFormatting>
  <conditionalFormatting sqref="AE34:AE35">
    <cfRule type="cellIs" dxfId="2826" priority="1100" operator="equal">
      <formula>"-"</formula>
    </cfRule>
  </conditionalFormatting>
  <conditionalFormatting sqref="AE13:AE14">
    <cfRule type="cellIs" dxfId="2825" priority="1097" operator="equal">
      <formula>"-"</formula>
    </cfRule>
    <cfRule type="cellIs" dxfId="2824" priority="1098" operator="lessThan">
      <formula>0</formula>
    </cfRule>
    <cfRule type="cellIs" dxfId="2823" priority="1099" operator="greaterThan">
      <formula>0</formula>
    </cfRule>
  </conditionalFormatting>
  <conditionalFormatting sqref="AE18">
    <cfRule type="cellIs" dxfId="2822" priority="1095" operator="lessThan">
      <formula>0</formula>
    </cfRule>
    <cfRule type="cellIs" dxfId="2821" priority="1096" operator="greaterThan">
      <formula>0</formula>
    </cfRule>
  </conditionalFormatting>
  <conditionalFormatting sqref="AE18">
    <cfRule type="cellIs" dxfId="2820" priority="1094" operator="equal">
      <formula>"-"</formula>
    </cfRule>
  </conditionalFormatting>
  <conditionalFormatting sqref="AE17">
    <cfRule type="cellIs" dxfId="2819" priority="1092" operator="lessThan">
      <formula>0</formula>
    </cfRule>
    <cfRule type="cellIs" dxfId="2818" priority="1093" operator="greaterThan">
      <formula>0</formula>
    </cfRule>
  </conditionalFormatting>
  <conditionalFormatting sqref="AE17">
    <cfRule type="cellIs" dxfId="2817" priority="1091" operator="equal">
      <formula>"-"</formula>
    </cfRule>
  </conditionalFormatting>
  <conditionalFormatting sqref="AE21:AE22">
    <cfRule type="cellIs" dxfId="2816" priority="1088" operator="equal">
      <formula>"-"</formula>
    </cfRule>
    <cfRule type="cellIs" dxfId="2815" priority="1089" operator="lessThan">
      <formula>0</formula>
    </cfRule>
    <cfRule type="cellIs" dxfId="2814" priority="1090" operator="greaterThan">
      <formula>0</formula>
    </cfRule>
  </conditionalFormatting>
  <conditionalFormatting sqref="AE25:AE26">
    <cfRule type="cellIs" dxfId="2813" priority="1085" operator="equal">
      <formula>"-"</formula>
    </cfRule>
    <cfRule type="cellIs" dxfId="2812" priority="1086" operator="lessThan">
      <formula>0</formula>
    </cfRule>
    <cfRule type="cellIs" dxfId="2811" priority="1087" operator="greaterThan">
      <formula>0</formula>
    </cfRule>
  </conditionalFormatting>
  <conditionalFormatting sqref="AE33">
    <cfRule type="cellIs" dxfId="2810" priority="1082" operator="equal">
      <formula>"-"</formula>
    </cfRule>
    <cfRule type="cellIs" dxfId="2809" priority="1083" operator="lessThan">
      <formula>0</formula>
    </cfRule>
    <cfRule type="cellIs" dxfId="2808" priority="1084" operator="greaterThan">
      <formula>0</formula>
    </cfRule>
  </conditionalFormatting>
  <conditionalFormatting sqref="AE38">
    <cfRule type="cellIs" dxfId="2807" priority="1079" operator="equal">
      <formula>"-"</formula>
    </cfRule>
    <cfRule type="cellIs" dxfId="2806" priority="1080" operator="lessThan">
      <formula>0</formula>
    </cfRule>
    <cfRule type="cellIs" dxfId="2805" priority="1081" operator="greaterThan">
      <formula>0</formula>
    </cfRule>
  </conditionalFormatting>
  <conditionalFormatting sqref="AC24:AE24">
    <cfRule type="notContainsErrors" dxfId="2804" priority="1055">
      <formula>NOT(ISERROR(AC24))</formula>
    </cfRule>
  </conditionalFormatting>
  <conditionalFormatting sqref="AC2:AE2">
    <cfRule type="notContainsErrors" dxfId="2803" priority="1075">
      <formula>NOT(ISERROR(AC2))</formula>
    </cfRule>
  </conditionalFormatting>
  <conditionalFormatting sqref="AC2">
    <cfRule type="containsText" dxfId="2802" priority="1071" operator="containsText" text="NEUTRO">
      <formula>NOT(ISERROR(SEARCH("NEUTRO",AC2)))</formula>
    </cfRule>
    <cfRule type="containsText" dxfId="2801" priority="1072" operator="containsText" text="BULLISH">
      <formula>NOT(ISERROR(SEARCH("BULLISH",AC2)))</formula>
    </cfRule>
    <cfRule type="containsText" dxfId="2800" priority="1073" operator="containsText" text="BEARISH">
      <formula>NOT(ISERROR(SEARCH("BEARISH",AC2)))</formula>
    </cfRule>
    <cfRule type="containsBlanks" dxfId="2799" priority="1074">
      <formula>LEN(TRIM(AC2))=0</formula>
    </cfRule>
  </conditionalFormatting>
  <conditionalFormatting sqref="AC12:AE12">
    <cfRule type="notContainsErrors" dxfId="2798" priority="1070">
      <formula>NOT(ISERROR(AC12))</formula>
    </cfRule>
  </conditionalFormatting>
  <conditionalFormatting sqref="AC12">
    <cfRule type="containsText" dxfId="2797" priority="1066" operator="containsText" text="NEUTRO">
      <formula>NOT(ISERROR(SEARCH("NEUTRO",AC12)))</formula>
    </cfRule>
    <cfRule type="containsText" dxfId="2796" priority="1067" operator="containsText" text="BULLISH">
      <formula>NOT(ISERROR(SEARCH("BULLISH",AC12)))</formula>
    </cfRule>
    <cfRule type="containsText" dxfId="2795" priority="1068" operator="containsText" text="BEARISH">
      <formula>NOT(ISERROR(SEARCH("BEARISH",AC12)))</formula>
    </cfRule>
    <cfRule type="containsBlanks" dxfId="2794" priority="1069">
      <formula>LEN(TRIM(AC12))=0</formula>
    </cfRule>
  </conditionalFormatting>
  <conditionalFormatting sqref="AC16:AE16">
    <cfRule type="notContainsErrors" dxfId="2793" priority="1065">
      <formula>NOT(ISERROR(AC16))</formula>
    </cfRule>
  </conditionalFormatting>
  <conditionalFormatting sqref="AC16">
    <cfRule type="containsText" dxfId="2792" priority="1061" operator="containsText" text="NEUTRO">
      <formula>NOT(ISERROR(SEARCH("NEUTRO",AC16)))</formula>
    </cfRule>
    <cfRule type="containsText" dxfId="2791" priority="1062" operator="containsText" text="BULLISH">
      <formula>NOT(ISERROR(SEARCH("BULLISH",AC16)))</formula>
    </cfRule>
    <cfRule type="containsText" dxfId="2790" priority="1063" operator="containsText" text="BEARISH">
      <formula>NOT(ISERROR(SEARCH("BEARISH",AC16)))</formula>
    </cfRule>
    <cfRule type="containsBlanks" dxfId="2789" priority="1064">
      <formula>LEN(TRIM(AC16))=0</formula>
    </cfRule>
  </conditionalFormatting>
  <conditionalFormatting sqref="AC20:AE20">
    <cfRule type="notContainsErrors" dxfId="2788" priority="1060">
      <formula>NOT(ISERROR(AC20))</formula>
    </cfRule>
  </conditionalFormatting>
  <conditionalFormatting sqref="AC20">
    <cfRule type="containsText" dxfId="2787" priority="1056" operator="containsText" text="NEUTRO">
      <formula>NOT(ISERROR(SEARCH("NEUTRO",AC20)))</formula>
    </cfRule>
    <cfRule type="containsText" dxfId="2786" priority="1057" operator="containsText" text="BULLISH">
      <formula>NOT(ISERROR(SEARCH("BULLISH",AC20)))</formula>
    </cfRule>
    <cfRule type="containsText" dxfId="2785" priority="1058" operator="containsText" text="BEARISH">
      <formula>NOT(ISERROR(SEARCH("BEARISH",AC20)))</formula>
    </cfRule>
    <cfRule type="containsBlanks" dxfId="2784" priority="1059">
      <formula>LEN(TRIM(AC20))=0</formula>
    </cfRule>
  </conditionalFormatting>
  <conditionalFormatting sqref="Z24:AB24">
    <cfRule type="notContainsErrors" dxfId="2783" priority="981">
      <formula>NOT(ISERROR(Z24))</formula>
    </cfRule>
  </conditionalFormatting>
  <conditionalFormatting sqref="AC24">
    <cfRule type="containsText" dxfId="2782" priority="1051" operator="containsText" text="NEUTRO">
      <formula>NOT(ISERROR(SEARCH("NEUTRO",AC24)))</formula>
    </cfRule>
    <cfRule type="containsText" dxfId="2781" priority="1052" operator="containsText" text="BULLISH">
      <formula>NOT(ISERROR(SEARCH("BULLISH",AC24)))</formula>
    </cfRule>
    <cfRule type="containsText" dxfId="2780" priority="1053" operator="containsText" text="BEARISH">
      <formula>NOT(ISERROR(SEARCH("BEARISH",AC24)))</formula>
    </cfRule>
    <cfRule type="containsBlanks" dxfId="2779" priority="1054">
      <formula>LEN(TRIM(AC24))=0</formula>
    </cfRule>
  </conditionalFormatting>
  <conditionalFormatting sqref="AC32:AE32">
    <cfRule type="notContainsErrors" dxfId="2778" priority="1050">
      <formula>NOT(ISERROR(AC32))</formula>
    </cfRule>
  </conditionalFormatting>
  <conditionalFormatting sqref="AC32">
    <cfRule type="containsText" dxfId="2777" priority="1046" operator="containsText" text="NEUTRO">
      <formula>NOT(ISERROR(SEARCH("NEUTRO",AC32)))</formula>
    </cfRule>
    <cfRule type="containsText" dxfId="2776" priority="1047" operator="containsText" text="BULLISH">
      <formula>NOT(ISERROR(SEARCH("BULLISH",AC32)))</formula>
    </cfRule>
    <cfRule type="containsText" dxfId="2775" priority="1048" operator="containsText" text="BEARISH">
      <formula>NOT(ISERROR(SEARCH("BEARISH",AC32)))</formula>
    </cfRule>
    <cfRule type="containsBlanks" dxfId="2774" priority="1049">
      <formula>LEN(TRIM(AC32))=0</formula>
    </cfRule>
  </conditionalFormatting>
  <conditionalFormatting sqref="AC37:AE37">
    <cfRule type="notContainsErrors" dxfId="2773" priority="1045">
      <formula>NOT(ISERROR(AC37))</formula>
    </cfRule>
  </conditionalFormatting>
  <conditionalFormatting sqref="AC37">
    <cfRule type="containsText" dxfId="2772" priority="1041" operator="containsText" text="NEUTRO">
      <formula>NOT(ISERROR(SEARCH("NEUTRO",AC37)))</formula>
    </cfRule>
    <cfRule type="containsText" dxfId="2771" priority="1042" operator="containsText" text="BULLISH">
      <formula>NOT(ISERROR(SEARCH("BULLISH",AC37)))</formula>
    </cfRule>
    <cfRule type="containsText" dxfId="2770" priority="1043" operator="containsText" text="BEARISH">
      <formula>NOT(ISERROR(SEARCH("BEARISH",AC37)))</formula>
    </cfRule>
    <cfRule type="containsBlanks" dxfId="2769" priority="1044">
      <formula>LEN(TRIM(AC37))=0</formula>
    </cfRule>
  </conditionalFormatting>
  <conditionalFormatting sqref="AB39">
    <cfRule type="cellIs" dxfId="2768" priority="1002" operator="equal">
      <formula>"-"</formula>
    </cfRule>
    <cfRule type="cellIs" dxfId="2767" priority="1003" operator="lessThan">
      <formula>0</formula>
    </cfRule>
    <cfRule type="cellIs" dxfId="2766" priority="1004" operator="greaterThan">
      <formula>0</formula>
    </cfRule>
  </conditionalFormatting>
  <conditionalFormatting sqref="AB15">
    <cfRule type="colorScale" priority="1040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AB8:AB10">
    <cfRule type="cellIs" dxfId="2765" priority="1037" operator="lessThan">
      <formula>0</formula>
    </cfRule>
    <cfRule type="cellIs" dxfId="2764" priority="1038" operator="greaterThan">
      <formula>0</formula>
    </cfRule>
  </conditionalFormatting>
  <conditionalFormatting sqref="AB8:AB10">
    <cfRule type="cellIs" dxfId="2763" priority="1036" operator="equal">
      <formula>"-"</formula>
    </cfRule>
  </conditionalFormatting>
  <conditionalFormatting sqref="AB11">
    <cfRule type="colorScale" priority="1039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AB3:AB7">
    <cfRule type="cellIs" dxfId="2762" priority="1033" operator="equal">
      <formula>"-"</formula>
    </cfRule>
    <cfRule type="cellIs" dxfId="2761" priority="1034" operator="lessThan">
      <formula>0</formula>
    </cfRule>
    <cfRule type="cellIs" dxfId="2760" priority="1035" operator="greaterThan">
      <formula>0</formula>
    </cfRule>
  </conditionalFormatting>
  <conditionalFormatting sqref="AB27:AB31">
    <cfRule type="cellIs" dxfId="2759" priority="1031" operator="lessThan">
      <formula>0</formula>
    </cfRule>
    <cfRule type="cellIs" dxfId="2758" priority="1032" operator="greaterThan">
      <formula>0</formula>
    </cfRule>
  </conditionalFormatting>
  <conditionalFormatting sqref="AB27:AB31">
    <cfRule type="cellIs" dxfId="2757" priority="1030" operator="equal">
      <formula>"-"</formula>
    </cfRule>
  </conditionalFormatting>
  <conditionalFormatting sqref="AB36">
    <cfRule type="colorScale" priority="1029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AB34:AB35">
    <cfRule type="cellIs" dxfId="2756" priority="1027" operator="lessThan">
      <formula>0</formula>
    </cfRule>
    <cfRule type="cellIs" dxfId="2755" priority="1028" operator="greaterThan">
      <formula>0</formula>
    </cfRule>
  </conditionalFormatting>
  <conditionalFormatting sqref="AB34:AB35">
    <cfRule type="cellIs" dxfId="2754" priority="1026" operator="equal">
      <formula>"-"</formula>
    </cfRule>
  </conditionalFormatting>
  <conditionalFormatting sqref="AB13:AB14">
    <cfRule type="cellIs" dxfId="2753" priority="1023" operator="equal">
      <formula>"-"</formula>
    </cfRule>
    <cfRule type="cellIs" dxfId="2752" priority="1024" operator="lessThan">
      <formula>0</formula>
    </cfRule>
    <cfRule type="cellIs" dxfId="2751" priority="1025" operator="greaterThan">
      <formula>0</formula>
    </cfRule>
  </conditionalFormatting>
  <conditionalFormatting sqref="AB18">
    <cfRule type="cellIs" dxfId="2750" priority="1021" operator="lessThan">
      <formula>0</formula>
    </cfRule>
    <cfRule type="cellIs" dxfId="2749" priority="1022" operator="greaterThan">
      <formula>0</formula>
    </cfRule>
  </conditionalFormatting>
  <conditionalFormatting sqref="AB18">
    <cfRule type="cellIs" dxfId="2748" priority="1020" operator="equal">
      <formula>"-"</formula>
    </cfRule>
  </conditionalFormatting>
  <conditionalFormatting sqref="AB17">
    <cfRule type="cellIs" dxfId="2747" priority="1018" operator="lessThan">
      <formula>0</formula>
    </cfRule>
    <cfRule type="cellIs" dxfId="2746" priority="1019" operator="greaterThan">
      <formula>0</formula>
    </cfRule>
  </conditionalFormatting>
  <conditionalFormatting sqref="AB17">
    <cfRule type="cellIs" dxfId="2745" priority="1017" operator="equal">
      <formula>"-"</formula>
    </cfRule>
  </conditionalFormatting>
  <conditionalFormatting sqref="AB21:AB22">
    <cfRule type="cellIs" dxfId="2744" priority="1014" operator="equal">
      <formula>"-"</formula>
    </cfRule>
    <cfRule type="cellIs" dxfId="2743" priority="1015" operator="lessThan">
      <formula>0</formula>
    </cfRule>
    <cfRule type="cellIs" dxfId="2742" priority="1016" operator="greaterThan">
      <formula>0</formula>
    </cfRule>
  </conditionalFormatting>
  <conditionalFormatting sqref="AB25:AB26">
    <cfRule type="cellIs" dxfId="2741" priority="1011" operator="equal">
      <formula>"-"</formula>
    </cfRule>
    <cfRule type="cellIs" dxfId="2740" priority="1012" operator="lessThan">
      <formula>0</formula>
    </cfRule>
    <cfRule type="cellIs" dxfId="2739" priority="1013" operator="greaterThan">
      <formula>0</formula>
    </cfRule>
  </conditionalFormatting>
  <conditionalFormatting sqref="AB33">
    <cfRule type="cellIs" dxfId="2738" priority="1008" operator="equal">
      <formula>"-"</formula>
    </cfRule>
    <cfRule type="cellIs" dxfId="2737" priority="1009" operator="lessThan">
      <formula>0</formula>
    </cfRule>
    <cfRule type="cellIs" dxfId="2736" priority="1010" operator="greaterThan">
      <formula>0</formula>
    </cfRule>
  </conditionalFormatting>
  <conditionalFormatting sqref="AB38">
    <cfRule type="cellIs" dxfId="2735" priority="1005" operator="equal">
      <formula>"-"</formula>
    </cfRule>
    <cfRule type="cellIs" dxfId="2734" priority="1006" operator="lessThan">
      <formula>0</formula>
    </cfRule>
    <cfRule type="cellIs" dxfId="2733" priority="1007" operator="greaterThan">
      <formula>0</formula>
    </cfRule>
  </conditionalFormatting>
  <conditionalFormatting sqref="Z2:AB2">
    <cfRule type="notContainsErrors" dxfId="2732" priority="1001">
      <formula>NOT(ISERROR(Z2))</formula>
    </cfRule>
  </conditionalFormatting>
  <conditionalFormatting sqref="Z2">
    <cfRule type="containsText" dxfId="2731" priority="997" operator="containsText" text="NEUTRO">
      <formula>NOT(ISERROR(SEARCH("NEUTRO",Z2)))</formula>
    </cfRule>
    <cfRule type="containsText" dxfId="2730" priority="998" operator="containsText" text="BULLISH">
      <formula>NOT(ISERROR(SEARCH("BULLISH",Z2)))</formula>
    </cfRule>
    <cfRule type="containsText" dxfId="2729" priority="999" operator="containsText" text="BEARISH">
      <formula>NOT(ISERROR(SEARCH("BEARISH",Z2)))</formula>
    </cfRule>
    <cfRule type="containsBlanks" dxfId="2728" priority="1000">
      <formula>LEN(TRIM(Z2))=0</formula>
    </cfRule>
  </conditionalFormatting>
  <conditionalFormatting sqref="Z12:AB12">
    <cfRule type="notContainsErrors" dxfId="2727" priority="996">
      <formula>NOT(ISERROR(Z12))</formula>
    </cfRule>
  </conditionalFormatting>
  <conditionalFormatting sqref="Z12">
    <cfRule type="containsText" dxfId="2726" priority="992" operator="containsText" text="NEUTRO">
      <formula>NOT(ISERROR(SEARCH("NEUTRO",Z12)))</formula>
    </cfRule>
    <cfRule type="containsText" dxfId="2725" priority="993" operator="containsText" text="BULLISH">
      <formula>NOT(ISERROR(SEARCH("BULLISH",Z12)))</formula>
    </cfRule>
    <cfRule type="containsText" dxfId="2724" priority="994" operator="containsText" text="BEARISH">
      <formula>NOT(ISERROR(SEARCH("BEARISH",Z12)))</formula>
    </cfRule>
    <cfRule type="containsBlanks" dxfId="2723" priority="995">
      <formula>LEN(TRIM(Z12))=0</formula>
    </cfRule>
  </conditionalFormatting>
  <conditionalFormatting sqref="Z16:AB16">
    <cfRule type="notContainsErrors" dxfId="2722" priority="991">
      <formula>NOT(ISERROR(Z16))</formula>
    </cfRule>
  </conditionalFormatting>
  <conditionalFormatting sqref="Z16">
    <cfRule type="containsText" dxfId="2721" priority="987" operator="containsText" text="NEUTRO">
      <formula>NOT(ISERROR(SEARCH("NEUTRO",Z16)))</formula>
    </cfRule>
    <cfRule type="containsText" dxfId="2720" priority="988" operator="containsText" text="BULLISH">
      <formula>NOT(ISERROR(SEARCH("BULLISH",Z16)))</formula>
    </cfRule>
    <cfRule type="containsText" dxfId="2719" priority="989" operator="containsText" text="BEARISH">
      <formula>NOT(ISERROR(SEARCH("BEARISH",Z16)))</formula>
    </cfRule>
    <cfRule type="containsBlanks" dxfId="2718" priority="990">
      <formula>LEN(TRIM(Z16))=0</formula>
    </cfRule>
  </conditionalFormatting>
  <conditionalFormatting sqref="Z20:AB20">
    <cfRule type="notContainsErrors" dxfId="2717" priority="986">
      <formula>NOT(ISERROR(Z20))</formula>
    </cfRule>
  </conditionalFormatting>
  <conditionalFormatting sqref="Z20">
    <cfRule type="containsText" dxfId="2716" priority="982" operator="containsText" text="NEUTRO">
      <formula>NOT(ISERROR(SEARCH("NEUTRO",Z20)))</formula>
    </cfRule>
    <cfRule type="containsText" dxfId="2715" priority="983" operator="containsText" text="BULLISH">
      <formula>NOT(ISERROR(SEARCH("BULLISH",Z20)))</formula>
    </cfRule>
    <cfRule type="containsText" dxfId="2714" priority="984" operator="containsText" text="BEARISH">
      <formula>NOT(ISERROR(SEARCH("BEARISH",Z20)))</formula>
    </cfRule>
    <cfRule type="containsBlanks" dxfId="2713" priority="985">
      <formula>LEN(TRIM(Z20))=0</formula>
    </cfRule>
  </conditionalFormatting>
  <conditionalFormatting sqref="Z24">
    <cfRule type="containsText" dxfId="2712" priority="977" operator="containsText" text="NEUTRO">
      <formula>NOT(ISERROR(SEARCH("NEUTRO",Z24)))</formula>
    </cfRule>
    <cfRule type="containsText" dxfId="2711" priority="978" operator="containsText" text="BULLISH">
      <formula>NOT(ISERROR(SEARCH("BULLISH",Z24)))</formula>
    </cfRule>
    <cfRule type="containsText" dxfId="2710" priority="979" operator="containsText" text="BEARISH">
      <formula>NOT(ISERROR(SEARCH("BEARISH",Z24)))</formula>
    </cfRule>
    <cfRule type="containsBlanks" dxfId="2709" priority="980">
      <formula>LEN(TRIM(Z24))=0</formula>
    </cfRule>
  </conditionalFormatting>
  <conditionalFormatting sqref="Z32:AB32">
    <cfRule type="notContainsErrors" dxfId="2708" priority="976">
      <formula>NOT(ISERROR(Z32))</formula>
    </cfRule>
  </conditionalFormatting>
  <conditionalFormatting sqref="Z32">
    <cfRule type="containsText" dxfId="2707" priority="972" operator="containsText" text="NEUTRO">
      <formula>NOT(ISERROR(SEARCH("NEUTRO",Z32)))</formula>
    </cfRule>
    <cfRule type="containsText" dxfId="2706" priority="973" operator="containsText" text="BULLISH">
      <formula>NOT(ISERROR(SEARCH("BULLISH",Z32)))</formula>
    </cfRule>
    <cfRule type="containsText" dxfId="2705" priority="974" operator="containsText" text="BEARISH">
      <formula>NOT(ISERROR(SEARCH("BEARISH",Z32)))</formula>
    </cfRule>
    <cfRule type="containsBlanks" dxfId="2704" priority="975">
      <formula>LEN(TRIM(Z32))=0</formula>
    </cfRule>
  </conditionalFormatting>
  <conditionalFormatting sqref="Z37:AB37">
    <cfRule type="notContainsErrors" dxfId="2703" priority="971">
      <formula>NOT(ISERROR(Z37))</formula>
    </cfRule>
  </conditionalFormatting>
  <conditionalFormatting sqref="Z37">
    <cfRule type="containsText" dxfId="2702" priority="967" operator="containsText" text="NEUTRO">
      <formula>NOT(ISERROR(SEARCH("NEUTRO",Z37)))</formula>
    </cfRule>
    <cfRule type="containsText" dxfId="2701" priority="968" operator="containsText" text="BULLISH">
      <formula>NOT(ISERROR(SEARCH("BULLISH",Z37)))</formula>
    </cfRule>
    <cfRule type="containsText" dxfId="2700" priority="969" operator="containsText" text="BEARISH">
      <formula>NOT(ISERROR(SEARCH("BEARISH",Z37)))</formula>
    </cfRule>
    <cfRule type="containsBlanks" dxfId="2699" priority="970">
      <formula>LEN(TRIM(Z37))=0</formula>
    </cfRule>
  </conditionalFormatting>
  <conditionalFormatting sqref="Y39">
    <cfRule type="cellIs" dxfId="2698" priority="773" operator="equal">
      <formula>"-"</formula>
    </cfRule>
    <cfRule type="cellIs" dxfId="2697" priority="774" operator="lessThan">
      <formula>0</formula>
    </cfRule>
    <cfRule type="cellIs" dxfId="2696" priority="775" operator="greaterThan">
      <formula>0</formula>
    </cfRule>
  </conditionalFormatting>
  <conditionalFormatting sqref="Y15">
    <cfRule type="colorScale" priority="811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Y8:Y10">
    <cfRule type="cellIs" dxfId="2695" priority="808" operator="lessThan">
      <formula>0</formula>
    </cfRule>
    <cfRule type="cellIs" dxfId="2694" priority="809" operator="greaterThan">
      <formula>0</formula>
    </cfRule>
  </conditionalFormatting>
  <conditionalFormatting sqref="Y8:Y10">
    <cfRule type="cellIs" dxfId="2693" priority="807" operator="equal">
      <formula>"-"</formula>
    </cfRule>
  </conditionalFormatting>
  <conditionalFormatting sqref="Y11">
    <cfRule type="colorScale" priority="810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Y3:Y7">
    <cfRule type="cellIs" dxfId="2692" priority="804" operator="equal">
      <formula>"-"</formula>
    </cfRule>
    <cfRule type="cellIs" dxfId="2691" priority="805" operator="lessThan">
      <formula>0</formula>
    </cfRule>
    <cfRule type="cellIs" dxfId="2690" priority="806" operator="greaterThan">
      <formula>0</formula>
    </cfRule>
  </conditionalFormatting>
  <conditionalFormatting sqref="Y27:Y31">
    <cfRule type="cellIs" dxfId="2689" priority="802" operator="lessThan">
      <formula>0</formula>
    </cfRule>
    <cfRule type="cellIs" dxfId="2688" priority="803" operator="greaterThan">
      <formula>0</formula>
    </cfRule>
  </conditionalFormatting>
  <conditionalFormatting sqref="Y27:Y31">
    <cfRule type="cellIs" dxfId="2687" priority="801" operator="equal">
      <formula>"-"</formula>
    </cfRule>
  </conditionalFormatting>
  <conditionalFormatting sqref="Y36">
    <cfRule type="colorScale" priority="800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Y34:Y35">
    <cfRule type="cellIs" dxfId="2686" priority="798" operator="lessThan">
      <formula>0</formula>
    </cfRule>
    <cfRule type="cellIs" dxfId="2685" priority="799" operator="greaterThan">
      <formula>0</formula>
    </cfRule>
  </conditionalFormatting>
  <conditionalFormatting sqref="Y34:Y35">
    <cfRule type="cellIs" dxfId="2684" priority="797" operator="equal">
      <formula>"-"</formula>
    </cfRule>
  </conditionalFormatting>
  <conditionalFormatting sqref="Y13:Y14">
    <cfRule type="cellIs" dxfId="2683" priority="794" operator="equal">
      <formula>"-"</formula>
    </cfRule>
    <cfRule type="cellIs" dxfId="2682" priority="795" operator="lessThan">
      <formula>0</formula>
    </cfRule>
    <cfRule type="cellIs" dxfId="2681" priority="796" operator="greaterThan">
      <formula>0</formula>
    </cfRule>
  </conditionalFormatting>
  <conditionalFormatting sqref="Y18">
    <cfRule type="cellIs" dxfId="2680" priority="792" operator="lessThan">
      <formula>0</formula>
    </cfRule>
    <cfRule type="cellIs" dxfId="2679" priority="793" operator="greaterThan">
      <formula>0</formula>
    </cfRule>
  </conditionalFormatting>
  <conditionalFormatting sqref="Y18">
    <cfRule type="cellIs" dxfId="2678" priority="791" operator="equal">
      <formula>"-"</formula>
    </cfRule>
  </conditionalFormatting>
  <conditionalFormatting sqref="Y17">
    <cfRule type="cellIs" dxfId="2677" priority="789" operator="lessThan">
      <formula>0</formula>
    </cfRule>
    <cfRule type="cellIs" dxfId="2676" priority="790" operator="greaterThan">
      <formula>0</formula>
    </cfRule>
  </conditionalFormatting>
  <conditionalFormatting sqref="Y17">
    <cfRule type="cellIs" dxfId="2675" priority="788" operator="equal">
      <formula>"-"</formula>
    </cfRule>
  </conditionalFormatting>
  <conditionalFormatting sqref="Y21:Y22">
    <cfRule type="cellIs" dxfId="2674" priority="785" operator="equal">
      <formula>"-"</formula>
    </cfRule>
    <cfRule type="cellIs" dxfId="2673" priority="786" operator="lessThan">
      <formula>0</formula>
    </cfRule>
    <cfRule type="cellIs" dxfId="2672" priority="787" operator="greaterThan">
      <formula>0</formula>
    </cfRule>
  </conditionalFormatting>
  <conditionalFormatting sqref="Y25:Y26">
    <cfRule type="cellIs" dxfId="2671" priority="782" operator="equal">
      <formula>"-"</formula>
    </cfRule>
    <cfRule type="cellIs" dxfId="2670" priority="783" operator="lessThan">
      <formula>0</formula>
    </cfRule>
    <cfRule type="cellIs" dxfId="2669" priority="784" operator="greaterThan">
      <formula>0</formula>
    </cfRule>
  </conditionalFormatting>
  <conditionalFormatting sqref="Y33">
    <cfRule type="cellIs" dxfId="2668" priority="779" operator="equal">
      <formula>"-"</formula>
    </cfRule>
    <cfRule type="cellIs" dxfId="2667" priority="780" operator="lessThan">
      <formula>0</formula>
    </cfRule>
    <cfRule type="cellIs" dxfId="2666" priority="781" operator="greaterThan">
      <formula>0</formula>
    </cfRule>
  </conditionalFormatting>
  <conditionalFormatting sqref="Y38">
    <cfRule type="cellIs" dxfId="2665" priority="776" operator="equal">
      <formula>"-"</formula>
    </cfRule>
    <cfRule type="cellIs" dxfId="2664" priority="777" operator="lessThan">
      <formula>0</formula>
    </cfRule>
    <cfRule type="cellIs" dxfId="2663" priority="778" operator="greaterThan">
      <formula>0</formula>
    </cfRule>
  </conditionalFormatting>
  <conditionalFormatting sqref="W24:Y24">
    <cfRule type="notContainsErrors" dxfId="2662" priority="752">
      <formula>NOT(ISERROR(W24))</formula>
    </cfRule>
  </conditionalFormatting>
  <conditionalFormatting sqref="W2:Y2">
    <cfRule type="notContainsErrors" dxfId="2661" priority="772">
      <formula>NOT(ISERROR(W2))</formula>
    </cfRule>
  </conditionalFormatting>
  <conditionalFormatting sqref="W2">
    <cfRule type="containsText" dxfId="2660" priority="768" operator="containsText" text="NEUTRO">
      <formula>NOT(ISERROR(SEARCH("NEUTRO",W2)))</formula>
    </cfRule>
    <cfRule type="containsText" dxfId="2659" priority="769" operator="containsText" text="BULLISH">
      <formula>NOT(ISERROR(SEARCH("BULLISH",W2)))</formula>
    </cfRule>
    <cfRule type="containsText" dxfId="2658" priority="770" operator="containsText" text="BEARISH">
      <formula>NOT(ISERROR(SEARCH("BEARISH",W2)))</formula>
    </cfRule>
    <cfRule type="containsBlanks" dxfId="2657" priority="771">
      <formula>LEN(TRIM(W2))=0</formula>
    </cfRule>
  </conditionalFormatting>
  <conditionalFormatting sqref="W12:Y12">
    <cfRule type="notContainsErrors" dxfId="2656" priority="767">
      <formula>NOT(ISERROR(W12))</formula>
    </cfRule>
  </conditionalFormatting>
  <conditionalFormatting sqref="W12">
    <cfRule type="containsText" dxfId="2655" priority="763" operator="containsText" text="NEUTRO">
      <formula>NOT(ISERROR(SEARCH("NEUTRO",W12)))</formula>
    </cfRule>
    <cfRule type="containsText" dxfId="2654" priority="764" operator="containsText" text="BULLISH">
      <formula>NOT(ISERROR(SEARCH("BULLISH",W12)))</formula>
    </cfRule>
    <cfRule type="containsText" dxfId="2653" priority="765" operator="containsText" text="BEARISH">
      <formula>NOT(ISERROR(SEARCH("BEARISH",W12)))</formula>
    </cfRule>
    <cfRule type="containsBlanks" dxfId="2652" priority="766">
      <formula>LEN(TRIM(W12))=0</formula>
    </cfRule>
  </conditionalFormatting>
  <conditionalFormatting sqref="W16:Y16">
    <cfRule type="notContainsErrors" dxfId="2651" priority="762">
      <formula>NOT(ISERROR(W16))</formula>
    </cfRule>
  </conditionalFormatting>
  <conditionalFormatting sqref="W16">
    <cfRule type="containsText" dxfId="2650" priority="758" operator="containsText" text="NEUTRO">
      <formula>NOT(ISERROR(SEARCH("NEUTRO",W16)))</formula>
    </cfRule>
    <cfRule type="containsText" dxfId="2649" priority="759" operator="containsText" text="BULLISH">
      <formula>NOT(ISERROR(SEARCH("BULLISH",W16)))</formula>
    </cfRule>
    <cfRule type="containsText" dxfId="2648" priority="760" operator="containsText" text="BEARISH">
      <formula>NOT(ISERROR(SEARCH("BEARISH",W16)))</formula>
    </cfRule>
    <cfRule type="containsBlanks" dxfId="2647" priority="761">
      <formula>LEN(TRIM(W16))=0</formula>
    </cfRule>
  </conditionalFormatting>
  <conditionalFormatting sqref="W20:Y20">
    <cfRule type="notContainsErrors" dxfId="2646" priority="757">
      <formula>NOT(ISERROR(W20))</formula>
    </cfRule>
  </conditionalFormatting>
  <conditionalFormatting sqref="W20">
    <cfRule type="containsText" dxfId="2645" priority="753" operator="containsText" text="NEUTRO">
      <formula>NOT(ISERROR(SEARCH("NEUTRO",W20)))</formula>
    </cfRule>
    <cfRule type="containsText" dxfId="2644" priority="754" operator="containsText" text="BULLISH">
      <formula>NOT(ISERROR(SEARCH("BULLISH",W20)))</formula>
    </cfRule>
    <cfRule type="containsText" dxfId="2643" priority="755" operator="containsText" text="BEARISH">
      <formula>NOT(ISERROR(SEARCH("BEARISH",W20)))</formula>
    </cfRule>
    <cfRule type="containsBlanks" dxfId="2642" priority="756">
      <formula>LEN(TRIM(W20))=0</formula>
    </cfRule>
  </conditionalFormatting>
  <conditionalFormatting sqref="W24">
    <cfRule type="containsText" dxfId="2641" priority="748" operator="containsText" text="NEUTRO">
      <formula>NOT(ISERROR(SEARCH("NEUTRO",W24)))</formula>
    </cfRule>
    <cfRule type="containsText" dxfId="2640" priority="749" operator="containsText" text="BULLISH">
      <formula>NOT(ISERROR(SEARCH("BULLISH",W24)))</formula>
    </cfRule>
    <cfRule type="containsText" dxfId="2639" priority="750" operator="containsText" text="BEARISH">
      <formula>NOT(ISERROR(SEARCH("BEARISH",W24)))</formula>
    </cfRule>
    <cfRule type="containsBlanks" dxfId="2638" priority="751">
      <formula>LEN(TRIM(W24))=0</formula>
    </cfRule>
  </conditionalFormatting>
  <conditionalFormatting sqref="W32:Y32">
    <cfRule type="notContainsErrors" dxfId="2637" priority="747">
      <formula>NOT(ISERROR(W32))</formula>
    </cfRule>
  </conditionalFormatting>
  <conditionalFormatting sqref="W32">
    <cfRule type="containsText" dxfId="2636" priority="743" operator="containsText" text="NEUTRO">
      <formula>NOT(ISERROR(SEARCH("NEUTRO",W32)))</formula>
    </cfRule>
    <cfRule type="containsText" dxfId="2635" priority="744" operator="containsText" text="BULLISH">
      <formula>NOT(ISERROR(SEARCH("BULLISH",W32)))</formula>
    </cfRule>
    <cfRule type="containsText" dxfId="2634" priority="745" operator="containsText" text="BEARISH">
      <formula>NOT(ISERROR(SEARCH("BEARISH",W32)))</formula>
    </cfRule>
    <cfRule type="containsBlanks" dxfId="2633" priority="746">
      <formula>LEN(TRIM(W32))=0</formula>
    </cfRule>
  </conditionalFormatting>
  <conditionalFormatting sqref="W37:Y37">
    <cfRule type="notContainsErrors" dxfId="2632" priority="742">
      <formula>NOT(ISERROR(W37))</formula>
    </cfRule>
  </conditionalFormatting>
  <conditionalFormatting sqref="W37">
    <cfRule type="containsText" dxfId="2631" priority="738" operator="containsText" text="NEUTRO">
      <formula>NOT(ISERROR(SEARCH("NEUTRO",W37)))</formula>
    </cfRule>
    <cfRule type="containsText" dxfId="2630" priority="739" operator="containsText" text="BULLISH">
      <formula>NOT(ISERROR(SEARCH("BULLISH",W37)))</formula>
    </cfRule>
    <cfRule type="containsText" dxfId="2629" priority="740" operator="containsText" text="BEARISH">
      <formula>NOT(ISERROR(SEARCH("BEARISH",W37)))</formula>
    </cfRule>
    <cfRule type="containsBlanks" dxfId="2628" priority="741">
      <formula>LEN(TRIM(W37))=0</formula>
    </cfRule>
  </conditionalFormatting>
  <conditionalFormatting sqref="V39">
    <cfRule type="cellIs" dxfId="2627" priority="699" operator="equal">
      <formula>"-"</formula>
    </cfRule>
    <cfRule type="cellIs" dxfId="2626" priority="700" operator="lessThan">
      <formula>0</formula>
    </cfRule>
    <cfRule type="cellIs" dxfId="2625" priority="701" operator="greaterThan">
      <formula>0</formula>
    </cfRule>
  </conditionalFormatting>
  <conditionalFormatting sqref="V15">
    <cfRule type="colorScale" priority="737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V8:V10">
    <cfRule type="cellIs" dxfId="2624" priority="734" operator="lessThan">
      <formula>0</formula>
    </cfRule>
    <cfRule type="cellIs" dxfId="2623" priority="735" operator="greaterThan">
      <formula>0</formula>
    </cfRule>
  </conditionalFormatting>
  <conditionalFormatting sqref="V8:V10">
    <cfRule type="cellIs" dxfId="2622" priority="733" operator="equal">
      <formula>"-"</formula>
    </cfRule>
  </conditionalFormatting>
  <conditionalFormatting sqref="V11">
    <cfRule type="colorScale" priority="736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V3:V7">
    <cfRule type="cellIs" dxfId="2621" priority="730" operator="equal">
      <formula>"-"</formula>
    </cfRule>
    <cfRule type="cellIs" dxfId="2620" priority="731" operator="lessThan">
      <formula>0</formula>
    </cfRule>
    <cfRule type="cellIs" dxfId="2619" priority="732" operator="greaterThan">
      <formula>0</formula>
    </cfRule>
  </conditionalFormatting>
  <conditionalFormatting sqref="V27:V31">
    <cfRule type="cellIs" dxfId="2618" priority="728" operator="lessThan">
      <formula>0</formula>
    </cfRule>
    <cfRule type="cellIs" dxfId="2617" priority="729" operator="greaterThan">
      <formula>0</formula>
    </cfRule>
  </conditionalFormatting>
  <conditionalFormatting sqref="V27:V31">
    <cfRule type="cellIs" dxfId="2616" priority="727" operator="equal">
      <formula>"-"</formula>
    </cfRule>
  </conditionalFormatting>
  <conditionalFormatting sqref="V36">
    <cfRule type="colorScale" priority="726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V34:V35">
    <cfRule type="cellIs" dxfId="2615" priority="724" operator="lessThan">
      <formula>0</formula>
    </cfRule>
    <cfRule type="cellIs" dxfId="2614" priority="725" operator="greaterThan">
      <formula>0</formula>
    </cfRule>
  </conditionalFormatting>
  <conditionalFormatting sqref="V34:V35">
    <cfRule type="cellIs" dxfId="2613" priority="723" operator="equal">
      <formula>"-"</formula>
    </cfRule>
  </conditionalFormatting>
  <conditionalFormatting sqref="V13:V14">
    <cfRule type="cellIs" dxfId="2612" priority="720" operator="equal">
      <formula>"-"</formula>
    </cfRule>
    <cfRule type="cellIs" dxfId="2611" priority="721" operator="lessThan">
      <formula>0</formula>
    </cfRule>
    <cfRule type="cellIs" dxfId="2610" priority="722" operator="greaterThan">
      <formula>0</formula>
    </cfRule>
  </conditionalFormatting>
  <conditionalFormatting sqref="V18">
    <cfRule type="cellIs" dxfId="2609" priority="718" operator="lessThan">
      <formula>0</formula>
    </cfRule>
    <cfRule type="cellIs" dxfId="2608" priority="719" operator="greaterThan">
      <formula>0</formula>
    </cfRule>
  </conditionalFormatting>
  <conditionalFormatting sqref="V18">
    <cfRule type="cellIs" dxfId="2607" priority="717" operator="equal">
      <formula>"-"</formula>
    </cfRule>
  </conditionalFormatting>
  <conditionalFormatting sqref="V17">
    <cfRule type="cellIs" dxfId="2606" priority="715" operator="lessThan">
      <formula>0</formula>
    </cfRule>
    <cfRule type="cellIs" dxfId="2605" priority="716" operator="greaterThan">
      <formula>0</formula>
    </cfRule>
  </conditionalFormatting>
  <conditionalFormatting sqref="V17">
    <cfRule type="cellIs" dxfId="2604" priority="714" operator="equal">
      <formula>"-"</formula>
    </cfRule>
  </conditionalFormatting>
  <conditionalFormatting sqref="V21:V22">
    <cfRule type="cellIs" dxfId="2603" priority="711" operator="equal">
      <formula>"-"</formula>
    </cfRule>
    <cfRule type="cellIs" dxfId="2602" priority="712" operator="lessThan">
      <formula>0</formula>
    </cfRule>
    <cfRule type="cellIs" dxfId="2601" priority="713" operator="greaterThan">
      <formula>0</formula>
    </cfRule>
  </conditionalFormatting>
  <conditionalFormatting sqref="V25:V26">
    <cfRule type="cellIs" dxfId="2600" priority="708" operator="equal">
      <formula>"-"</formula>
    </cfRule>
    <cfRule type="cellIs" dxfId="2599" priority="709" operator="lessThan">
      <formula>0</formula>
    </cfRule>
    <cfRule type="cellIs" dxfId="2598" priority="710" operator="greaterThan">
      <formula>0</formula>
    </cfRule>
  </conditionalFormatting>
  <conditionalFormatting sqref="V33">
    <cfRule type="cellIs" dxfId="2597" priority="705" operator="equal">
      <formula>"-"</formula>
    </cfRule>
    <cfRule type="cellIs" dxfId="2596" priority="706" operator="lessThan">
      <formula>0</formula>
    </cfRule>
    <cfRule type="cellIs" dxfId="2595" priority="707" operator="greaterThan">
      <formula>0</formula>
    </cfRule>
  </conditionalFormatting>
  <conditionalFormatting sqref="V38">
    <cfRule type="cellIs" dxfId="2594" priority="702" operator="equal">
      <formula>"-"</formula>
    </cfRule>
    <cfRule type="cellIs" dxfId="2593" priority="703" operator="lessThan">
      <formula>0</formula>
    </cfRule>
    <cfRule type="cellIs" dxfId="2592" priority="704" operator="greaterThan">
      <formula>0</formula>
    </cfRule>
  </conditionalFormatting>
  <conditionalFormatting sqref="T24:V24">
    <cfRule type="notContainsErrors" dxfId="2591" priority="678">
      <formula>NOT(ISERROR(T24))</formula>
    </cfRule>
  </conditionalFormatting>
  <conditionalFormatting sqref="T2:V2">
    <cfRule type="notContainsErrors" dxfId="2590" priority="698">
      <formula>NOT(ISERROR(T2))</formula>
    </cfRule>
  </conditionalFormatting>
  <conditionalFormatting sqref="T2">
    <cfRule type="containsText" dxfId="2589" priority="694" operator="containsText" text="NEUTRO">
      <formula>NOT(ISERROR(SEARCH("NEUTRO",T2)))</formula>
    </cfRule>
    <cfRule type="containsText" dxfId="2588" priority="695" operator="containsText" text="BULLISH">
      <formula>NOT(ISERROR(SEARCH("BULLISH",T2)))</formula>
    </cfRule>
    <cfRule type="containsText" dxfId="2587" priority="696" operator="containsText" text="BEARISH">
      <formula>NOT(ISERROR(SEARCH("BEARISH",T2)))</formula>
    </cfRule>
    <cfRule type="containsBlanks" dxfId="2586" priority="697">
      <formula>LEN(TRIM(T2))=0</formula>
    </cfRule>
  </conditionalFormatting>
  <conditionalFormatting sqref="T12:V12">
    <cfRule type="notContainsErrors" dxfId="2585" priority="693">
      <formula>NOT(ISERROR(T12))</formula>
    </cfRule>
  </conditionalFormatting>
  <conditionalFormatting sqref="T12">
    <cfRule type="containsText" dxfId="2584" priority="689" operator="containsText" text="NEUTRO">
      <formula>NOT(ISERROR(SEARCH("NEUTRO",T12)))</formula>
    </cfRule>
    <cfRule type="containsText" dxfId="2583" priority="690" operator="containsText" text="BULLISH">
      <formula>NOT(ISERROR(SEARCH("BULLISH",T12)))</formula>
    </cfRule>
    <cfRule type="containsText" dxfId="2582" priority="691" operator="containsText" text="BEARISH">
      <formula>NOT(ISERROR(SEARCH("BEARISH",T12)))</formula>
    </cfRule>
    <cfRule type="containsBlanks" dxfId="2581" priority="692">
      <formula>LEN(TRIM(T12))=0</formula>
    </cfRule>
  </conditionalFormatting>
  <conditionalFormatting sqref="T16:V16">
    <cfRule type="notContainsErrors" dxfId="2580" priority="688">
      <formula>NOT(ISERROR(T16))</formula>
    </cfRule>
  </conditionalFormatting>
  <conditionalFormatting sqref="T16">
    <cfRule type="containsText" dxfId="2579" priority="684" operator="containsText" text="NEUTRO">
      <formula>NOT(ISERROR(SEARCH("NEUTRO",T16)))</formula>
    </cfRule>
    <cfRule type="containsText" dxfId="2578" priority="685" operator="containsText" text="BULLISH">
      <formula>NOT(ISERROR(SEARCH("BULLISH",T16)))</formula>
    </cfRule>
    <cfRule type="containsText" dxfId="2577" priority="686" operator="containsText" text="BEARISH">
      <formula>NOT(ISERROR(SEARCH("BEARISH",T16)))</formula>
    </cfRule>
    <cfRule type="containsBlanks" dxfId="2576" priority="687">
      <formula>LEN(TRIM(T16))=0</formula>
    </cfRule>
  </conditionalFormatting>
  <conditionalFormatting sqref="T20:V20">
    <cfRule type="notContainsErrors" dxfId="2575" priority="683">
      <formula>NOT(ISERROR(T20))</formula>
    </cfRule>
  </conditionalFormatting>
  <conditionalFormatting sqref="T20">
    <cfRule type="containsText" dxfId="2574" priority="679" operator="containsText" text="NEUTRO">
      <formula>NOT(ISERROR(SEARCH("NEUTRO",T20)))</formula>
    </cfRule>
    <cfRule type="containsText" dxfId="2573" priority="680" operator="containsText" text="BULLISH">
      <formula>NOT(ISERROR(SEARCH("BULLISH",T20)))</formula>
    </cfRule>
    <cfRule type="containsText" dxfId="2572" priority="681" operator="containsText" text="BEARISH">
      <formula>NOT(ISERROR(SEARCH("BEARISH",T20)))</formula>
    </cfRule>
    <cfRule type="containsBlanks" dxfId="2571" priority="682">
      <formula>LEN(TRIM(T20))=0</formula>
    </cfRule>
  </conditionalFormatting>
  <conditionalFormatting sqref="T24">
    <cfRule type="containsText" dxfId="2570" priority="674" operator="containsText" text="NEUTRO">
      <formula>NOT(ISERROR(SEARCH("NEUTRO",T24)))</formula>
    </cfRule>
    <cfRule type="containsText" dxfId="2569" priority="675" operator="containsText" text="BULLISH">
      <formula>NOT(ISERROR(SEARCH("BULLISH",T24)))</formula>
    </cfRule>
    <cfRule type="containsText" dxfId="2568" priority="676" operator="containsText" text="BEARISH">
      <formula>NOT(ISERROR(SEARCH("BEARISH",T24)))</formula>
    </cfRule>
    <cfRule type="containsBlanks" dxfId="2567" priority="677">
      <formula>LEN(TRIM(T24))=0</formula>
    </cfRule>
  </conditionalFormatting>
  <conditionalFormatting sqref="T32:V32">
    <cfRule type="notContainsErrors" dxfId="2566" priority="673">
      <formula>NOT(ISERROR(T32))</formula>
    </cfRule>
  </conditionalFormatting>
  <conditionalFormatting sqref="T32">
    <cfRule type="containsText" dxfId="2565" priority="669" operator="containsText" text="NEUTRO">
      <formula>NOT(ISERROR(SEARCH("NEUTRO",T32)))</formula>
    </cfRule>
    <cfRule type="containsText" dxfId="2564" priority="670" operator="containsText" text="BULLISH">
      <formula>NOT(ISERROR(SEARCH("BULLISH",T32)))</formula>
    </cfRule>
    <cfRule type="containsText" dxfId="2563" priority="671" operator="containsText" text="BEARISH">
      <formula>NOT(ISERROR(SEARCH("BEARISH",T32)))</formula>
    </cfRule>
    <cfRule type="containsBlanks" dxfId="2562" priority="672">
      <formula>LEN(TRIM(T32))=0</formula>
    </cfRule>
  </conditionalFormatting>
  <conditionalFormatting sqref="T37:V37">
    <cfRule type="notContainsErrors" dxfId="2561" priority="668">
      <formula>NOT(ISERROR(T37))</formula>
    </cfRule>
  </conditionalFormatting>
  <conditionalFormatting sqref="T37">
    <cfRule type="containsText" dxfId="2560" priority="664" operator="containsText" text="NEUTRO">
      <formula>NOT(ISERROR(SEARCH("NEUTRO",T37)))</formula>
    </cfRule>
    <cfRule type="containsText" dxfId="2559" priority="665" operator="containsText" text="BULLISH">
      <formula>NOT(ISERROR(SEARCH("BULLISH",T37)))</formula>
    </cfRule>
    <cfRule type="containsText" dxfId="2558" priority="666" operator="containsText" text="BEARISH">
      <formula>NOT(ISERROR(SEARCH("BEARISH",T37)))</formula>
    </cfRule>
    <cfRule type="containsBlanks" dxfId="2557" priority="667">
      <formula>LEN(TRIM(T37))=0</formula>
    </cfRule>
  </conditionalFormatting>
  <conditionalFormatting sqref="S39">
    <cfRule type="cellIs" dxfId="2556" priority="625" operator="equal">
      <formula>"-"</formula>
    </cfRule>
    <cfRule type="cellIs" dxfId="2555" priority="626" operator="lessThan">
      <formula>0</formula>
    </cfRule>
    <cfRule type="cellIs" dxfId="2554" priority="627" operator="greaterThan">
      <formula>0</formula>
    </cfRule>
  </conditionalFormatting>
  <conditionalFormatting sqref="S15">
    <cfRule type="colorScale" priority="663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S8:S10">
    <cfRule type="cellIs" dxfId="2553" priority="660" operator="lessThan">
      <formula>0</formula>
    </cfRule>
    <cfRule type="cellIs" dxfId="2552" priority="661" operator="greaterThan">
      <formula>0</formula>
    </cfRule>
  </conditionalFormatting>
  <conditionalFormatting sqref="S8:S10">
    <cfRule type="cellIs" dxfId="2551" priority="659" operator="equal">
      <formula>"-"</formula>
    </cfRule>
  </conditionalFormatting>
  <conditionalFormatting sqref="S11">
    <cfRule type="colorScale" priority="662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S3:S7">
    <cfRule type="cellIs" dxfId="2550" priority="656" operator="equal">
      <formula>"-"</formula>
    </cfRule>
    <cfRule type="cellIs" dxfId="2549" priority="657" operator="lessThan">
      <formula>0</formula>
    </cfRule>
    <cfRule type="cellIs" dxfId="2548" priority="658" operator="greaterThan">
      <formula>0</formula>
    </cfRule>
  </conditionalFormatting>
  <conditionalFormatting sqref="S27:S31">
    <cfRule type="cellIs" dxfId="2547" priority="654" operator="lessThan">
      <formula>0</formula>
    </cfRule>
    <cfRule type="cellIs" dxfId="2546" priority="655" operator="greaterThan">
      <formula>0</formula>
    </cfRule>
  </conditionalFormatting>
  <conditionalFormatting sqref="S27:S31">
    <cfRule type="cellIs" dxfId="2545" priority="653" operator="equal">
      <formula>"-"</formula>
    </cfRule>
  </conditionalFormatting>
  <conditionalFormatting sqref="S36">
    <cfRule type="colorScale" priority="652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S34:S35">
    <cfRule type="cellIs" dxfId="2544" priority="650" operator="lessThan">
      <formula>0</formula>
    </cfRule>
    <cfRule type="cellIs" dxfId="2543" priority="651" operator="greaterThan">
      <formula>0</formula>
    </cfRule>
  </conditionalFormatting>
  <conditionalFormatting sqref="S34:S35">
    <cfRule type="cellIs" dxfId="2542" priority="649" operator="equal">
      <formula>"-"</formula>
    </cfRule>
  </conditionalFormatting>
  <conditionalFormatting sqref="S13:S14">
    <cfRule type="cellIs" dxfId="2541" priority="646" operator="equal">
      <formula>"-"</formula>
    </cfRule>
    <cfRule type="cellIs" dxfId="2540" priority="647" operator="lessThan">
      <formula>0</formula>
    </cfRule>
    <cfRule type="cellIs" dxfId="2539" priority="648" operator="greaterThan">
      <formula>0</formula>
    </cfRule>
  </conditionalFormatting>
  <conditionalFormatting sqref="S18">
    <cfRule type="cellIs" dxfId="2538" priority="644" operator="lessThan">
      <formula>0</formula>
    </cfRule>
    <cfRule type="cellIs" dxfId="2537" priority="645" operator="greaterThan">
      <formula>0</formula>
    </cfRule>
  </conditionalFormatting>
  <conditionalFormatting sqref="S18">
    <cfRule type="cellIs" dxfId="2536" priority="643" operator="equal">
      <formula>"-"</formula>
    </cfRule>
  </conditionalFormatting>
  <conditionalFormatting sqref="S17">
    <cfRule type="cellIs" dxfId="2535" priority="641" operator="lessThan">
      <formula>0</formula>
    </cfRule>
    <cfRule type="cellIs" dxfId="2534" priority="642" operator="greaterThan">
      <formula>0</formula>
    </cfRule>
  </conditionalFormatting>
  <conditionalFormatting sqref="S17">
    <cfRule type="cellIs" dxfId="2533" priority="640" operator="equal">
      <formula>"-"</formula>
    </cfRule>
  </conditionalFormatting>
  <conditionalFormatting sqref="S21:S22">
    <cfRule type="cellIs" dxfId="2532" priority="637" operator="equal">
      <formula>"-"</formula>
    </cfRule>
    <cfRule type="cellIs" dxfId="2531" priority="638" operator="lessThan">
      <formula>0</formula>
    </cfRule>
    <cfRule type="cellIs" dxfId="2530" priority="639" operator="greaterThan">
      <formula>0</formula>
    </cfRule>
  </conditionalFormatting>
  <conditionalFormatting sqref="S25:S26">
    <cfRule type="cellIs" dxfId="2529" priority="634" operator="equal">
      <formula>"-"</formula>
    </cfRule>
    <cfRule type="cellIs" dxfId="2528" priority="635" operator="lessThan">
      <formula>0</formula>
    </cfRule>
    <cfRule type="cellIs" dxfId="2527" priority="636" operator="greaterThan">
      <formula>0</formula>
    </cfRule>
  </conditionalFormatting>
  <conditionalFormatting sqref="S33">
    <cfRule type="cellIs" dxfId="2526" priority="631" operator="equal">
      <formula>"-"</formula>
    </cfRule>
    <cfRule type="cellIs" dxfId="2525" priority="632" operator="lessThan">
      <formula>0</formula>
    </cfRule>
    <cfRule type="cellIs" dxfId="2524" priority="633" operator="greaterThan">
      <formula>0</formula>
    </cfRule>
  </conditionalFormatting>
  <conditionalFormatting sqref="S38">
    <cfRule type="cellIs" dxfId="2523" priority="628" operator="equal">
      <formula>"-"</formula>
    </cfRule>
    <cfRule type="cellIs" dxfId="2522" priority="629" operator="lessThan">
      <formula>0</formula>
    </cfRule>
    <cfRule type="cellIs" dxfId="2521" priority="630" operator="greaterThan">
      <formula>0</formula>
    </cfRule>
  </conditionalFormatting>
  <conditionalFormatting sqref="Q2">
    <cfRule type="containsText" dxfId="2520" priority="620" operator="containsText" text="NEUTRO">
      <formula>NOT(ISERROR(SEARCH("NEUTRO",Q2)))</formula>
    </cfRule>
    <cfRule type="containsText" dxfId="2519" priority="621" operator="containsText" text="BULLISH">
      <formula>NOT(ISERROR(SEARCH("BULLISH",Q2)))</formula>
    </cfRule>
    <cfRule type="containsText" dxfId="2518" priority="622" operator="containsText" text="BEARISH">
      <formula>NOT(ISERROR(SEARCH("BEARISH",Q2)))</formula>
    </cfRule>
    <cfRule type="containsBlanks" dxfId="2517" priority="623">
      <formula>LEN(TRIM(Q2))=0</formula>
    </cfRule>
  </conditionalFormatting>
  <conditionalFormatting sqref="Q12">
    <cfRule type="containsText" dxfId="2516" priority="615" operator="containsText" text="NEUTRO">
      <formula>NOT(ISERROR(SEARCH("NEUTRO",Q12)))</formula>
    </cfRule>
    <cfRule type="containsText" dxfId="2515" priority="616" operator="containsText" text="BULLISH">
      <formula>NOT(ISERROR(SEARCH("BULLISH",Q12)))</formula>
    </cfRule>
    <cfRule type="containsText" dxfId="2514" priority="617" operator="containsText" text="BEARISH">
      <formula>NOT(ISERROR(SEARCH("BEARISH",Q12)))</formula>
    </cfRule>
    <cfRule type="containsBlanks" dxfId="2513" priority="618">
      <formula>LEN(TRIM(Q12))=0</formula>
    </cfRule>
  </conditionalFormatting>
  <conditionalFormatting sqref="Q16">
    <cfRule type="containsText" dxfId="2512" priority="610" operator="containsText" text="NEUTRO">
      <formula>NOT(ISERROR(SEARCH("NEUTRO",Q16)))</formula>
    </cfRule>
    <cfRule type="containsText" dxfId="2511" priority="611" operator="containsText" text="BULLISH">
      <formula>NOT(ISERROR(SEARCH("BULLISH",Q16)))</formula>
    </cfRule>
    <cfRule type="containsText" dxfId="2510" priority="612" operator="containsText" text="BEARISH">
      <formula>NOT(ISERROR(SEARCH("BEARISH",Q16)))</formula>
    </cfRule>
    <cfRule type="containsBlanks" dxfId="2509" priority="613">
      <formula>LEN(TRIM(Q16))=0</formula>
    </cfRule>
  </conditionalFormatting>
  <conditionalFormatting sqref="Q20">
    <cfRule type="containsText" dxfId="2508" priority="605" operator="containsText" text="NEUTRO">
      <formula>NOT(ISERROR(SEARCH("NEUTRO",Q20)))</formula>
    </cfRule>
    <cfRule type="containsText" dxfId="2507" priority="606" operator="containsText" text="BULLISH">
      <formula>NOT(ISERROR(SEARCH("BULLISH",Q20)))</formula>
    </cfRule>
    <cfRule type="containsText" dxfId="2506" priority="607" operator="containsText" text="BEARISH">
      <formula>NOT(ISERROR(SEARCH("BEARISH",Q20)))</formula>
    </cfRule>
    <cfRule type="containsBlanks" dxfId="2505" priority="608">
      <formula>LEN(TRIM(Q20))=0</formula>
    </cfRule>
  </conditionalFormatting>
  <conditionalFormatting sqref="Q24">
    <cfRule type="containsText" dxfId="2504" priority="600" operator="containsText" text="NEUTRO">
      <formula>NOT(ISERROR(SEARCH("NEUTRO",Q24)))</formula>
    </cfRule>
    <cfRule type="containsText" dxfId="2503" priority="601" operator="containsText" text="BULLISH">
      <formula>NOT(ISERROR(SEARCH("BULLISH",Q24)))</formula>
    </cfRule>
    <cfRule type="containsText" dxfId="2502" priority="602" operator="containsText" text="BEARISH">
      <formula>NOT(ISERROR(SEARCH("BEARISH",Q24)))</formula>
    </cfRule>
    <cfRule type="containsBlanks" dxfId="2501" priority="603">
      <formula>LEN(TRIM(Q24))=0</formula>
    </cfRule>
  </conditionalFormatting>
  <conditionalFormatting sqref="Q32">
    <cfRule type="containsText" dxfId="2500" priority="595" operator="containsText" text="NEUTRO">
      <formula>NOT(ISERROR(SEARCH("NEUTRO",Q32)))</formula>
    </cfRule>
    <cfRule type="containsText" dxfId="2499" priority="596" operator="containsText" text="BULLISH">
      <formula>NOT(ISERROR(SEARCH("BULLISH",Q32)))</formula>
    </cfRule>
    <cfRule type="containsText" dxfId="2498" priority="597" operator="containsText" text="BEARISH">
      <formula>NOT(ISERROR(SEARCH("BEARISH",Q32)))</formula>
    </cfRule>
    <cfRule type="containsBlanks" dxfId="2497" priority="598">
      <formula>LEN(TRIM(Q32))=0</formula>
    </cfRule>
  </conditionalFormatting>
  <conditionalFormatting sqref="Q37">
    <cfRule type="containsText" dxfId="2496" priority="590" operator="containsText" text="NEUTRO">
      <formula>NOT(ISERROR(SEARCH("NEUTRO",Q37)))</formula>
    </cfRule>
    <cfRule type="containsText" dxfId="2495" priority="591" operator="containsText" text="BULLISH">
      <formula>NOT(ISERROR(SEARCH("BULLISH",Q37)))</formula>
    </cfRule>
    <cfRule type="containsText" dxfId="2494" priority="592" operator="containsText" text="BEARISH">
      <formula>NOT(ISERROR(SEARCH("BEARISH",Q37)))</formula>
    </cfRule>
    <cfRule type="containsBlanks" dxfId="2493" priority="593">
      <formula>LEN(TRIM(Q37))=0</formula>
    </cfRule>
  </conditionalFormatting>
  <conditionalFormatting sqref="P39">
    <cfRule type="cellIs" dxfId="2492" priority="551" operator="equal">
      <formula>"-"</formula>
    </cfRule>
    <cfRule type="cellIs" dxfId="2491" priority="552" operator="lessThan">
      <formula>0</formula>
    </cfRule>
    <cfRule type="cellIs" dxfId="2490" priority="553" operator="greaterThan">
      <formula>0</formula>
    </cfRule>
  </conditionalFormatting>
  <conditionalFormatting sqref="P15">
    <cfRule type="colorScale" priority="589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P8:P10">
    <cfRule type="cellIs" dxfId="2489" priority="586" operator="lessThan">
      <formula>0</formula>
    </cfRule>
    <cfRule type="cellIs" dxfId="2488" priority="587" operator="greaterThan">
      <formula>0</formula>
    </cfRule>
  </conditionalFormatting>
  <conditionalFormatting sqref="P8:P10">
    <cfRule type="cellIs" dxfId="2487" priority="585" operator="equal">
      <formula>"-"</formula>
    </cfRule>
  </conditionalFormatting>
  <conditionalFormatting sqref="P11">
    <cfRule type="colorScale" priority="588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P3:P7">
    <cfRule type="cellIs" dxfId="2486" priority="582" operator="equal">
      <formula>"-"</formula>
    </cfRule>
    <cfRule type="cellIs" dxfId="2485" priority="583" operator="lessThan">
      <formula>0</formula>
    </cfRule>
    <cfRule type="cellIs" dxfId="2484" priority="584" operator="greaterThan">
      <formula>0</formula>
    </cfRule>
  </conditionalFormatting>
  <conditionalFormatting sqref="P27:P31">
    <cfRule type="cellIs" dxfId="2483" priority="580" operator="lessThan">
      <formula>0</formula>
    </cfRule>
    <cfRule type="cellIs" dxfId="2482" priority="581" operator="greaterThan">
      <formula>0</formula>
    </cfRule>
  </conditionalFormatting>
  <conditionalFormatting sqref="P27:P31">
    <cfRule type="cellIs" dxfId="2481" priority="579" operator="equal">
      <formula>"-"</formula>
    </cfRule>
  </conditionalFormatting>
  <conditionalFormatting sqref="P36">
    <cfRule type="colorScale" priority="578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P34:P35">
    <cfRule type="cellIs" dxfId="2480" priority="576" operator="lessThan">
      <formula>0</formula>
    </cfRule>
    <cfRule type="cellIs" dxfId="2479" priority="577" operator="greaterThan">
      <formula>0</formula>
    </cfRule>
  </conditionalFormatting>
  <conditionalFormatting sqref="P34:P35">
    <cfRule type="cellIs" dxfId="2478" priority="575" operator="equal">
      <formula>"-"</formula>
    </cfRule>
  </conditionalFormatting>
  <conditionalFormatting sqref="P13:P14">
    <cfRule type="cellIs" dxfId="2477" priority="572" operator="equal">
      <formula>"-"</formula>
    </cfRule>
    <cfRule type="cellIs" dxfId="2476" priority="573" operator="lessThan">
      <formula>0</formula>
    </cfRule>
    <cfRule type="cellIs" dxfId="2475" priority="574" operator="greaterThan">
      <formula>0</formula>
    </cfRule>
  </conditionalFormatting>
  <conditionalFormatting sqref="P18">
    <cfRule type="cellIs" dxfId="2474" priority="570" operator="lessThan">
      <formula>0</formula>
    </cfRule>
    <cfRule type="cellIs" dxfId="2473" priority="571" operator="greaterThan">
      <formula>0</formula>
    </cfRule>
  </conditionalFormatting>
  <conditionalFormatting sqref="P18">
    <cfRule type="cellIs" dxfId="2472" priority="569" operator="equal">
      <formula>"-"</formula>
    </cfRule>
  </conditionalFormatting>
  <conditionalFormatting sqref="P17">
    <cfRule type="cellIs" dxfId="2471" priority="567" operator="lessThan">
      <formula>0</formula>
    </cfRule>
    <cfRule type="cellIs" dxfId="2470" priority="568" operator="greaterThan">
      <formula>0</formula>
    </cfRule>
  </conditionalFormatting>
  <conditionalFormatting sqref="P17">
    <cfRule type="cellIs" dxfId="2469" priority="566" operator="equal">
      <formula>"-"</formula>
    </cfRule>
  </conditionalFormatting>
  <conditionalFormatting sqref="P21:P22">
    <cfRule type="cellIs" dxfId="2468" priority="563" operator="equal">
      <formula>"-"</formula>
    </cfRule>
    <cfRule type="cellIs" dxfId="2467" priority="564" operator="lessThan">
      <formula>0</formula>
    </cfRule>
    <cfRule type="cellIs" dxfId="2466" priority="565" operator="greaterThan">
      <formula>0</formula>
    </cfRule>
  </conditionalFormatting>
  <conditionalFormatting sqref="P25:P26">
    <cfRule type="cellIs" dxfId="2465" priority="560" operator="equal">
      <formula>"-"</formula>
    </cfRule>
    <cfRule type="cellIs" dxfId="2464" priority="561" operator="lessThan">
      <formula>0</formula>
    </cfRule>
    <cfRule type="cellIs" dxfId="2463" priority="562" operator="greaterThan">
      <formula>0</formula>
    </cfRule>
  </conditionalFormatting>
  <conditionalFormatting sqref="P33">
    <cfRule type="cellIs" dxfId="2462" priority="557" operator="equal">
      <formula>"-"</formula>
    </cfRule>
    <cfRule type="cellIs" dxfId="2461" priority="558" operator="lessThan">
      <formula>0</formula>
    </cfRule>
    <cfRule type="cellIs" dxfId="2460" priority="559" operator="greaterThan">
      <formula>0</formula>
    </cfRule>
  </conditionalFormatting>
  <conditionalFormatting sqref="P38">
    <cfRule type="cellIs" dxfId="2459" priority="554" operator="equal">
      <formula>"-"</formula>
    </cfRule>
    <cfRule type="cellIs" dxfId="2458" priority="555" operator="lessThan">
      <formula>0</formula>
    </cfRule>
    <cfRule type="cellIs" dxfId="2457" priority="556" operator="greaterThan">
      <formula>0</formula>
    </cfRule>
  </conditionalFormatting>
  <conditionalFormatting sqref="N2">
    <cfRule type="containsText" dxfId="2456" priority="547" operator="containsText" text="NEUTRO">
      <formula>NOT(ISERROR(SEARCH("NEUTRO",N2)))</formula>
    </cfRule>
    <cfRule type="containsText" dxfId="2455" priority="548" operator="containsText" text="BULLISH">
      <formula>NOT(ISERROR(SEARCH("BULLISH",N2)))</formula>
    </cfRule>
    <cfRule type="containsText" dxfId="2454" priority="549" operator="containsText" text="BEARISH">
      <formula>NOT(ISERROR(SEARCH("BEARISH",N2)))</formula>
    </cfRule>
    <cfRule type="containsBlanks" dxfId="2453" priority="550">
      <formula>LEN(TRIM(N2))=0</formula>
    </cfRule>
  </conditionalFormatting>
  <conditionalFormatting sqref="N12">
    <cfRule type="containsText" dxfId="2452" priority="543" operator="containsText" text="NEUTRO">
      <formula>NOT(ISERROR(SEARCH("NEUTRO",N12)))</formula>
    </cfRule>
    <cfRule type="containsText" dxfId="2451" priority="544" operator="containsText" text="BULLISH">
      <formula>NOT(ISERROR(SEARCH("BULLISH",N12)))</formula>
    </cfRule>
    <cfRule type="containsText" dxfId="2450" priority="545" operator="containsText" text="BEARISH">
      <formula>NOT(ISERROR(SEARCH("BEARISH",N12)))</formula>
    </cfRule>
    <cfRule type="containsBlanks" dxfId="2449" priority="546">
      <formula>LEN(TRIM(N12))=0</formula>
    </cfRule>
  </conditionalFormatting>
  <conditionalFormatting sqref="N16">
    <cfRule type="containsText" dxfId="2448" priority="539" operator="containsText" text="NEUTRO">
      <formula>NOT(ISERROR(SEARCH("NEUTRO",N16)))</formula>
    </cfRule>
    <cfRule type="containsText" dxfId="2447" priority="540" operator="containsText" text="BULLISH">
      <formula>NOT(ISERROR(SEARCH("BULLISH",N16)))</formula>
    </cfRule>
    <cfRule type="containsText" dxfId="2446" priority="541" operator="containsText" text="BEARISH">
      <formula>NOT(ISERROR(SEARCH("BEARISH",N16)))</formula>
    </cfRule>
    <cfRule type="containsBlanks" dxfId="2445" priority="542">
      <formula>LEN(TRIM(N16))=0</formula>
    </cfRule>
  </conditionalFormatting>
  <conditionalFormatting sqref="N20">
    <cfRule type="containsText" dxfId="2444" priority="535" operator="containsText" text="NEUTRO">
      <formula>NOT(ISERROR(SEARCH("NEUTRO",N20)))</formula>
    </cfRule>
    <cfRule type="containsText" dxfId="2443" priority="536" operator="containsText" text="BULLISH">
      <formula>NOT(ISERROR(SEARCH("BULLISH",N20)))</formula>
    </cfRule>
    <cfRule type="containsText" dxfId="2442" priority="537" operator="containsText" text="BEARISH">
      <formula>NOT(ISERROR(SEARCH("BEARISH",N20)))</formula>
    </cfRule>
    <cfRule type="containsBlanks" dxfId="2441" priority="538">
      <formula>LEN(TRIM(N20))=0</formula>
    </cfRule>
  </conditionalFormatting>
  <conditionalFormatting sqref="N24">
    <cfRule type="containsText" dxfId="2440" priority="531" operator="containsText" text="NEUTRO">
      <formula>NOT(ISERROR(SEARCH("NEUTRO",N24)))</formula>
    </cfRule>
    <cfRule type="containsText" dxfId="2439" priority="532" operator="containsText" text="BULLISH">
      <formula>NOT(ISERROR(SEARCH("BULLISH",N24)))</formula>
    </cfRule>
    <cfRule type="containsText" dxfId="2438" priority="533" operator="containsText" text="BEARISH">
      <formula>NOT(ISERROR(SEARCH("BEARISH",N24)))</formula>
    </cfRule>
    <cfRule type="containsBlanks" dxfId="2437" priority="534">
      <formula>LEN(TRIM(N24))=0</formula>
    </cfRule>
  </conditionalFormatting>
  <conditionalFormatting sqref="N32">
    <cfRule type="containsText" dxfId="2436" priority="527" operator="containsText" text="NEUTRO">
      <formula>NOT(ISERROR(SEARCH("NEUTRO",N32)))</formula>
    </cfRule>
    <cfRule type="containsText" dxfId="2435" priority="528" operator="containsText" text="BULLISH">
      <formula>NOT(ISERROR(SEARCH("BULLISH",N32)))</formula>
    </cfRule>
    <cfRule type="containsText" dxfId="2434" priority="529" operator="containsText" text="BEARISH">
      <formula>NOT(ISERROR(SEARCH("BEARISH",N32)))</formula>
    </cfRule>
    <cfRule type="containsBlanks" dxfId="2433" priority="530">
      <formula>LEN(TRIM(N32))=0</formula>
    </cfRule>
  </conditionalFormatting>
  <conditionalFormatting sqref="N37">
    <cfRule type="containsText" dxfId="2432" priority="523" operator="containsText" text="NEUTRO">
      <formula>NOT(ISERROR(SEARCH("NEUTRO",N37)))</formula>
    </cfRule>
    <cfRule type="containsText" dxfId="2431" priority="524" operator="containsText" text="BULLISH">
      <formula>NOT(ISERROR(SEARCH("BULLISH",N37)))</formula>
    </cfRule>
    <cfRule type="containsText" dxfId="2430" priority="525" operator="containsText" text="BEARISH">
      <formula>NOT(ISERROR(SEARCH("BEARISH",N37)))</formula>
    </cfRule>
    <cfRule type="containsBlanks" dxfId="2429" priority="526">
      <formula>LEN(TRIM(N37))=0</formula>
    </cfRule>
  </conditionalFormatting>
  <conditionalFormatting sqref="M39">
    <cfRule type="cellIs" dxfId="2428" priority="230" operator="equal">
      <formula>"-"</formula>
    </cfRule>
    <cfRule type="cellIs" dxfId="2427" priority="231" operator="lessThan">
      <formula>0</formula>
    </cfRule>
    <cfRule type="cellIs" dxfId="2426" priority="232" operator="greaterThan">
      <formula>0</formula>
    </cfRule>
  </conditionalFormatting>
  <conditionalFormatting sqref="M15">
    <cfRule type="colorScale" priority="268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M8:M10">
    <cfRule type="cellIs" dxfId="2425" priority="265" operator="lessThan">
      <formula>0</formula>
    </cfRule>
    <cfRule type="cellIs" dxfId="2424" priority="266" operator="greaterThan">
      <formula>0</formula>
    </cfRule>
  </conditionalFormatting>
  <conditionalFormatting sqref="M8:M10">
    <cfRule type="cellIs" dxfId="2423" priority="264" operator="equal">
      <formula>"-"</formula>
    </cfRule>
  </conditionalFormatting>
  <conditionalFormatting sqref="M11">
    <cfRule type="colorScale" priority="267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M3:M7">
    <cfRule type="cellIs" dxfId="2422" priority="261" operator="equal">
      <formula>"-"</formula>
    </cfRule>
    <cfRule type="cellIs" dxfId="2421" priority="262" operator="lessThan">
      <formula>0</formula>
    </cfRule>
    <cfRule type="cellIs" dxfId="2420" priority="263" operator="greaterThan">
      <formula>0</formula>
    </cfRule>
  </conditionalFormatting>
  <conditionalFormatting sqref="M27:M31">
    <cfRule type="cellIs" dxfId="2419" priority="259" operator="lessThan">
      <formula>0</formula>
    </cfRule>
    <cfRule type="cellIs" dxfId="2418" priority="260" operator="greaterThan">
      <formula>0</formula>
    </cfRule>
  </conditionalFormatting>
  <conditionalFormatting sqref="M27:M31">
    <cfRule type="cellIs" dxfId="2417" priority="258" operator="equal">
      <formula>"-"</formula>
    </cfRule>
  </conditionalFormatting>
  <conditionalFormatting sqref="M36">
    <cfRule type="colorScale" priority="257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M34:M35">
    <cfRule type="cellIs" dxfId="2416" priority="255" operator="lessThan">
      <formula>0</formula>
    </cfRule>
    <cfRule type="cellIs" dxfId="2415" priority="256" operator="greaterThan">
      <formula>0</formula>
    </cfRule>
  </conditionalFormatting>
  <conditionalFormatting sqref="M34:M35">
    <cfRule type="cellIs" dxfId="2414" priority="254" operator="equal">
      <formula>"-"</formula>
    </cfRule>
  </conditionalFormatting>
  <conditionalFormatting sqref="M13:M14">
    <cfRule type="cellIs" dxfId="2413" priority="251" operator="equal">
      <formula>"-"</formula>
    </cfRule>
    <cfRule type="cellIs" dxfId="2412" priority="252" operator="lessThan">
      <formula>0</formula>
    </cfRule>
    <cfRule type="cellIs" dxfId="2411" priority="253" operator="greaterThan">
      <formula>0</formula>
    </cfRule>
  </conditionalFormatting>
  <conditionalFormatting sqref="M18">
    <cfRule type="cellIs" dxfId="2410" priority="249" operator="lessThan">
      <formula>0</formula>
    </cfRule>
    <cfRule type="cellIs" dxfId="2409" priority="250" operator="greaterThan">
      <formula>0</formula>
    </cfRule>
  </conditionalFormatting>
  <conditionalFormatting sqref="M18">
    <cfRule type="cellIs" dxfId="2408" priority="248" operator="equal">
      <formula>"-"</formula>
    </cfRule>
  </conditionalFormatting>
  <conditionalFormatting sqref="M17">
    <cfRule type="cellIs" dxfId="2407" priority="246" operator="lessThan">
      <formula>0</formula>
    </cfRule>
    <cfRule type="cellIs" dxfId="2406" priority="247" operator="greaterThan">
      <formula>0</formula>
    </cfRule>
  </conditionalFormatting>
  <conditionalFormatting sqref="M17">
    <cfRule type="cellIs" dxfId="2405" priority="245" operator="equal">
      <formula>"-"</formula>
    </cfRule>
  </conditionalFormatting>
  <conditionalFormatting sqref="M21:M22">
    <cfRule type="cellIs" dxfId="2404" priority="242" operator="equal">
      <formula>"-"</formula>
    </cfRule>
    <cfRule type="cellIs" dxfId="2403" priority="243" operator="lessThan">
      <formula>0</formula>
    </cfRule>
    <cfRule type="cellIs" dxfId="2402" priority="244" operator="greaterThan">
      <formula>0</formula>
    </cfRule>
  </conditionalFormatting>
  <conditionalFormatting sqref="M25:M26">
    <cfRule type="cellIs" dxfId="2401" priority="239" operator="equal">
      <formula>"-"</formula>
    </cfRule>
    <cfRule type="cellIs" dxfId="2400" priority="240" operator="lessThan">
      <formula>0</formula>
    </cfRule>
    <cfRule type="cellIs" dxfId="2399" priority="241" operator="greaterThan">
      <formula>0</formula>
    </cfRule>
  </conditionalFormatting>
  <conditionalFormatting sqref="M33">
    <cfRule type="cellIs" dxfId="2398" priority="236" operator="equal">
      <formula>"-"</formula>
    </cfRule>
    <cfRule type="cellIs" dxfId="2397" priority="237" operator="lessThan">
      <formula>0</formula>
    </cfRule>
    <cfRule type="cellIs" dxfId="2396" priority="238" operator="greaterThan">
      <formula>0</formula>
    </cfRule>
  </conditionalFormatting>
  <conditionalFormatting sqref="M38">
    <cfRule type="cellIs" dxfId="2395" priority="233" operator="equal">
      <formula>"-"</formula>
    </cfRule>
    <cfRule type="cellIs" dxfId="2394" priority="234" operator="lessThan">
      <formula>0</formula>
    </cfRule>
    <cfRule type="cellIs" dxfId="2393" priority="235" operator="greaterThan">
      <formula>0</formula>
    </cfRule>
  </conditionalFormatting>
  <conditionalFormatting sqref="K2">
    <cfRule type="containsText" dxfId="2392" priority="226" operator="containsText" text="NEUTRO">
      <formula>NOT(ISERROR(SEARCH("NEUTRO",K2)))</formula>
    </cfRule>
    <cfRule type="containsText" dxfId="2391" priority="227" operator="containsText" text="BULLISH">
      <formula>NOT(ISERROR(SEARCH("BULLISH",K2)))</formula>
    </cfRule>
    <cfRule type="containsText" dxfId="2390" priority="228" operator="containsText" text="BEARISH">
      <formula>NOT(ISERROR(SEARCH("BEARISH",K2)))</formula>
    </cfRule>
    <cfRule type="containsBlanks" dxfId="2389" priority="229">
      <formula>LEN(TRIM(K2))=0</formula>
    </cfRule>
  </conditionalFormatting>
  <conditionalFormatting sqref="K12">
    <cfRule type="containsText" dxfId="2388" priority="222" operator="containsText" text="NEUTRO">
      <formula>NOT(ISERROR(SEARCH("NEUTRO",K12)))</formula>
    </cfRule>
    <cfRule type="containsText" dxfId="2387" priority="223" operator="containsText" text="BULLISH">
      <formula>NOT(ISERROR(SEARCH("BULLISH",K12)))</formula>
    </cfRule>
    <cfRule type="containsText" dxfId="2386" priority="224" operator="containsText" text="BEARISH">
      <formula>NOT(ISERROR(SEARCH("BEARISH",K12)))</formula>
    </cfRule>
    <cfRule type="containsBlanks" dxfId="2385" priority="225">
      <formula>LEN(TRIM(K12))=0</formula>
    </cfRule>
  </conditionalFormatting>
  <conditionalFormatting sqref="K16">
    <cfRule type="containsText" dxfId="2384" priority="218" operator="containsText" text="NEUTRO">
      <formula>NOT(ISERROR(SEARCH("NEUTRO",K16)))</formula>
    </cfRule>
    <cfRule type="containsText" dxfId="2383" priority="219" operator="containsText" text="BULLISH">
      <formula>NOT(ISERROR(SEARCH("BULLISH",K16)))</formula>
    </cfRule>
    <cfRule type="containsText" dxfId="2382" priority="220" operator="containsText" text="BEARISH">
      <formula>NOT(ISERROR(SEARCH("BEARISH",K16)))</formula>
    </cfRule>
    <cfRule type="containsBlanks" dxfId="2381" priority="221">
      <formula>LEN(TRIM(K16))=0</formula>
    </cfRule>
  </conditionalFormatting>
  <conditionalFormatting sqref="K20">
    <cfRule type="containsText" dxfId="2380" priority="214" operator="containsText" text="NEUTRO">
      <formula>NOT(ISERROR(SEARCH("NEUTRO",K20)))</formula>
    </cfRule>
    <cfRule type="containsText" dxfId="2379" priority="215" operator="containsText" text="BULLISH">
      <formula>NOT(ISERROR(SEARCH("BULLISH",K20)))</formula>
    </cfRule>
    <cfRule type="containsText" dxfId="2378" priority="216" operator="containsText" text="BEARISH">
      <formula>NOT(ISERROR(SEARCH("BEARISH",K20)))</formula>
    </cfRule>
    <cfRule type="containsBlanks" dxfId="2377" priority="217">
      <formula>LEN(TRIM(K20))=0</formula>
    </cfRule>
  </conditionalFormatting>
  <conditionalFormatting sqref="K24">
    <cfRule type="containsText" dxfId="2376" priority="210" operator="containsText" text="NEUTRO">
      <formula>NOT(ISERROR(SEARCH("NEUTRO",K24)))</formula>
    </cfRule>
    <cfRule type="containsText" dxfId="2375" priority="211" operator="containsText" text="BULLISH">
      <formula>NOT(ISERROR(SEARCH("BULLISH",K24)))</formula>
    </cfRule>
    <cfRule type="containsText" dxfId="2374" priority="212" operator="containsText" text="BEARISH">
      <formula>NOT(ISERROR(SEARCH("BEARISH",K24)))</formula>
    </cfRule>
    <cfRule type="containsBlanks" dxfId="2373" priority="213">
      <formula>LEN(TRIM(K24))=0</formula>
    </cfRule>
  </conditionalFormatting>
  <conditionalFormatting sqref="K32">
    <cfRule type="containsText" dxfId="2372" priority="206" operator="containsText" text="NEUTRO">
      <formula>NOT(ISERROR(SEARCH("NEUTRO",K32)))</formula>
    </cfRule>
    <cfRule type="containsText" dxfId="2371" priority="207" operator="containsText" text="BULLISH">
      <formula>NOT(ISERROR(SEARCH("BULLISH",K32)))</formula>
    </cfRule>
    <cfRule type="containsText" dxfId="2370" priority="208" operator="containsText" text="BEARISH">
      <formula>NOT(ISERROR(SEARCH("BEARISH",K32)))</formula>
    </cfRule>
    <cfRule type="containsBlanks" dxfId="2369" priority="209">
      <formula>LEN(TRIM(K32))=0</formula>
    </cfRule>
  </conditionalFormatting>
  <conditionalFormatting sqref="K37">
    <cfRule type="containsText" dxfId="2368" priority="202" operator="containsText" text="NEUTRO">
      <formula>NOT(ISERROR(SEARCH("NEUTRO",K37)))</formula>
    </cfRule>
    <cfRule type="containsText" dxfId="2367" priority="203" operator="containsText" text="BULLISH">
      <formula>NOT(ISERROR(SEARCH("BULLISH",K37)))</formula>
    </cfRule>
    <cfRule type="containsText" dxfId="2366" priority="204" operator="containsText" text="BEARISH">
      <formula>NOT(ISERROR(SEARCH("BEARISH",K37)))</formula>
    </cfRule>
    <cfRule type="containsBlanks" dxfId="2365" priority="205">
      <formula>LEN(TRIM(K37))=0</formula>
    </cfRule>
  </conditionalFormatting>
  <conditionalFormatting sqref="J39">
    <cfRule type="cellIs" dxfId="2364" priority="163" operator="equal">
      <formula>"-"</formula>
    </cfRule>
    <cfRule type="cellIs" dxfId="2363" priority="164" operator="lessThan">
      <formula>0</formula>
    </cfRule>
    <cfRule type="cellIs" dxfId="2362" priority="165" operator="greaterThan">
      <formula>0</formula>
    </cfRule>
  </conditionalFormatting>
  <conditionalFormatting sqref="J15">
    <cfRule type="colorScale" priority="201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J8:J10">
    <cfRule type="cellIs" dxfId="2361" priority="198" operator="lessThan">
      <formula>0</formula>
    </cfRule>
    <cfRule type="cellIs" dxfId="2360" priority="199" operator="greaterThan">
      <formula>0</formula>
    </cfRule>
  </conditionalFormatting>
  <conditionalFormatting sqref="J8:J10">
    <cfRule type="cellIs" dxfId="2359" priority="197" operator="equal">
      <formula>"-"</formula>
    </cfRule>
  </conditionalFormatting>
  <conditionalFormatting sqref="J11">
    <cfRule type="colorScale" priority="200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J3:J7">
    <cfRule type="cellIs" dxfId="2358" priority="194" operator="equal">
      <formula>"-"</formula>
    </cfRule>
    <cfRule type="cellIs" dxfId="2357" priority="195" operator="lessThan">
      <formula>0</formula>
    </cfRule>
    <cfRule type="cellIs" dxfId="2356" priority="196" operator="greaterThan">
      <formula>0</formula>
    </cfRule>
  </conditionalFormatting>
  <conditionalFormatting sqref="J27:J31">
    <cfRule type="cellIs" dxfId="2355" priority="192" operator="lessThan">
      <formula>0</formula>
    </cfRule>
    <cfRule type="cellIs" dxfId="2354" priority="193" operator="greaterThan">
      <formula>0</formula>
    </cfRule>
  </conditionalFormatting>
  <conditionalFormatting sqref="J27:J31">
    <cfRule type="cellIs" dxfId="2353" priority="191" operator="equal">
      <formula>"-"</formula>
    </cfRule>
  </conditionalFormatting>
  <conditionalFormatting sqref="J36">
    <cfRule type="colorScale" priority="190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J34:J35">
    <cfRule type="cellIs" dxfId="2352" priority="188" operator="lessThan">
      <formula>0</formula>
    </cfRule>
    <cfRule type="cellIs" dxfId="2351" priority="189" operator="greaterThan">
      <formula>0</formula>
    </cfRule>
  </conditionalFormatting>
  <conditionalFormatting sqref="J34:J35">
    <cfRule type="cellIs" dxfId="2350" priority="187" operator="equal">
      <formula>"-"</formula>
    </cfRule>
  </conditionalFormatting>
  <conditionalFormatting sqref="J13:J14">
    <cfRule type="cellIs" dxfId="2349" priority="184" operator="equal">
      <formula>"-"</formula>
    </cfRule>
    <cfRule type="cellIs" dxfId="2348" priority="185" operator="lessThan">
      <formula>0</formula>
    </cfRule>
    <cfRule type="cellIs" dxfId="2347" priority="186" operator="greaterThan">
      <formula>0</formula>
    </cfRule>
  </conditionalFormatting>
  <conditionalFormatting sqref="J18">
    <cfRule type="cellIs" dxfId="2346" priority="182" operator="lessThan">
      <formula>0</formula>
    </cfRule>
    <cfRule type="cellIs" dxfId="2345" priority="183" operator="greaterThan">
      <formula>0</formula>
    </cfRule>
  </conditionalFormatting>
  <conditionalFormatting sqref="J18">
    <cfRule type="cellIs" dxfId="2344" priority="181" operator="equal">
      <formula>"-"</formula>
    </cfRule>
  </conditionalFormatting>
  <conditionalFormatting sqref="J17">
    <cfRule type="cellIs" dxfId="2343" priority="179" operator="lessThan">
      <formula>0</formula>
    </cfRule>
    <cfRule type="cellIs" dxfId="2342" priority="180" operator="greaterThan">
      <formula>0</formula>
    </cfRule>
  </conditionalFormatting>
  <conditionalFormatting sqref="J17">
    <cfRule type="cellIs" dxfId="2341" priority="178" operator="equal">
      <formula>"-"</formula>
    </cfRule>
  </conditionalFormatting>
  <conditionalFormatting sqref="J21:J22">
    <cfRule type="cellIs" dxfId="2340" priority="175" operator="equal">
      <formula>"-"</formula>
    </cfRule>
    <cfRule type="cellIs" dxfId="2339" priority="176" operator="lessThan">
      <formula>0</formula>
    </cfRule>
    <cfRule type="cellIs" dxfId="2338" priority="177" operator="greaterThan">
      <formula>0</formula>
    </cfRule>
  </conditionalFormatting>
  <conditionalFormatting sqref="J25:J26">
    <cfRule type="cellIs" dxfId="2337" priority="172" operator="equal">
      <formula>"-"</formula>
    </cfRule>
    <cfRule type="cellIs" dxfId="2336" priority="173" operator="lessThan">
      <formula>0</formula>
    </cfRule>
    <cfRule type="cellIs" dxfId="2335" priority="174" operator="greaterThan">
      <formula>0</formula>
    </cfRule>
  </conditionalFormatting>
  <conditionalFormatting sqref="J33">
    <cfRule type="cellIs" dxfId="2334" priority="169" operator="equal">
      <formula>"-"</formula>
    </cfRule>
    <cfRule type="cellIs" dxfId="2333" priority="170" operator="lessThan">
      <formula>0</formula>
    </cfRule>
    <cfRule type="cellIs" dxfId="2332" priority="171" operator="greaterThan">
      <formula>0</formula>
    </cfRule>
  </conditionalFormatting>
  <conditionalFormatting sqref="J38">
    <cfRule type="cellIs" dxfId="2331" priority="166" operator="equal">
      <formula>"-"</formula>
    </cfRule>
    <cfRule type="cellIs" dxfId="2330" priority="167" operator="lessThan">
      <formula>0</formula>
    </cfRule>
    <cfRule type="cellIs" dxfId="2329" priority="168" operator="greaterThan">
      <formula>0</formula>
    </cfRule>
  </conditionalFormatting>
  <conditionalFormatting sqref="H2">
    <cfRule type="containsText" dxfId="2328" priority="159" operator="containsText" text="NEUTRO">
      <formula>NOT(ISERROR(SEARCH("NEUTRO",H2)))</formula>
    </cfRule>
    <cfRule type="containsText" dxfId="2327" priority="160" operator="containsText" text="BULLISH">
      <formula>NOT(ISERROR(SEARCH("BULLISH",H2)))</formula>
    </cfRule>
    <cfRule type="containsText" dxfId="2326" priority="161" operator="containsText" text="BEARISH">
      <formula>NOT(ISERROR(SEARCH("BEARISH",H2)))</formula>
    </cfRule>
    <cfRule type="containsBlanks" dxfId="2325" priority="162">
      <formula>LEN(TRIM(H2))=0</formula>
    </cfRule>
  </conditionalFormatting>
  <conditionalFormatting sqref="H12">
    <cfRule type="containsText" dxfId="2324" priority="155" operator="containsText" text="NEUTRO">
      <formula>NOT(ISERROR(SEARCH("NEUTRO",H12)))</formula>
    </cfRule>
    <cfRule type="containsText" dxfId="2323" priority="156" operator="containsText" text="BULLISH">
      <formula>NOT(ISERROR(SEARCH("BULLISH",H12)))</formula>
    </cfRule>
    <cfRule type="containsText" dxfId="2322" priority="157" operator="containsText" text="BEARISH">
      <formula>NOT(ISERROR(SEARCH("BEARISH",H12)))</formula>
    </cfRule>
    <cfRule type="containsBlanks" dxfId="2321" priority="158">
      <formula>LEN(TRIM(H12))=0</formula>
    </cfRule>
  </conditionalFormatting>
  <conditionalFormatting sqref="H16">
    <cfRule type="containsText" dxfId="2320" priority="151" operator="containsText" text="NEUTRO">
      <formula>NOT(ISERROR(SEARCH("NEUTRO",H16)))</formula>
    </cfRule>
    <cfRule type="containsText" dxfId="2319" priority="152" operator="containsText" text="BULLISH">
      <formula>NOT(ISERROR(SEARCH("BULLISH",H16)))</formula>
    </cfRule>
    <cfRule type="containsText" dxfId="2318" priority="153" operator="containsText" text="BEARISH">
      <formula>NOT(ISERROR(SEARCH("BEARISH",H16)))</formula>
    </cfRule>
    <cfRule type="containsBlanks" dxfId="2317" priority="154">
      <formula>LEN(TRIM(H16))=0</formula>
    </cfRule>
  </conditionalFormatting>
  <conditionalFormatting sqref="H20">
    <cfRule type="containsText" dxfId="2316" priority="147" operator="containsText" text="NEUTRO">
      <formula>NOT(ISERROR(SEARCH("NEUTRO",H20)))</formula>
    </cfRule>
    <cfRule type="containsText" dxfId="2315" priority="148" operator="containsText" text="BULLISH">
      <formula>NOT(ISERROR(SEARCH("BULLISH",H20)))</formula>
    </cfRule>
    <cfRule type="containsText" dxfId="2314" priority="149" operator="containsText" text="BEARISH">
      <formula>NOT(ISERROR(SEARCH("BEARISH",H20)))</formula>
    </cfRule>
    <cfRule type="containsBlanks" dxfId="2313" priority="150">
      <formula>LEN(TRIM(H20))=0</formula>
    </cfRule>
  </conditionalFormatting>
  <conditionalFormatting sqref="H24">
    <cfRule type="containsText" dxfId="2312" priority="143" operator="containsText" text="NEUTRO">
      <formula>NOT(ISERROR(SEARCH("NEUTRO",H24)))</formula>
    </cfRule>
    <cfRule type="containsText" dxfId="2311" priority="144" operator="containsText" text="BULLISH">
      <formula>NOT(ISERROR(SEARCH("BULLISH",H24)))</formula>
    </cfRule>
    <cfRule type="containsText" dxfId="2310" priority="145" operator="containsText" text="BEARISH">
      <formula>NOT(ISERROR(SEARCH("BEARISH",H24)))</formula>
    </cfRule>
    <cfRule type="containsBlanks" dxfId="2309" priority="146">
      <formula>LEN(TRIM(H24))=0</formula>
    </cfRule>
  </conditionalFormatting>
  <conditionalFormatting sqref="H32">
    <cfRule type="containsText" dxfId="2308" priority="139" operator="containsText" text="NEUTRO">
      <formula>NOT(ISERROR(SEARCH("NEUTRO",H32)))</formula>
    </cfRule>
    <cfRule type="containsText" dxfId="2307" priority="140" operator="containsText" text="BULLISH">
      <formula>NOT(ISERROR(SEARCH("BULLISH",H32)))</formula>
    </cfRule>
    <cfRule type="containsText" dxfId="2306" priority="141" operator="containsText" text="BEARISH">
      <formula>NOT(ISERROR(SEARCH("BEARISH",H32)))</formula>
    </cfRule>
    <cfRule type="containsBlanks" dxfId="2305" priority="142">
      <formula>LEN(TRIM(H32))=0</formula>
    </cfRule>
  </conditionalFormatting>
  <conditionalFormatting sqref="H37">
    <cfRule type="containsText" dxfId="2304" priority="135" operator="containsText" text="NEUTRO">
      <formula>NOT(ISERROR(SEARCH("NEUTRO",H37)))</formula>
    </cfRule>
    <cfRule type="containsText" dxfId="2303" priority="136" operator="containsText" text="BULLISH">
      <formula>NOT(ISERROR(SEARCH("BULLISH",H37)))</formula>
    </cfRule>
    <cfRule type="containsText" dxfId="2302" priority="137" operator="containsText" text="BEARISH">
      <formula>NOT(ISERROR(SEARCH("BEARISH",H37)))</formula>
    </cfRule>
    <cfRule type="containsBlanks" dxfId="2301" priority="138">
      <formula>LEN(TRIM(H37))=0</formula>
    </cfRule>
  </conditionalFormatting>
  <conditionalFormatting sqref="G39">
    <cfRule type="cellIs" dxfId="2300" priority="96" operator="equal">
      <formula>"-"</formula>
    </cfRule>
    <cfRule type="cellIs" dxfId="2299" priority="97" operator="lessThan">
      <formula>0</formula>
    </cfRule>
    <cfRule type="cellIs" dxfId="2298" priority="98" operator="greaterThan">
      <formula>0</formula>
    </cfRule>
  </conditionalFormatting>
  <conditionalFormatting sqref="G15">
    <cfRule type="colorScale" priority="134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G8:G10">
    <cfRule type="cellIs" dxfId="2297" priority="131" operator="lessThan">
      <formula>0</formula>
    </cfRule>
    <cfRule type="cellIs" dxfId="2296" priority="132" operator="greaterThan">
      <formula>0</formula>
    </cfRule>
  </conditionalFormatting>
  <conditionalFormatting sqref="G8:G10">
    <cfRule type="cellIs" dxfId="2295" priority="130" operator="equal">
      <formula>"-"</formula>
    </cfRule>
  </conditionalFormatting>
  <conditionalFormatting sqref="G11">
    <cfRule type="colorScale" priority="133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G3:G7">
    <cfRule type="cellIs" dxfId="2294" priority="127" operator="equal">
      <formula>"-"</formula>
    </cfRule>
    <cfRule type="cellIs" dxfId="2293" priority="128" operator="lessThan">
      <formula>0</formula>
    </cfRule>
    <cfRule type="cellIs" dxfId="2292" priority="129" operator="greaterThan">
      <formula>0</formula>
    </cfRule>
  </conditionalFormatting>
  <conditionalFormatting sqref="G27:G31">
    <cfRule type="cellIs" dxfId="2291" priority="125" operator="lessThan">
      <formula>0</formula>
    </cfRule>
    <cfRule type="cellIs" dxfId="2290" priority="126" operator="greaterThan">
      <formula>0</formula>
    </cfRule>
  </conditionalFormatting>
  <conditionalFormatting sqref="G27:G31">
    <cfRule type="cellIs" dxfId="2289" priority="124" operator="equal">
      <formula>"-"</formula>
    </cfRule>
  </conditionalFormatting>
  <conditionalFormatting sqref="G36">
    <cfRule type="colorScale" priority="123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G34:G35">
    <cfRule type="cellIs" dxfId="2288" priority="121" operator="lessThan">
      <formula>0</formula>
    </cfRule>
    <cfRule type="cellIs" dxfId="2287" priority="122" operator="greaterThan">
      <formula>0</formula>
    </cfRule>
  </conditionalFormatting>
  <conditionalFormatting sqref="G34:G35">
    <cfRule type="cellIs" dxfId="2286" priority="120" operator="equal">
      <formula>"-"</formula>
    </cfRule>
  </conditionalFormatting>
  <conditionalFormatting sqref="G13:G14">
    <cfRule type="cellIs" dxfId="2285" priority="117" operator="equal">
      <formula>"-"</formula>
    </cfRule>
    <cfRule type="cellIs" dxfId="2284" priority="118" operator="lessThan">
      <formula>0</formula>
    </cfRule>
    <cfRule type="cellIs" dxfId="2283" priority="119" operator="greaterThan">
      <formula>0</formula>
    </cfRule>
  </conditionalFormatting>
  <conditionalFormatting sqref="G18">
    <cfRule type="cellIs" dxfId="2282" priority="115" operator="lessThan">
      <formula>0</formula>
    </cfRule>
    <cfRule type="cellIs" dxfId="2281" priority="116" operator="greaterThan">
      <formula>0</formula>
    </cfRule>
  </conditionalFormatting>
  <conditionalFormatting sqref="G18">
    <cfRule type="cellIs" dxfId="2280" priority="114" operator="equal">
      <formula>"-"</formula>
    </cfRule>
  </conditionalFormatting>
  <conditionalFormatting sqref="G17">
    <cfRule type="cellIs" dxfId="2279" priority="112" operator="lessThan">
      <formula>0</formula>
    </cfRule>
    <cfRule type="cellIs" dxfId="2278" priority="113" operator="greaterThan">
      <formula>0</formula>
    </cfRule>
  </conditionalFormatting>
  <conditionalFormatting sqref="G17">
    <cfRule type="cellIs" dxfId="2277" priority="111" operator="equal">
      <formula>"-"</formula>
    </cfRule>
  </conditionalFormatting>
  <conditionalFormatting sqref="G21:G22">
    <cfRule type="cellIs" dxfId="2276" priority="108" operator="equal">
      <formula>"-"</formula>
    </cfRule>
    <cfRule type="cellIs" dxfId="2275" priority="109" operator="lessThan">
      <formula>0</formula>
    </cfRule>
    <cfRule type="cellIs" dxfId="2274" priority="110" operator="greaterThan">
      <formula>0</formula>
    </cfRule>
  </conditionalFormatting>
  <conditionalFormatting sqref="G25:G26">
    <cfRule type="cellIs" dxfId="2273" priority="105" operator="equal">
      <formula>"-"</formula>
    </cfRule>
    <cfRule type="cellIs" dxfId="2272" priority="106" operator="lessThan">
      <formula>0</formula>
    </cfRule>
    <cfRule type="cellIs" dxfId="2271" priority="107" operator="greaterThan">
      <formula>0</formula>
    </cfRule>
  </conditionalFormatting>
  <conditionalFormatting sqref="G33">
    <cfRule type="cellIs" dxfId="2270" priority="102" operator="equal">
      <formula>"-"</formula>
    </cfRule>
    <cfRule type="cellIs" dxfId="2269" priority="103" operator="lessThan">
      <formula>0</formula>
    </cfRule>
    <cfRule type="cellIs" dxfId="2268" priority="104" operator="greaterThan">
      <formula>0</formula>
    </cfRule>
  </conditionalFormatting>
  <conditionalFormatting sqref="G38">
    <cfRule type="cellIs" dxfId="2267" priority="99" operator="equal">
      <formula>"-"</formula>
    </cfRule>
    <cfRule type="cellIs" dxfId="2266" priority="100" operator="lessThan">
      <formula>0</formula>
    </cfRule>
    <cfRule type="cellIs" dxfId="2265" priority="101" operator="greaterThan">
      <formula>0</formula>
    </cfRule>
  </conditionalFormatting>
  <conditionalFormatting sqref="E2">
    <cfRule type="containsText" dxfId="2264" priority="92" operator="containsText" text="NEUTRO">
      <formula>NOT(ISERROR(SEARCH("NEUTRO",E2)))</formula>
    </cfRule>
    <cfRule type="containsText" dxfId="2263" priority="93" operator="containsText" text="BULLISH">
      <formula>NOT(ISERROR(SEARCH("BULLISH",E2)))</formula>
    </cfRule>
    <cfRule type="containsText" dxfId="2262" priority="94" operator="containsText" text="BEARISH">
      <formula>NOT(ISERROR(SEARCH("BEARISH",E2)))</formula>
    </cfRule>
    <cfRule type="containsBlanks" dxfId="2261" priority="95">
      <formula>LEN(TRIM(E2))=0</formula>
    </cfRule>
  </conditionalFormatting>
  <conditionalFormatting sqref="E12">
    <cfRule type="containsText" dxfId="2260" priority="88" operator="containsText" text="NEUTRO">
      <formula>NOT(ISERROR(SEARCH("NEUTRO",E12)))</formula>
    </cfRule>
    <cfRule type="containsText" dxfId="2259" priority="89" operator="containsText" text="BULLISH">
      <formula>NOT(ISERROR(SEARCH("BULLISH",E12)))</formula>
    </cfRule>
    <cfRule type="containsText" dxfId="2258" priority="90" operator="containsText" text="BEARISH">
      <formula>NOT(ISERROR(SEARCH("BEARISH",E12)))</formula>
    </cfRule>
    <cfRule type="containsBlanks" dxfId="2257" priority="91">
      <formula>LEN(TRIM(E12))=0</formula>
    </cfRule>
  </conditionalFormatting>
  <conditionalFormatting sqref="E16">
    <cfRule type="containsText" dxfId="2256" priority="84" operator="containsText" text="NEUTRO">
      <formula>NOT(ISERROR(SEARCH("NEUTRO",E16)))</formula>
    </cfRule>
    <cfRule type="containsText" dxfId="2255" priority="85" operator="containsText" text="BULLISH">
      <formula>NOT(ISERROR(SEARCH("BULLISH",E16)))</formula>
    </cfRule>
    <cfRule type="containsText" dxfId="2254" priority="86" operator="containsText" text="BEARISH">
      <formula>NOT(ISERROR(SEARCH("BEARISH",E16)))</formula>
    </cfRule>
    <cfRule type="containsBlanks" dxfId="2253" priority="87">
      <formula>LEN(TRIM(E16))=0</formula>
    </cfRule>
  </conditionalFormatting>
  <conditionalFormatting sqref="E20">
    <cfRule type="containsText" dxfId="2252" priority="80" operator="containsText" text="NEUTRO">
      <formula>NOT(ISERROR(SEARCH("NEUTRO",E20)))</formula>
    </cfRule>
    <cfRule type="containsText" dxfId="2251" priority="81" operator="containsText" text="BULLISH">
      <formula>NOT(ISERROR(SEARCH("BULLISH",E20)))</formula>
    </cfRule>
    <cfRule type="containsText" dxfId="2250" priority="82" operator="containsText" text="BEARISH">
      <formula>NOT(ISERROR(SEARCH("BEARISH",E20)))</formula>
    </cfRule>
    <cfRule type="containsBlanks" dxfId="2249" priority="83">
      <formula>LEN(TRIM(E20))=0</formula>
    </cfRule>
  </conditionalFormatting>
  <conditionalFormatting sqref="E24">
    <cfRule type="containsText" dxfId="2248" priority="76" operator="containsText" text="NEUTRO">
      <formula>NOT(ISERROR(SEARCH("NEUTRO",E24)))</formula>
    </cfRule>
    <cfRule type="containsText" dxfId="2247" priority="77" operator="containsText" text="BULLISH">
      <formula>NOT(ISERROR(SEARCH("BULLISH",E24)))</formula>
    </cfRule>
    <cfRule type="containsText" dxfId="2246" priority="78" operator="containsText" text="BEARISH">
      <formula>NOT(ISERROR(SEARCH("BEARISH",E24)))</formula>
    </cfRule>
    <cfRule type="containsBlanks" dxfId="2245" priority="79">
      <formula>LEN(TRIM(E24))=0</formula>
    </cfRule>
  </conditionalFormatting>
  <conditionalFormatting sqref="E32">
    <cfRule type="containsText" dxfId="2244" priority="72" operator="containsText" text="NEUTRO">
      <formula>NOT(ISERROR(SEARCH("NEUTRO",E32)))</formula>
    </cfRule>
    <cfRule type="containsText" dxfId="2243" priority="73" operator="containsText" text="BULLISH">
      <formula>NOT(ISERROR(SEARCH("BULLISH",E32)))</formula>
    </cfRule>
    <cfRule type="containsText" dxfId="2242" priority="74" operator="containsText" text="BEARISH">
      <formula>NOT(ISERROR(SEARCH("BEARISH",E32)))</formula>
    </cfRule>
    <cfRule type="containsBlanks" dxfId="2241" priority="75">
      <formula>LEN(TRIM(E32))=0</formula>
    </cfRule>
  </conditionalFormatting>
  <conditionalFormatting sqref="E37">
    <cfRule type="containsText" dxfId="2240" priority="68" operator="containsText" text="NEUTRO">
      <formula>NOT(ISERROR(SEARCH("NEUTRO",E37)))</formula>
    </cfRule>
    <cfRule type="containsText" dxfId="2239" priority="69" operator="containsText" text="BULLISH">
      <formula>NOT(ISERROR(SEARCH("BULLISH",E37)))</formula>
    </cfRule>
    <cfRule type="containsText" dxfId="2238" priority="70" operator="containsText" text="BEARISH">
      <formula>NOT(ISERROR(SEARCH("BEARISH",E37)))</formula>
    </cfRule>
    <cfRule type="containsBlanks" dxfId="2237" priority="71">
      <formula>LEN(TRIM(E37))=0</formula>
    </cfRule>
  </conditionalFormatting>
  <conditionalFormatting sqref="D39">
    <cfRule type="cellIs" dxfId="2236" priority="29" operator="equal">
      <formula>"-"</formula>
    </cfRule>
    <cfRule type="cellIs" dxfId="2235" priority="30" operator="lessThan">
      <formula>0</formula>
    </cfRule>
    <cfRule type="cellIs" dxfId="2234" priority="31" operator="greaterThan">
      <formula>0</formula>
    </cfRule>
  </conditionalFormatting>
  <conditionalFormatting sqref="D15">
    <cfRule type="colorScale" priority="67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D8:D10">
    <cfRule type="cellIs" dxfId="2233" priority="64" operator="lessThan">
      <formula>0</formula>
    </cfRule>
    <cfRule type="cellIs" dxfId="2232" priority="65" operator="greaterThan">
      <formula>0</formula>
    </cfRule>
  </conditionalFormatting>
  <conditionalFormatting sqref="D8:D10">
    <cfRule type="cellIs" dxfId="2231" priority="63" operator="equal">
      <formula>"-"</formula>
    </cfRule>
  </conditionalFormatting>
  <conditionalFormatting sqref="D11">
    <cfRule type="colorScale" priority="66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D3:D7">
    <cfRule type="cellIs" dxfId="2230" priority="60" operator="equal">
      <formula>"-"</formula>
    </cfRule>
    <cfRule type="cellIs" dxfId="2229" priority="61" operator="lessThan">
      <formula>0</formula>
    </cfRule>
    <cfRule type="cellIs" dxfId="2228" priority="62" operator="greaterThan">
      <formula>0</formula>
    </cfRule>
  </conditionalFormatting>
  <conditionalFormatting sqref="D27:D31">
    <cfRule type="cellIs" dxfId="2227" priority="58" operator="lessThan">
      <formula>0</formula>
    </cfRule>
    <cfRule type="cellIs" dxfId="2226" priority="59" operator="greaterThan">
      <formula>0</formula>
    </cfRule>
  </conditionalFormatting>
  <conditionalFormatting sqref="D27:D31">
    <cfRule type="cellIs" dxfId="2225" priority="57" operator="equal">
      <formula>"-"</formula>
    </cfRule>
  </conditionalFormatting>
  <conditionalFormatting sqref="D36">
    <cfRule type="colorScale" priority="56">
      <colorScale>
        <cfvo type="formula" val="-0.0001"/>
        <cfvo type="formula" val="0"/>
        <cfvo type="formula" val="0.0001"/>
        <color rgb="FFF8696B"/>
        <color rgb="FFFFFFFF"/>
        <color rgb="FF57BB8A"/>
      </colorScale>
    </cfRule>
  </conditionalFormatting>
  <conditionalFormatting sqref="D34:D35">
    <cfRule type="cellIs" dxfId="2224" priority="54" operator="lessThan">
      <formula>0</formula>
    </cfRule>
    <cfRule type="cellIs" dxfId="2223" priority="55" operator="greaterThan">
      <formula>0</formula>
    </cfRule>
  </conditionalFormatting>
  <conditionalFormatting sqref="D34:D35">
    <cfRule type="cellIs" dxfId="2222" priority="53" operator="equal">
      <formula>"-"</formula>
    </cfRule>
  </conditionalFormatting>
  <conditionalFormatting sqref="D13:D14">
    <cfRule type="cellIs" dxfId="2221" priority="50" operator="equal">
      <formula>"-"</formula>
    </cfRule>
    <cfRule type="cellIs" dxfId="2220" priority="51" operator="lessThan">
      <formula>0</formula>
    </cfRule>
    <cfRule type="cellIs" dxfId="2219" priority="52" operator="greaterThan">
      <formula>0</formula>
    </cfRule>
  </conditionalFormatting>
  <conditionalFormatting sqref="D18">
    <cfRule type="cellIs" dxfId="2218" priority="48" operator="lessThan">
      <formula>0</formula>
    </cfRule>
    <cfRule type="cellIs" dxfId="2217" priority="49" operator="greaterThan">
      <formula>0</formula>
    </cfRule>
  </conditionalFormatting>
  <conditionalFormatting sqref="D18">
    <cfRule type="cellIs" dxfId="2216" priority="47" operator="equal">
      <formula>"-"</formula>
    </cfRule>
  </conditionalFormatting>
  <conditionalFormatting sqref="D17">
    <cfRule type="cellIs" dxfId="2215" priority="45" operator="lessThan">
      <formula>0</formula>
    </cfRule>
    <cfRule type="cellIs" dxfId="2214" priority="46" operator="greaterThan">
      <formula>0</formula>
    </cfRule>
  </conditionalFormatting>
  <conditionalFormatting sqref="D17">
    <cfRule type="cellIs" dxfId="2213" priority="44" operator="equal">
      <formula>"-"</formula>
    </cfRule>
  </conditionalFormatting>
  <conditionalFormatting sqref="D21:D22">
    <cfRule type="cellIs" dxfId="2212" priority="41" operator="equal">
      <formula>"-"</formula>
    </cfRule>
    <cfRule type="cellIs" dxfId="2211" priority="42" operator="lessThan">
      <formula>0</formula>
    </cfRule>
    <cfRule type="cellIs" dxfId="2210" priority="43" operator="greaterThan">
      <formula>0</formula>
    </cfRule>
  </conditionalFormatting>
  <conditionalFormatting sqref="D25:D26">
    <cfRule type="cellIs" dxfId="2209" priority="38" operator="equal">
      <formula>"-"</formula>
    </cfRule>
    <cfRule type="cellIs" dxfId="2208" priority="39" operator="lessThan">
      <formula>0</formula>
    </cfRule>
    <cfRule type="cellIs" dxfId="2207" priority="40" operator="greaterThan">
      <formula>0</formula>
    </cfRule>
  </conditionalFormatting>
  <conditionalFormatting sqref="D33">
    <cfRule type="cellIs" dxfId="2206" priority="35" operator="equal">
      <formula>"-"</formula>
    </cfRule>
    <cfRule type="cellIs" dxfId="2205" priority="36" operator="lessThan">
      <formula>0</formula>
    </cfRule>
    <cfRule type="cellIs" dxfId="2204" priority="37" operator="greaterThan">
      <formula>0</formula>
    </cfRule>
  </conditionalFormatting>
  <conditionalFormatting sqref="D38">
    <cfRule type="cellIs" dxfId="2203" priority="32" operator="equal">
      <formula>"-"</formula>
    </cfRule>
    <cfRule type="cellIs" dxfId="2202" priority="33" operator="lessThan">
      <formula>0</formula>
    </cfRule>
    <cfRule type="cellIs" dxfId="2201" priority="34" operator="greaterThan">
      <formula>0</formula>
    </cfRule>
  </conditionalFormatting>
  <conditionalFormatting sqref="B2">
    <cfRule type="containsText" dxfId="2200" priority="25" operator="containsText" text="NEUTRO">
      <formula>NOT(ISERROR(SEARCH("NEUTRO",B2)))</formula>
    </cfRule>
    <cfRule type="containsText" dxfId="2199" priority="26" operator="containsText" text="BULLISH">
      <formula>NOT(ISERROR(SEARCH("BULLISH",B2)))</formula>
    </cfRule>
    <cfRule type="containsText" dxfId="2198" priority="27" operator="containsText" text="BEARISH">
      <formula>NOT(ISERROR(SEARCH("BEARISH",B2)))</formula>
    </cfRule>
    <cfRule type="containsBlanks" dxfId="2197" priority="28">
      <formula>LEN(TRIM(B2))=0</formula>
    </cfRule>
  </conditionalFormatting>
  <conditionalFormatting sqref="B12">
    <cfRule type="containsText" dxfId="2196" priority="21" operator="containsText" text="NEUTRO">
      <formula>NOT(ISERROR(SEARCH("NEUTRO",B12)))</formula>
    </cfRule>
    <cfRule type="containsText" dxfId="2195" priority="22" operator="containsText" text="BULLISH">
      <formula>NOT(ISERROR(SEARCH("BULLISH",B12)))</formula>
    </cfRule>
    <cfRule type="containsText" dxfId="2194" priority="23" operator="containsText" text="BEARISH">
      <formula>NOT(ISERROR(SEARCH("BEARISH",B12)))</formula>
    </cfRule>
    <cfRule type="containsBlanks" dxfId="2193" priority="24">
      <formula>LEN(TRIM(B12))=0</formula>
    </cfRule>
  </conditionalFormatting>
  <conditionalFormatting sqref="B16">
    <cfRule type="containsText" dxfId="2192" priority="17" operator="containsText" text="NEUTRO">
      <formula>NOT(ISERROR(SEARCH("NEUTRO",B16)))</formula>
    </cfRule>
    <cfRule type="containsText" dxfId="2191" priority="18" operator="containsText" text="BULLISH">
      <formula>NOT(ISERROR(SEARCH("BULLISH",B16)))</formula>
    </cfRule>
    <cfRule type="containsText" dxfId="2190" priority="19" operator="containsText" text="BEARISH">
      <formula>NOT(ISERROR(SEARCH("BEARISH",B16)))</formula>
    </cfRule>
    <cfRule type="containsBlanks" dxfId="2189" priority="20">
      <formula>LEN(TRIM(B16))=0</formula>
    </cfRule>
  </conditionalFormatting>
  <conditionalFormatting sqref="B20">
    <cfRule type="containsText" dxfId="2188" priority="13" operator="containsText" text="NEUTRO">
      <formula>NOT(ISERROR(SEARCH("NEUTRO",B20)))</formula>
    </cfRule>
    <cfRule type="containsText" dxfId="2187" priority="14" operator="containsText" text="BULLISH">
      <formula>NOT(ISERROR(SEARCH("BULLISH",B20)))</formula>
    </cfRule>
    <cfRule type="containsText" dxfId="2186" priority="15" operator="containsText" text="BEARISH">
      <formula>NOT(ISERROR(SEARCH("BEARISH",B20)))</formula>
    </cfRule>
    <cfRule type="containsBlanks" dxfId="2185" priority="16">
      <formula>LEN(TRIM(B20))=0</formula>
    </cfRule>
  </conditionalFormatting>
  <conditionalFormatting sqref="B24">
    <cfRule type="containsText" dxfId="2184" priority="9" operator="containsText" text="NEUTRO">
      <formula>NOT(ISERROR(SEARCH("NEUTRO",B24)))</formula>
    </cfRule>
    <cfRule type="containsText" dxfId="2183" priority="10" operator="containsText" text="BULLISH">
      <formula>NOT(ISERROR(SEARCH("BULLISH",B24)))</formula>
    </cfRule>
    <cfRule type="containsText" dxfId="2182" priority="11" operator="containsText" text="BEARISH">
      <formula>NOT(ISERROR(SEARCH("BEARISH",B24)))</formula>
    </cfRule>
    <cfRule type="containsBlanks" dxfId="2181" priority="12">
      <formula>LEN(TRIM(B24))=0</formula>
    </cfRule>
  </conditionalFormatting>
  <conditionalFormatting sqref="B32">
    <cfRule type="containsText" dxfId="2180" priority="5" operator="containsText" text="NEUTRO">
      <formula>NOT(ISERROR(SEARCH("NEUTRO",B32)))</formula>
    </cfRule>
    <cfRule type="containsText" dxfId="2179" priority="6" operator="containsText" text="BULLISH">
      <formula>NOT(ISERROR(SEARCH("BULLISH",B32)))</formula>
    </cfRule>
    <cfRule type="containsText" dxfId="2178" priority="7" operator="containsText" text="BEARISH">
      <formula>NOT(ISERROR(SEARCH("BEARISH",B32)))</formula>
    </cfRule>
    <cfRule type="containsBlanks" dxfId="2177" priority="8">
      <formula>LEN(TRIM(B32))=0</formula>
    </cfRule>
  </conditionalFormatting>
  <conditionalFormatting sqref="B37">
    <cfRule type="containsText" dxfId="2176" priority="1" operator="containsText" text="NEUTRO">
      <formula>NOT(ISERROR(SEARCH("NEUTRO",B37)))</formula>
    </cfRule>
    <cfRule type="containsText" dxfId="2175" priority="2" operator="containsText" text="BULLISH">
      <formula>NOT(ISERROR(SEARCH("BULLISH",B37)))</formula>
    </cfRule>
    <cfRule type="containsText" dxfId="2174" priority="3" operator="containsText" text="BEARISH">
      <formula>NOT(ISERROR(SEARCH("BEARISH",B37)))</formula>
    </cfRule>
    <cfRule type="containsBlanks" dxfId="2173" priority="4">
      <formula>LEN(TRIM(B37))=0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Hoja4.BOC">
                <anchor moveWithCells="1">
                  <from>
                    <xdr:col>0</xdr:col>
                    <xdr:colOff>647700</xdr:colOff>
                    <xdr:row>0</xdr:row>
                    <xdr:rowOff>19050</xdr:rowOff>
                  </from>
                  <to>
                    <xdr:col>0</xdr:col>
                    <xdr:colOff>1647825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AW42"/>
  <sheetViews>
    <sheetView zoomScale="70" zoomScaleNormal="70" workbookViewId="0">
      <selection activeCell="B2" sqref="B2:D2"/>
    </sheetView>
  </sheetViews>
  <sheetFormatPr baseColWidth="10" defaultRowHeight="15" x14ac:dyDescent="0.25"/>
  <cols>
    <col min="1" max="1" width="30.28515625" style="12" customWidth="1"/>
    <col min="2" max="4" width="9.140625" style="5" customWidth="1"/>
    <col min="5" max="6" width="8.5703125" style="5" customWidth="1"/>
    <col min="7" max="7" width="9.140625" style="5" bestFit="1" customWidth="1"/>
    <col min="8" max="31" width="8.5703125" style="5" customWidth="1"/>
    <col min="32" max="33" width="7.42578125" style="5" customWidth="1"/>
    <col min="34" max="34" width="8.5703125" style="5" bestFit="1" customWidth="1"/>
    <col min="35" max="49" width="7.42578125" style="5" customWidth="1"/>
  </cols>
  <sheetData>
    <row r="1" spans="1:49" s="257" customFormat="1" x14ac:dyDescent="0.25">
      <c r="A1" s="258" t="s">
        <v>230</v>
      </c>
      <c r="B1" s="374">
        <v>46147</v>
      </c>
      <c r="C1" s="375"/>
      <c r="D1" s="256">
        <v>4.1000000000000002E-2</v>
      </c>
      <c r="E1" s="374">
        <v>46098</v>
      </c>
      <c r="F1" s="375"/>
      <c r="G1" s="256">
        <v>3.85E-2</v>
      </c>
      <c r="H1" s="374">
        <v>46055</v>
      </c>
      <c r="I1" s="375"/>
      <c r="J1" s="256">
        <v>3.85E-2</v>
      </c>
      <c r="K1" s="376">
        <v>45999</v>
      </c>
      <c r="L1" s="375"/>
      <c r="M1" s="256">
        <v>3.5999999999999997E-2</v>
      </c>
      <c r="N1" s="374">
        <v>45964</v>
      </c>
      <c r="O1" s="375"/>
      <c r="P1" s="256">
        <v>3.5999999999999997E-2</v>
      </c>
      <c r="Q1" s="374">
        <v>45929</v>
      </c>
      <c r="R1" s="375"/>
      <c r="S1" s="256">
        <v>3.5999999999999997E-2</v>
      </c>
      <c r="T1" s="374">
        <v>45880</v>
      </c>
      <c r="U1" s="375"/>
      <c r="V1" s="256">
        <v>3.5999999999999997E-2</v>
      </c>
      <c r="W1" s="374">
        <v>45845</v>
      </c>
      <c r="X1" s="375"/>
      <c r="Y1" s="256">
        <v>3.85E-2</v>
      </c>
      <c r="Z1" s="374">
        <v>45796</v>
      </c>
      <c r="AA1" s="375"/>
      <c r="AB1" s="256">
        <v>3.85E-2</v>
      </c>
      <c r="AC1" s="374">
        <v>45747</v>
      </c>
      <c r="AD1" s="375"/>
      <c r="AE1" s="256">
        <v>4.1000000000000002E-2</v>
      </c>
      <c r="AF1" s="374">
        <v>45705</v>
      </c>
      <c r="AG1" s="375"/>
      <c r="AH1" s="256">
        <v>4.1000000000000002E-2</v>
      </c>
      <c r="AI1" s="374">
        <v>45635</v>
      </c>
      <c r="AJ1" s="375"/>
      <c r="AK1" s="256">
        <v>4.3499999999999997E-2</v>
      </c>
      <c r="AL1" s="376">
        <v>45600</v>
      </c>
      <c r="AM1" s="375"/>
      <c r="AN1" s="256">
        <v>4.3499999999999997E-2</v>
      </c>
      <c r="AO1" s="376">
        <v>45558</v>
      </c>
      <c r="AP1" s="375"/>
      <c r="AQ1" s="256">
        <v>4.3499999999999997E-2</v>
      </c>
      <c r="AR1" s="379">
        <v>45509</v>
      </c>
      <c r="AS1" s="380"/>
      <c r="AT1" s="256">
        <v>4.3499999999999997E-2</v>
      </c>
      <c r="AU1" s="377">
        <v>45460</v>
      </c>
      <c r="AV1" s="378"/>
      <c r="AW1" s="256">
        <v>4.3499999999999997E-2</v>
      </c>
    </row>
    <row r="2" spans="1:49" x14ac:dyDescent="0.25">
      <c r="A2" s="2" t="s">
        <v>1</v>
      </c>
      <c r="B2" s="316" t="str">
        <f>IF(AND(D3="-",D4="-",D5="-",D6="-",D7="-",D8="-",D9="-"),
    "",
    IF(SUM(IF(D3="-",0,IF(D3&lt;0,-2,IF(D3&gt;0,2,0))),
            IF(D4="-",0,IF(D4&lt;0,-2,IF(D4&gt;0,2,0))),
            IF(D5="-",0,IF(D5&lt;0,-2,IF(D5&gt;0,2,0))),
            IF(D6="-",0,IF(D6&lt;0,-1,IF(D6&gt;0,1,0))),
            IF(D7="-",0,IF(D7&lt;0,-1,IF(D7&gt;0,1,0))),
            IF(D8="-",0,IF(D8&lt;0,-1,IF(D8&gt;0,1,0))),
            IF(D9="-",0,IF(D9&lt;0,-1,IF(D9&gt;0,1,0)))) / 10 &gt; 0.1,
        "BULLISH",
        IF(SUM(IF(D3="-",0,IF(D3&lt;0,-2,IF(D3&gt;0,2,0))),
                IF(D4="-",0,IF(D4&lt;0,-2,IF(D4&gt;0,2,0))),
                IF(D5="-",0,IF(D5&lt;0,-2,IF(D5&gt;0,2,0))),
                IF(D6="-",0,IF(D6&lt;0,-1,IF(D6&gt;0,1,0))),
                IF(D7="-",0,IF(D7&lt;0,-1,IF(D7&gt;0,1,0))),
                IF(D8="-",0,IF(D8&lt;0,-1,IF(D8&gt;0,1,0))),
                IF(D9="-",0,IF(D9&lt;0,-1,IF(D9&gt;0,1,0)))) / 10 &lt; -0.1,
            "BEARISH",
            IF(SUM(IF(D3="-",0,IF(D3&lt;0,-2,IF(D3&gt;0,2,0))),
                    IF(D4="-",0,IF(D4&lt;0,-2,IF(D4&gt;0,2,0))),
                    IF(D5="-",0,IF(D5&lt;0,-2,IF(D5&gt;0,2,0))),
                    IF(D6="-",0,IF(D6&lt;0,-1,IF(D6&gt;0,1,0))),
                    IF(D7="-",0,IF(D7&lt;0,-1,IF(D7&gt;0,1,0))),
                    IF(D8="-",0,IF(D8&lt;0,-1,IF(D8&gt;0,1,0))),
                    IF(D9="-",0,IF(D9&lt;0,-1,IF(D9&gt;0,1,0)))) / 10 &gt; -0.1,
                "NEUTRO",
                IF(SUM(IF(D3="-",0,IF(D3&lt;0,-2,IF(D3&gt;0,2,0))),
                        IF(D4="-",0,IF(D4&lt;0,-2,IF(D4&gt;0,2,0))),
                        IF(D5="-",0,IF(D5&lt;0,-2,IF(D5&gt;0,2,0))),
                        IF(D6="-",0,IF(D6&lt;0,-1,IF(D6&gt;0,1,0))),
                        IF(D7="-",0,IF(D7&lt;0,-1,IF(D7&gt;0,1,0))),
                        IF(D8="-",0,IF(D8&lt;0,-1,IF(D8&gt;0,1,0))),
                        IF(D9="-",0,IF(D9&lt;0,-1,IF(D9&gt;0,1,0)))) / 10 &lt; 0.1,
                    "NEUTRO",
                    "")))))</f>
        <v>NEUTRO</v>
      </c>
      <c r="C2" s="317"/>
      <c r="D2" s="318"/>
      <c r="E2" s="316" t="e">
        <f>IF(AND(G3="-",G4="-",G5="-",G6="-",G7="-",G8="-",G9="-"),
    "",
    IF(SUM(IF(G3="-",0,IF(G3&lt;0,-2,IF(G3&gt;0,2,0))),
            IF(G4="-",0,IF(G4&lt;0,-2,IF(G4&gt;0,2,0))),
            IF(G5="-",0,IF(G5&lt;0,-2,IF(G5&gt;0,2,0))),
            IF(G6="-",0,IF(G6&lt;0,-1,IF(G6&gt;0,1,0))),
            IF(G7="-",0,IF(G7&lt;0,-1,IF(G7&gt;0,1,0))),
            IF(G8="-",0,IF(G8&lt;0,-1,IF(G8&gt;0,1,0))),
            IF(G9="-",0,IF(G9&lt;0,-1,IF(G9&gt;0,1,0)))) / 10 &gt; 0.1,
        "BULLISH",
        IF(SUM(IF(G3="-",0,IF(G3&lt;0,-2,IF(G3&gt;0,2,0))),
                IF(G4="-",0,IF(G4&lt;0,-2,IF(G4&gt;0,2,0))),
                IF(G5="-",0,IF(G5&lt;0,-2,IF(G5&gt;0,2,0))),
                IF(G6="-",0,IF(G6&lt;0,-1,IF(G6&gt;0,1,0))),
                IF(G7="-",0,IF(G7&lt;0,-1,IF(G7&gt;0,1,0))),
                IF(G8="-",0,IF(G8&lt;0,-1,IF(G8&gt;0,1,0))),
                IF(G9="-",0,IF(G9&lt;0,-1,IF(G9&gt;0,1,0)))) / 10 &lt; -0.1,
            "BEARISH",
            IF(SUM(IF(G3="-",0,IF(G3&lt;0,-2,IF(G3&gt;0,2,0))),
                    IF(G4="-",0,IF(G4&lt;0,-2,IF(G4&gt;0,2,0))),
                    IF(G5="-",0,IF(G5&lt;0,-2,IF(G5&gt;0,2,0))),
                    IF(G6="-",0,IF(G6&lt;0,-1,IF(G6&gt;0,1,0))),
                    IF(G7="-",0,IF(G7&lt;0,-1,IF(G7&gt;0,1,0))),
                    IF(G8="-",0,IF(G8&lt;0,-1,IF(G8&gt;0,1,0))),
                    IF(G9="-",0,IF(G9&lt;0,-1,IF(G9&gt;0,1,0)))) / 10 &gt; -0.1,
                "NEUTRO",
                IF(SUM(IF(G3="-",0,IF(G3&lt;0,-2,IF(G3&gt;0,2,0))),
                        IF(G4="-",0,IF(G4&lt;0,-2,IF(G4&gt;0,2,0))),
                        IF(G5="-",0,IF(G5&lt;0,-2,IF(G5&gt;0,2,0))),
                        IF(G6="-",0,IF(G6&lt;0,-1,IF(G6&gt;0,1,0))),
                        IF(G7="-",0,IF(G7&lt;0,-1,IF(G7&gt;0,1,0))),
                        IF(G8="-",0,IF(G8&lt;0,-1,IF(G8&gt;0,1,0))),
                        IF(G9="-",0,IF(G9&lt;0,-1,IF(G9&gt;0,1,0)))) / 10 &lt; 0.1,
                    "NEUTRO",
                    "")))))</f>
        <v>#VALUE!</v>
      </c>
      <c r="F2" s="317"/>
      <c r="G2" s="318"/>
      <c r="H2" s="316" t="str">
        <f>IF(AND(J3="-",J4="-",J5="-",J6="-",J7="-",J8="-",J9="-"),
    "",
    IF(SUM(IF(J3="-",0,IF(J3&lt;0,-2,IF(J3&gt;0,2,0))),
            IF(J4="-",0,IF(J4&lt;0,-2,IF(J4&gt;0,2,0))),
            IF(J5="-",0,IF(J5&lt;0,-2,IF(J5&gt;0,2,0))),
            IF(J6="-",0,IF(J6&lt;0,-1,IF(J6&gt;0,1,0))),
            IF(J7="-",0,IF(J7&lt;0,-1,IF(J7&gt;0,1,0))),
            IF(J8="-",0,IF(J8&lt;0,-1,IF(J8&gt;0,1,0))),
            IF(J9="-",0,IF(J9&lt;0,-1,IF(J9&gt;0,1,0)))) / 10 &gt; 0.1,
        "BULLISH",
        IF(SUM(IF(J3="-",0,IF(J3&lt;0,-2,IF(J3&gt;0,2,0))),
                IF(J4="-",0,IF(J4&lt;0,-2,IF(J4&gt;0,2,0))),
                IF(J5="-",0,IF(J5&lt;0,-2,IF(J5&gt;0,2,0))),
                IF(J6="-",0,IF(J6&lt;0,-1,IF(J6&gt;0,1,0))),
                IF(J7="-",0,IF(J7&lt;0,-1,IF(J7&gt;0,1,0))),
                IF(J8="-",0,IF(J8&lt;0,-1,IF(J8&gt;0,1,0))),
                IF(J9="-",0,IF(J9&lt;0,-1,IF(J9&gt;0,1,0)))) / 10 &lt; -0.1,
            "BEARISH",
            IF(SUM(IF(J3="-",0,IF(J3&lt;0,-2,IF(J3&gt;0,2,0))),
                    IF(J4="-",0,IF(J4&lt;0,-2,IF(J4&gt;0,2,0))),
                    IF(J5="-",0,IF(J5&lt;0,-2,IF(J5&gt;0,2,0))),
                    IF(J6="-",0,IF(J6&lt;0,-1,IF(J6&gt;0,1,0))),
                    IF(J7="-",0,IF(J7&lt;0,-1,IF(J7&gt;0,1,0))),
                    IF(J8="-",0,IF(J8&lt;0,-1,IF(J8&gt;0,1,0))),
                    IF(J9="-",0,IF(J9&lt;0,-1,IF(J9&gt;0,1,0)))) / 10 &gt; -0.1,
                "NEUTRO",
                IF(SUM(IF(J3="-",0,IF(J3&lt;0,-2,IF(J3&gt;0,2,0))),
                        IF(J4="-",0,IF(J4&lt;0,-2,IF(J4&gt;0,2,0))),
                        IF(J5="-",0,IF(J5&lt;0,-2,IF(J5&gt;0,2,0))),
                        IF(J6="-",0,IF(J6&lt;0,-1,IF(J6&gt;0,1,0))),
                        IF(J7="-",0,IF(J7&lt;0,-1,IF(J7&gt;0,1,0))),
                        IF(J8="-",0,IF(J8&lt;0,-1,IF(J8&gt;0,1,0))),
                        IF(J9="-",0,IF(J9&lt;0,-1,IF(J9&gt;0,1,0)))) / 10 &lt; 0.1,
                    "NEUTRO",
                    "")))))</f>
        <v>BULLISH</v>
      </c>
      <c r="I2" s="317"/>
      <c r="J2" s="318"/>
      <c r="K2" s="316" t="str">
        <f>IF(AND(M3="-",M4="-",M5="-",M6="-",M7="-",M8="-",M9="-"),
    "",
    IF(SUM(IF(M3="-",0,IF(M3&lt;0,-2,IF(M3&gt;0,2,0))),
            IF(M4="-",0,IF(M4&lt;0,-2,IF(M4&gt;0,2,0))),
            IF(M5="-",0,IF(M5&lt;0,-2,IF(M5&gt;0,2,0))),
            IF(M6="-",0,IF(M6&lt;0,-1,IF(M6&gt;0,1,0))),
            IF(M7="-",0,IF(M7&lt;0,-1,IF(M7&gt;0,1,0))),
            IF(M8="-",0,IF(M8&lt;0,-1,IF(M8&gt;0,1,0))),
            IF(M9="-",0,IF(M9&lt;0,-1,IF(M9&gt;0,1,0)))) / 10 &gt; 0.1,
        "BULLISH",
        IF(SUM(IF(M3="-",0,IF(M3&lt;0,-2,IF(M3&gt;0,2,0))),
                IF(M4="-",0,IF(M4&lt;0,-2,IF(M4&gt;0,2,0))),
                IF(M5="-",0,IF(M5&lt;0,-2,IF(M5&gt;0,2,0))),
                IF(M6="-",0,IF(M6&lt;0,-1,IF(M6&gt;0,1,0))),
                IF(M7="-",0,IF(M7&lt;0,-1,IF(M7&gt;0,1,0))),
                IF(M8="-",0,IF(M8&lt;0,-1,IF(M8&gt;0,1,0))),
                IF(M9="-",0,IF(M9&lt;0,-1,IF(M9&gt;0,1,0)))) / 10 &lt; -0.1,
            "BEARISH",
            IF(SUM(IF(M3="-",0,IF(M3&lt;0,-2,IF(M3&gt;0,2,0))),
                    IF(M4="-",0,IF(M4&lt;0,-2,IF(M4&gt;0,2,0))),
                    IF(M5="-",0,IF(M5&lt;0,-2,IF(M5&gt;0,2,0))),
                    IF(M6="-",0,IF(M6&lt;0,-1,IF(M6&gt;0,1,0))),
                    IF(M7="-",0,IF(M7&lt;0,-1,IF(M7&gt;0,1,0))),
                    IF(M8="-",0,IF(M8&lt;0,-1,IF(M8&gt;0,1,0))),
                    IF(M9="-",0,IF(M9&lt;0,-1,IF(M9&gt;0,1,0)))) / 10 &gt; -0.1,
                "NEUTRO",
                IF(SUM(IF(M3="-",0,IF(M3&lt;0,-2,IF(M3&gt;0,2,0))),
                        IF(M4="-",0,IF(M4&lt;0,-2,IF(M4&gt;0,2,0))),
                        IF(M5="-",0,IF(M5&lt;0,-2,IF(M5&gt;0,2,0))),
                        IF(M6="-",0,IF(M6&lt;0,-1,IF(M6&gt;0,1,0))),
                        IF(M7="-",0,IF(M7&lt;0,-1,IF(M7&gt;0,1,0))),
                        IF(M8="-",0,IF(M8&lt;0,-1,IF(M8&gt;0,1,0))),
                        IF(M9="-",0,IF(M9&lt;0,-1,IF(M9&gt;0,1,0)))) / 10 &lt; 0.1,
                    "NEUTRO",
                    "")))))</f>
        <v/>
      </c>
      <c r="L2" s="317"/>
      <c r="M2" s="318"/>
      <c r="N2" s="316" t="str">
        <f>IF(AND(P3="-",P4="-",P5="-",P6="-",P7="-",P8="-",P9="-"),
    "",
    IF(SUM(IF(P3="-",0,IF(P3&lt;0,-2,IF(P3&gt;0,2,0))),
            IF(P4="-",0,IF(P4&lt;0,-2,IF(P4&gt;0,2,0))),
            IF(P5="-",0,IF(P5&lt;0,-2,IF(P5&gt;0,2,0))),
            IF(P6="-",0,IF(P6&lt;0,-1,IF(P6&gt;0,1,0))),
            IF(P7="-",0,IF(P7&lt;0,-1,IF(P7&gt;0,1,0))),
            IF(P8="-",0,IF(P8&lt;0,-1,IF(P8&gt;0,1,0))),
            IF(P9="-",0,IF(P9&lt;0,-1,IF(P9&gt;0,1,0)))) / 10 &gt; 0.1,
        "BULLISH",
        IF(SUM(IF(P3="-",0,IF(P3&lt;0,-2,IF(P3&gt;0,2,0))),
                IF(P4="-",0,IF(P4&lt;0,-2,IF(P4&gt;0,2,0))),
                IF(P5="-",0,IF(P5&lt;0,-2,IF(P5&gt;0,2,0))),
                IF(P6="-",0,IF(P6&lt;0,-1,IF(P6&gt;0,1,0))),
                IF(P7="-",0,IF(P7&lt;0,-1,IF(P7&gt;0,1,0))),
                IF(P8="-",0,IF(P8&lt;0,-1,IF(P8&gt;0,1,0))),
                IF(P9="-",0,IF(P9&lt;0,-1,IF(P9&gt;0,1,0)))) / 10 &lt; -0.1,
            "BEARISH",
            IF(SUM(IF(P3="-",0,IF(P3&lt;0,-2,IF(P3&gt;0,2,0))),
                    IF(P4="-",0,IF(P4&lt;0,-2,IF(P4&gt;0,2,0))),
                    IF(P5="-",0,IF(P5&lt;0,-2,IF(P5&gt;0,2,0))),
                    IF(P6="-",0,IF(P6&lt;0,-1,IF(P6&gt;0,1,0))),
                    IF(P7="-",0,IF(P7&lt;0,-1,IF(P7&gt;0,1,0))),
                    IF(P8="-",0,IF(P8&lt;0,-1,IF(P8&gt;0,1,0))),
                    IF(P9="-",0,IF(P9&lt;0,-1,IF(P9&gt;0,1,0)))) / 10 &gt; -0.1,
                "NEUTRO",
                IF(SUM(IF(P3="-",0,IF(P3&lt;0,-2,IF(P3&gt;0,2,0))),
                        IF(P4="-",0,IF(P4&lt;0,-2,IF(P4&gt;0,2,0))),
                        IF(P5="-",0,IF(P5&lt;0,-2,IF(P5&gt;0,2,0))),
                        IF(P6="-",0,IF(P6&lt;0,-1,IF(P6&gt;0,1,0))),
                        IF(P7="-",0,IF(P7&lt;0,-1,IF(P7&gt;0,1,0))),
                        IF(P8="-",0,IF(P8&lt;0,-1,IF(P8&gt;0,1,0))),
                        IF(P9="-",0,IF(P9&lt;0,-1,IF(P9&gt;0,1,0)))) / 10 &lt; 0.1,
                    "NEUTRO",
                    "")))))</f>
        <v>BULLISH</v>
      </c>
      <c r="O2" s="317"/>
      <c r="P2" s="318"/>
      <c r="Q2" s="316" t="str">
        <f>IF(AND(S3="-",S4="-",S5="-",S6="-",S7="-",S8="-",S9="-"),
    "",
    IF(SUM(IF(S3="-",0,IF(S3&lt;0,-2,IF(S3&gt;0,2,0))),
            IF(S4="-",0,IF(S4&lt;0,-2,IF(S4&gt;0,2,0))),
            IF(S5="-",0,IF(S5&lt;0,-2,IF(S5&gt;0,2,0))),
            IF(S6="-",0,IF(S6&lt;0,-1,IF(S6&gt;0,1,0))),
            IF(S7="-",0,IF(S7&lt;0,-1,IF(S7&gt;0,1,0))),
            IF(S8="-",0,IF(S8&lt;0,-1,IF(S8&gt;0,1,0))),
            IF(S9="-",0,IF(S9&lt;0,-1,IF(S9&gt;0,1,0)))) / 10 &gt; 0.1,
        "BULLISH",
        IF(SUM(IF(S3="-",0,IF(S3&lt;0,-2,IF(S3&gt;0,2,0))),
                IF(S4="-",0,IF(S4&lt;0,-2,IF(S4&gt;0,2,0))),
                IF(S5="-",0,IF(S5&lt;0,-2,IF(S5&gt;0,2,0))),
                IF(S6="-",0,IF(S6&lt;0,-1,IF(S6&gt;0,1,0))),
                IF(S7="-",0,IF(S7&lt;0,-1,IF(S7&gt;0,1,0))),
                IF(S8="-",0,IF(S8&lt;0,-1,IF(S8&gt;0,1,0))),
                IF(S9="-",0,IF(S9&lt;0,-1,IF(S9&gt;0,1,0)))) / 10 &lt; -0.1,
            "BEARISH",
            IF(SUM(IF(S3="-",0,IF(S3&lt;0,-2,IF(S3&gt;0,2,0))),
                    IF(S4="-",0,IF(S4&lt;0,-2,IF(S4&gt;0,2,0))),
                    IF(S5="-",0,IF(S5&lt;0,-2,IF(S5&gt;0,2,0))),
                    IF(S6="-",0,IF(S6&lt;0,-1,IF(S6&gt;0,1,0))),
                    IF(S7="-",0,IF(S7&lt;0,-1,IF(S7&gt;0,1,0))),
                    IF(S8="-",0,IF(S8&lt;0,-1,IF(S8&gt;0,1,0))),
                    IF(S9="-",0,IF(S9&lt;0,-1,IF(S9&gt;0,1,0)))) / 10 &gt; -0.1,
                "NEUTRO",
                IF(SUM(IF(S3="-",0,IF(S3&lt;0,-2,IF(S3&gt;0,2,0))),
                        IF(S4="-",0,IF(S4&lt;0,-2,IF(S4&gt;0,2,0))),
                        IF(S5="-",0,IF(S5&lt;0,-2,IF(S5&gt;0,2,0))),
                        IF(S6="-",0,IF(S6&lt;0,-1,IF(S6&gt;0,1,0))),
                        IF(S7="-",0,IF(S7&lt;0,-1,IF(S7&gt;0,1,0))),
                        IF(S8="-",0,IF(S8&lt;0,-1,IF(S8&gt;0,1,0))),
                        IF(S9="-",0,IF(S9&lt;0,-1,IF(S9&gt;0,1,0)))) / 10 &lt; 0.1,
                    "NEUTRO",
                    "")))))</f>
        <v>BULLISH</v>
      </c>
      <c r="R2" s="317"/>
      <c r="S2" s="318"/>
      <c r="T2" s="316" t="str">
        <f>IF(AND(V3="-",V4="-",V5="-",V6="-",V7="-",V8="-",V9="-"),
    "",
    IF(SUM(IF(V3="-",0,IF(V3&lt;0,-2,IF(V3&gt;0,2,0))),
            IF(V4="-",0,IF(V4&lt;0,-2,IF(V4&gt;0,2,0))),
            IF(V5="-",0,IF(V5&lt;0,-2,IF(V5&gt;0,2,0))),
            IF(V6="-",0,IF(V6&lt;0,-1,IF(V6&gt;0,1,0))),
            IF(V7="-",0,IF(V7&lt;0,-1,IF(V7&gt;0,1,0))),
            IF(V8="-",0,IF(V8&lt;0,-1,IF(V8&gt;0,1,0))),
            IF(V9="-",0,IF(V9&lt;0,-1,IF(V9&gt;0,1,0)))) / 10 &gt; 0.1,
        "BULLISH",
        IF(SUM(IF(V3="-",0,IF(V3&lt;0,-2,IF(V3&gt;0,2,0))),
                IF(V4="-",0,IF(V4&lt;0,-2,IF(V4&gt;0,2,0))),
                IF(V5="-",0,IF(V5&lt;0,-2,IF(V5&gt;0,2,0))),
                IF(V6="-",0,IF(V6&lt;0,-1,IF(V6&gt;0,1,0))),
                IF(V7="-",0,IF(V7&lt;0,-1,IF(V7&gt;0,1,0))),
                IF(V8="-",0,IF(V8&lt;0,-1,IF(V8&gt;0,1,0))),
                IF(V9="-",0,IF(V9&lt;0,-1,IF(V9&gt;0,1,0)))) / 10 &lt; -0.1,
            "BEARISH",
            IF(SUM(IF(V3="-",0,IF(V3&lt;0,-2,IF(V3&gt;0,2,0))),
                    IF(V4="-",0,IF(V4&lt;0,-2,IF(V4&gt;0,2,0))),
                    IF(V5="-",0,IF(V5&lt;0,-2,IF(V5&gt;0,2,0))),
                    IF(V6="-",0,IF(V6&lt;0,-1,IF(V6&gt;0,1,0))),
                    IF(V7="-",0,IF(V7&lt;0,-1,IF(V7&gt;0,1,0))),
                    IF(V8="-",0,IF(V8&lt;0,-1,IF(V8&gt;0,1,0))),
                    IF(V9="-",0,IF(V9&lt;0,-1,IF(V9&gt;0,1,0)))) / 10 &gt; -0.1,
                "NEUTRO",
                IF(SUM(IF(V3="-",0,IF(V3&lt;0,-2,IF(V3&gt;0,2,0))),
                        IF(V4="-",0,IF(V4&lt;0,-2,IF(V4&gt;0,2,0))),
                        IF(V5="-",0,IF(V5&lt;0,-2,IF(V5&gt;0,2,0))),
                        IF(V6="-",0,IF(V6&lt;0,-1,IF(V6&gt;0,1,0))),
                        IF(V7="-",0,IF(V7&lt;0,-1,IF(V7&gt;0,1,0))),
                        IF(V8="-",0,IF(V8&lt;0,-1,IF(V8&gt;0,1,0))),
                        IF(V9="-",0,IF(V9&lt;0,-1,IF(V9&gt;0,1,0)))) / 10 &lt; 0.1,
                    "NEUTRO",
                    "")))))</f>
        <v>BEARISH</v>
      </c>
      <c r="U2" s="317"/>
      <c r="V2" s="318"/>
      <c r="W2" s="316" t="str">
        <f>IF(AND(Y3="-",Y4="-",Y5="-",Y6="-",Y7="-",Y8="-",Y9="-"),
    "",
    IF(SUM(IF(Y3="-",0,IF(Y3&lt;0,-2,IF(Y3&gt;0,2,0))),
            IF(Y4="-",0,IF(Y4&lt;0,-2,IF(Y4&gt;0,2,0))),
            IF(Y5="-",0,IF(Y5&lt;0,-2,IF(Y5&gt;0,2,0))),
            IF(Y6="-",0,IF(Y6&lt;0,-1,IF(Y6&gt;0,1,0))),
            IF(Y7="-",0,IF(Y7&lt;0,-1,IF(Y7&gt;0,1,0))),
            IF(Y8="-",0,IF(Y8&lt;0,-1,IF(Y8&gt;0,1,0))),
            IF(Y9="-",0,IF(Y9&lt;0,-1,IF(Y9&gt;0,1,0)))) / 10 &gt; 0.1,
        "BULLISH",
        IF(SUM(IF(Y3="-",0,IF(Y3&lt;0,-2,IF(Y3&gt;0,2,0))),
                IF(Y4="-",0,IF(Y4&lt;0,-2,IF(Y4&gt;0,2,0))),
                IF(Y5="-",0,IF(Y5&lt;0,-2,IF(Y5&gt;0,2,0))),
                IF(Y6="-",0,IF(Y6&lt;0,-1,IF(Y6&gt;0,1,0))),
                IF(Y7="-",0,IF(Y7&lt;0,-1,IF(Y7&gt;0,1,0))),
                IF(Y8="-",0,IF(Y8&lt;0,-1,IF(Y8&gt;0,1,0))),
                IF(Y9="-",0,IF(Y9&lt;0,-1,IF(Y9&gt;0,1,0)))) / 10 &lt; -0.1,
            "BEARISH",
            IF(SUM(IF(Y3="-",0,IF(Y3&lt;0,-2,IF(Y3&gt;0,2,0))),
                    IF(Y4="-",0,IF(Y4&lt;0,-2,IF(Y4&gt;0,2,0))),
                    IF(Y5="-",0,IF(Y5&lt;0,-2,IF(Y5&gt;0,2,0))),
                    IF(Y6="-",0,IF(Y6&lt;0,-1,IF(Y6&gt;0,1,0))),
                    IF(Y7="-",0,IF(Y7&lt;0,-1,IF(Y7&gt;0,1,0))),
                    IF(Y8="-",0,IF(Y8&lt;0,-1,IF(Y8&gt;0,1,0))),
                    IF(Y9="-",0,IF(Y9&lt;0,-1,IF(Y9&gt;0,1,0)))) / 10 &gt; -0.1,
                "NEUTRO",
                IF(SUM(IF(Y3="-",0,IF(Y3&lt;0,-2,IF(Y3&gt;0,2,0))),
                        IF(Y4="-",0,IF(Y4&lt;0,-2,IF(Y4&gt;0,2,0))),
                        IF(Y5="-",0,IF(Y5&lt;0,-2,IF(Y5&gt;0,2,0))),
                        IF(Y6="-",0,IF(Y6&lt;0,-1,IF(Y6&gt;0,1,0))),
                        IF(Y7="-",0,IF(Y7&lt;0,-1,IF(Y7&gt;0,1,0))),
                        IF(Y8="-",0,IF(Y8&lt;0,-1,IF(Y8&gt;0,1,0))),
                        IF(Y9="-",0,IF(Y9&lt;0,-1,IF(Y9&gt;0,1,0)))) / 10 &lt; 0.1,
                    "NEUTRO",
                    "")))))</f>
        <v>BEARISH</v>
      </c>
      <c r="X2" s="317"/>
      <c r="Y2" s="318"/>
      <c r="Z2" s="316" t="str">
        <f>IF(AND(AB3="-",AB4="-",AB5="-",AB6="-",AB7="-",AB8="-",AB9="-"),
    "",
    IF(SUM(IF(AB3="-",0,IF(AB3&lt;0,-2,IF(AB3&gt;0,2,0))),
            IF(AB4="-",0,IF(AB4&lt;0,-2,IF(AB4&gt;0,2,0))),
            IF(AB5="-",0,IF(AB5&lt;0,-2,IF(AB5&gt;0,2,0))),
            IF(AB6="-",0,IF(AB6&lt;0,-1,IF(AB6&gt;0,1,0))),
            IF(AB7="-",0,IF(AB7&lt;0,-1,IF(AB7&gt;0,1,0))),
            IF(AB8="-",0,IF(AB8&lt;0,-1,IF(AB8&gt;0,1,0))),
            IF(AB9="-",0,IF(AB9&lt;0,-1,IF(AB9&gt;0,1,0)))) / 10 &gt; 0.1,
        "BULLISH",
        IF(SUM(IF(AB3="-",0,IF(AB3&lt;0,-2,IF(AB3&gt;0,2,0))),
                IF(AB4="-",0,IF(AB4&lt;0,-2,IF(AB4&gt;0,2,0))),
                IF(AB5="-",0,IF(AB5&lt;0,-2,IF(AB5&gt;0,2,0))),
                IF(AB6="-",0,IF(AB6&lt;0,-1,IF(AB6&gt;0,1,0))),
                IF(AB7="-",0,IF(AB7&lt;0,-1,IF(AB7&gt;0,1,0))),
                IF(AB8="-",0,IF(AB8&lt;0,-1,IF(AB8&gt;0,1,0))),
                IF(AB9="-",0,IF(AB9&lt;0,-1,IF(AB9&gt;0,1,0)))) / 10 &lt; -0.1,
            "BEARISH",
            IF(SUM(IF(AB3="-",0,IF(AB3&lt;0,-2,IF(AB3&gt;0,2,0))),
                    IF(AB4="-",0,IF(AB4&lt;0,-2,IF(AB4&gt;0,2,0))),
                    IF(AB5="-",0,IF(AB5&lt;0,-2,IF(AB5&gt;0,2,0))),
                    IF(AB6="-",0,IF(AB6&lt;0,-1,IF(AB6&gt;0,1,0))),
                    IF(AB7="-",0,IF(AB7&lt;0,-1,IF(AB7&gt;0,1,0))),
                    IF(AB8="-",0,IF(AB8&lt;0,-1,IF(AB8&gt;0,1,0))),
                    IF(AB9="-",0,IF(AB9&lt;0,-1,IF(AB9&gt;0,1,0)))) / 10 &gt; -0.1,
                "NEUTRO",
                IF(SUM(IF(AB3="-",0,IF(AB3&lt;0,-2,IF(AB3&gt;0,2,0))),
                        IF(AB4="-",0,IF(AB4&lt;0,-2,IF(AB4&gt;0,2,0))),
                        IF(AB5="-",0,IF(AB5&lt;0,-2,IF(AB5&gt;0,2,0))),
                        IF(AB6="-",0,IF(AB6&lt;0,-1,IF(AB6&gt;0,1,0))),
                        IF(AB7="-",0,IF(AB7&lt;0,-1,IF(AB7&gt;0,1,0))),
                        IF(AB8="-",0,IF(AB8&lt;0,-1,IF(AB8&gt;0,1,0))),
                        IF(AB9="-",0,IF(AB9&lt;0,-1,IF(AB9&gt;0,1,0)))) / 10 &lt; 0.1,
                    "NEUTRO",
                    "")))))</f>
        <v>BULLISH</v>
      </c>
      <c r="AA2" s="317"/>
      <c r="AB2" s="318"/>
      <c r="AC2" s="316" t="str">
        <f>IF(AND(AE3="-",AE4="-",AE5="-",AE6="-",AE7="-",AE8="-",AE9="-"),
    "",
    IF(SUM(IF(AE3="-",0,IF(AE3&lt;0,-2,IF(AE3&gt;0,2,0))),
            IF(AE4="-",0,IF(AE4&lt;0,-2,IF(AE4&gt;0,2,0))),
            IF(AE5="-",0,IF(AE5&lt;0,-2,IF(AE5&gt;0,2,0))),
            IF(AE6="-",0,IF(AE6&lt;0,-1,IF(AE6&gt;0,1,0))),
            IF(AE7="-",0,IF(AE7&lt;0,-1,IF(AE7&gt;0,1,0))),
            IF(AE8="-",0,IF(AE8&lt;0,-1,IF(AE8&gt;0,1,0))),
            IF(AE9="-",0,IF(AE9&lt;0,-1,IF(AE9&gt;0,1,0)))) / 10 &gt; 0.1,
        "BULLISH",
        IF(SUM(IF(AE3="-",0,IF(AE3&lt;0,-2,IF(AE3&gt;0,2,0))),
                IF(AE4="-",0,IF(AE4&lt;0,-2,IF(AE4&gt;0,2,0))),
                IF(AE5="-",0,IF(AE5&lt;0,-2,IF(AE5&gt;0,2,0))),
                IF(AE6="-",0,IF(AE6&lt;0,-1,IF(AE6&gt;0,1,0))),
                IF(AE7="-",0,IF(AE7&lt;0,-1,IF(AE7&gt;0,1,0))),
                IF(AE8="-",0,IF(AE8&lt;0,-1,IF(AE8&gt;0,1,0))),
                IF(AE9="-",0,IF(AE9&lt;0,-1,IF(AE9&gt;0,1,0)))) / 10 &lt; -0.1,
            "BEARISH",
            IF(SUM(IF(AE3="-",0,IF(AE3&lt;0,-2,IF(AE3&gt;0,2,0))),
                    IF(AE4="-",0,IF(AE4&lt;0,-2,IF(AE4&gt;0,2,0))),
                    IF(AE5="-",0,IF(AE5&lt;0,-2,IF(AE5&gt;0,2,0))),
                    IF(AE6="-",0,IF(AE6&lt;0,-1,IF(AE6&gt;0,1,0))),
                    IF(AE7="-",0,IF(AE7&lt;0,-1,IF(AE7&gt;0,1,0))),
                    IF(AE8="-",0,IF(AE8&lt;0,-1,IF(AE8&gt;0,1,0))),
                    IF(AE9="-",0,IF(AE9&lt;0,-1,IF(AE9&gt;0,1,0)))) / 10 &gt; -0.1,
                "NEUTRO",
                IF(SUM(IF(AE3="-",0,IF(AE3&lt;0,-2,IF(AE3&gt;0,2,0))),
                        IF(AE4="-",0,IF(AE4&lt;0,-2,IF(AE4&gt;0,2,0))),
                        IF(AE5="-",0,IF(AE5&lt;0,-2,IF(AE5&gt;0,2,0))),
                        IF(AE6="-",0,IF(AE6&lt;0,-1,IF(AE6&gt;0,1,0))),
                        IF(AE7="-",0,IF(AE7&lt;0,-1,IF(AE7&gt;0,1,0))),
                        IF(AE8="-",0,IF(AE8&lt;0,-1,IF(AE8&gt;0,1,0))),
                        IF(AE9="-",0,IF(AE9&lt;0,-1,IF(AE9&gt;0,1,0)))) / 10 &lt; 0.1,
                    "NEUTRO",
                    "")))))</f>
        <v>BEARISH</v>
      </c>
      <c r="AD2" s="317"/>
      <c r="AE2" s="318"/>
      <c r="AF2" s="316" t="str">
        <f>IF(AND(AH3="-",AH4="-",AH5="-",AH6="-",AH7="-",AH8="-",AH9="-"),
    "",
    IF(SUM(IF(AH3="-",0,IF(AH3&lt;0,-2,IF(AH3&gt;0,2,0))),
            IF(AH4="-",0,IF(AH4&lt;0,-2,IF(AH4&gt;0,2,0))),
            IF(AH5="-",0,IF(AH5&lt;0,-2,IF(AH5&gt;0,2,0))),
            IF(AH6="-",0,IF(AH6&lt;0,-1,IF(AH6&gt;0,1,0))),
            IF(AH7="-",0,IF(AH7&lt;0,-1,IF(AH7&gt;0,1,0))),
            IF(AH8="-",0,IF(AH8&lt;0,-1,IF(AH8&gt;0,1,0))),
            IF(AH9="-",0,IF(AH9&lt;0,-1,IF(AH9&gt;0,1,0)))) / 10 &gt; 0.1,
        "BULLISH",
        IF(SUM(IF(AH3="-",0,IF(AH3&lt;0,-2,IF(AH3&gt;0,2,0))),
                IF(AH4="-",0,IF(AH4&lt;0,-2,IF(AH4&gt;0,2,0))),
                IF(AH5="-",0,IF(AH5&lt;0,-2,IF(AH5&gt;0,2,0))),
                IF(AH6="-",0,IF(AH6&lt;0,-1,IF(AH6&gt;0,1,0))),
                IF(AH7="-",0,IF(AH7&lt;0,-1,IF(AH7&gt;0,1,0))),
                IF(AH8="-",0,IF(AH8&lt;0,-1,IF(AH8&gt;0,1,0))),
                IF(AH9="-",0,IF(AH9&lt;0,-1,IF(AH9&gt;0,1,0)))) / 10 &lt; -0.1,
            "BEARISH",
            IF(SUM(IF(AH3="-",0,IF(AH3&lt;0,-2,IF(AH3&gt;0,2,0))),
                    IF(AH4="-",0,IF(AH4&lt;0,-2,IF(AH4&gt;0,2,0))),
                    IF(AH5="-",0,IF(AH5&lt;0,-2,IF(AH5&gt;0,2,0))),
                    IF(AH6="-",0,IF(AH6&lt;0,-1,IF(AH6&gt;0,1,0))),
                    IF(AH7="-",0,IF(AH7&lt;0,-1,IF(AH7&gt;0,1,0))),
                    IF(AH8="-",0,IF(AH8&lt;0,-1,IF(AH8&gt;0,1,0))),
                    IF(AH9="-",0,IF(AH9&lt;0,-1,IF(AH9&gt;0,1,0)))) / 10 &gt; -0.1,
                "NEUTRO",
                IF(SUM(IF(AH3="-",0,IF(AH3&lt;0,-2,IF(AH3&gt;0,2,0))),
                        IF(AH4="-",0,IF(AH4&lt;0,-2,IF(AH4&gt;0,2,0))),
                        IF(AH5="-",0,IF(AH5&lt;0,-2,IF(AH5&gt;0,2,0))),
                        IF(AH6="-",0,IF(AH6&lt;0,-1,IF(AH6&gt;0,1,0))),
                        IF(AH7="-",0,IF(AH7&lt;0,-1,IF(AH7&gt;0,1,0))),
                        IF(AH8="-",0,IF(AH8&lt;0,-1,IF(AH8&gt;0,1,0))),
                        IF(AH9="-",0,IF(AH9&lt;0,-1,IF(AH9&gt;0,1,0)))) / 10 &lt; 0.1,
                    "NEUTRO",
                    "")))))</f>
        <v>NEUTRO</v>
      </c>
      <c r="AG2" s="317"/>
      <c r="AH2" s="318"/>
      <c r="AI2" s="316" t="str">
        <f>IF(AND(AK3="-",AK4="-",AK5="-",AK6="-",AK7="-",AK8="-",AK9="-"),
    "",
    IF(SUM(IF(AK3="-",0,IF(AK3&lt;0,-2,IF(AK3&gt;0,2,0))),
            IF(AK4="-",0,IF(AK4&lt;0,-2,IF(AK4&gt;0,2,0))),
            IF(AK5="-",0,IF(AK5&lt;0,-2,IF(AK5&gt;0,2,0))),
            IF(AK6="-",0,IF(AK6&lt;0,-1,IF(AK6&gt;0,1,0))),
            IF(AK7="-",0,IF(AK7&lt;0,-1,IF(AK7&gt;0,1,0))),
            IF(AK8="-",0,IF(AK8&lt;0,-1,IF(AK8&gt;0,1,0))),
            IF(AK9="-",0,IF(AK9&lt;0,-1,IF(AK9&gt;0,1,0)))) / 10 &gt; 0.1,
        "BULLISH",
        IF(SUM(IF(AK3="-",0,IF(AK3&lt;0,-2,IF(AK3&gt;0,2,0))),
                IF(AK4="-",0,IF(AK4&lt;0,-2,IF(AK4&gt;0,2,0))),
                IF(AK5="-",0,IF(AK5&lt;0,-2,IF(AK5&gt;0,2,0))),
                IF(AK6="-",0,IF(AK6&lt;0,-1,IF(AK6&gt;0,1,0))),
                IF(AK7="-",0,IF(AK7&lt;0,-1,IF(AK7&gt;0,1,0))),
                IF(AK8="-",0,IF(AK8&lt;0,-1,IF(AK8&gt;0,1,0))),
                IF(AK9="-",0,IF(AK9&lt;0,-1,IF(AK9&gt;0,1,0)))) / 10 &lt; -0.1,
            "BEARISH",
            IF(SUM(IF(AK3="-",0,IF(AK3&lt;0,-2,IF(AK3&gt;0,2,0))),
                    IF(AK4="-",0,IF(AK4&lt;0,-2,IF(AK4&gt;0,2,0))),
                    IF(AK5="-",0,IF(AK5&lt;0,-2,IF(AK5&gt;0,2,0))),
                    IF(AK6="-",0,IF(AK6&lt;0,-1,IF(AK6&gt;0,1,0))),
                    IF(AK7="-",0,IF(AK7&lt;0,-1,IF(AK7&gt;0,1,0))),
                    IF(AK8="-",0,IF(AK8&lt;0,-1,IF(AK8&gt;0,1,0))),
                    IF(AK9="-",0,IF(AK9&lt;0,-1,IF(AK9&gt;0,1,0)))) / 10 &gt; -0.1,
                "NEUTRO",
                IF(SUM(IF(AK3="-",0,IF(AK3&lt;0,-2,IF(AK3&gt;0,2,0))),
                        IF(AK4="-",0,IF(AK4&lt;0,-2,IF(AK4&gt;0,2,0))),
                        IF(AK5="-",0,IF(AK5&lt;0,-2,IF(AK5&gt;0,2,0))),
                        IF(AK6="-",0,IF(AK6&lt;0,-1,IF(AK6&gt;0,1,0))),
                        IF(AK7="-",0,IF(AK7&lt;0,-1,IF(AK7&gt;0,1,0))),
                        IF(AK8="-",0,IF(AK8&lt;0,-1,IF(AK8&gt;0,1,0))),
                        IF(AK9="-",0,IF(AK9&lt;0,-1,IF(AK9&gt;0,1,0)))) / 10 &lt; 0.1,
                    "NEUTRO",
                    "")))))</f>
        <v>BEARISH</v>
      </c>
      <c r="AJ2" s="317"/>
      <c r="AK2" s="318"/>
      <c r="AL2" s="316" t="str">
        <f>IF(AND(AN3="-",AN4="-",AN5="-",AN6="-",AN7="-",AN8="-",AN9="-"),
    "",
    IF(SUM(IF(AN3="-",0,IF(AN3&lt;0,-2,IF(AN3&gt;0,2,0))),
            IF(AN4="-",0,IF(AN4&lt;0,-2,IF(AN4&gt;0,2,0))),
            IF(AN5="-",0,IF(AN5&lt;0,-2,IF(AN5&gt;0,2,0))),
            IF(AN6="-",0,IF(AN6&lt;0,-1,IF(AN6&gt;0,1,0))),
            IF(AN7="-",0,IF(AN7&lt;0,-1,IF(AN7&gt;0,1,0))),
            IF(AN8="-",0,IF(AN8&lt;0,-1,IF(AN8&gt;0,1,0))),
            IF(AN9="-",0,IF(AN9&lt;0,-1,IF(AN9&gt;0,1,0)))) / 10 &gt; 0.1,
        "BULLISH",
        IF(SUM(IF(AN3="-",0,IF(AN3&lt;0,-2,IF(AN3&gt;0,2,0))),
                IF(AN4="-",0,IF(AN4&lt;0,-2,IF(AN4&gt;0,2,0))),
                IF(AN5="-",0,IF(AN5&lt;0,-2,IF(AN5&gt;0,2,0))),
                IF(AN6="-",0,IF(AN6&lt;0,-1,IF(AN6&gt;0,1,0))),
                IF(AN7="-",0,IF(AN7&lt;0,-1,IF(AN7&gt;0,1,0))),
                IF(AN8="-",0,IF(AN8&lt;0,-1,IF(AN8&gt;0,1,0))),
                IF(AN9="-",0,IF(AN9&lt;0,-1,IF(AN9&gt;0,1,0)))) / 10 &lt; -0.1,
            "BEARISH",
            IF(SUM(IF(AN3="-",0,IF(AN3&lt;0,-2,IF(AN3&gt;0,2,0))),
                    IF(AN4="-",0,IF(AN4&lt;0,-2,IF(AN4&gt;0,2,0))),
                    IF(AN5="-",0,IF(AN5&lt;0,-2,IF(AN5&gt;0,2,0))),
                    IF(AN6="-",0,IF(AN6&lt;0,-1,IF(AN6&gt;0,1,0))),
                    IF(AN7="-",0,IF(AN7&lt;0,-1,IF(AN7&gt;0,1,0))),
                    IF(AN8="-",0,IF(AN8&lt;0,-1,IF(AN8&gt;0,1,0))),
                    IF(AN9="-",0,IF(AN9&lt;0,-1,IF(AN9&gt;0,1,0)))) / 10 &gt; -0.1,
                "NEUTRO",
                IF(SUM(IF(AN3="-",0,IF(AN3&lt;0,-2,IF(AN3&gt;0,2,0))),
                        IF(AN4="-",0,IF(AN4&lt;0,-2,IF(AN4&gt;0,2,0))),
                        IF(AN5="-",0,IF(AN5&lt;0,-2,IF(AN5&gt;0,2,0))),
                        IF(AN6="-",0,IF(AN6&lt;0,-1,IF(AN6&gt;0,1,0))),
                        IF(AN7="-",0,IF(AN7&lt;0,-1,IF(AN7&gt;0,1,0))),
                        IF(AN8="-",0,IF(AN8&lt;0,-1,IF(AN8&gt;0,1,0))),
                        IF(AN9="-",0,IF(AN9&lt;0,-1,IF(AN9&gt;0,1,0)))) / 10 &lt; 0.1,
                    "NEUTRO",
                    "")))))</f>
        <v>BEARISH</v>
      </c>
      <c r="AM2" s="317"/>
      <c r="AN2" s="318"/>
      <c r="AO2" s="316" t="str">
        <f>IF(AND(AQ3="-",AQ4="-",AQ5="-",AQ6="-",AQ7="-",AQ8="-",AQ9="-"),
    "",
    IF(SUM(IF(AQ3="-",0,IF(AQ3&lt;0,-2,IF(AQ3&gt;0,2,0))),
            IF(AQ4="-",0,IF(AQ4&lt;0,-2,IF(AQ4&gt;0,2,0))),
            IF(AQ5="-",0,IF(AQ5&lt;0,-2,IF(AQ5&gt;0,2,0))),
            IF(AQ6="-",0,IF(AQ6&lt;0,-1,IF(AQ6&gt;0,1,0))),
            IF(AQ7="-",0,IF(AQ7&lt;0,-1,IF(AQ7&gt;0,1,0))),
            IF(AQ8="-",0,IF(AQ8&lt;0,-1,IF(AQ8&gt;0,1,0))),
            IF(AQ9="-",0,IF(AQ9&lt;0,-1,IF(AQ9&gt;0,1,0)))) / 10 &gt; 0.1,
        "BULLISH",
        IF(SUM(IF(AQ3="-",0,IF(AQ3&lt;0,-2,IF(AQ3&gt;0,2,0))),
                IF(AQ4="-",0,IF(AQ4&lt;0,-2,IF(AQ4&gt;0,2,0))),
                IF(AQ5="-",0,IF(AQ5&lt;0,-2,IF(AQ5&gt;0,2,0))),
                IF(AQ6="-",0,IF(AQ6&lt;0,-1,IF(AQ6&gt;0,1,0))),
                IF(AQ7="-",0,IF(AQ7&lt;0,-1,IF(AQ7&gt;0,1,0))),
                IF(AQ8="-",0,IF(AQ8&lt;0,-1,IF(AQ8&gt;0,1,0))),
                IF(AQ9="-",0,IF(AQ9&lt;0,-1,IF(AQ9&gt;0,1,0)))) / 10 &lt; -0.1,
            "BEARISH",
            IF(SUM(IF(AQ3="-",0,IF(AQ3&lt;0,-2,IF(AQ3&gt;0,2,0))),
                    IF(AQ4="-",0,IF(AQ4&lt;0,-2,IF(AQ4&gt;0,2,0))),
                    IF(AQ5="-",0,IF(AQ5&lt;0,-2,IF(AQ5&gt;0,2,0))),
                    IF(AQ6="-",0,IF(AQ6&lt;0,-1,IF(AQ6&gt;0,1,0))),
                    IF(AQ7="-",0,IF(AQ7&lt;0,-1,IF(AQ7&gt;0,1,0))),
                    IF(AQ8="-",0,IF(AQ8&lt;0,-1,IF(AQ8&gt;0,1,0))),
                    IF(AQ9="-",0,IF(AQ9&lt;0,-1,IF(AQ9&gt;0,1,0)))) / 10 &gt; -0.1,
                "NEUTRO",
                IF(SUM(IF(AQ3="-",0,IF(AQ3&lt;0,-2,IF(AQ3&gt;0,2,0))),
                        IF(AQ4="-",0,IF(AQ4&lt;0,-2,IF(AQ4&gt;0,2,0))),
                        IF(AQ5="-",0,IF(AQ5&lt;0,-2,IF(AQ5&gt;0,2,0))),
                        IF(AQ6="-",0,IF(AQ6&lt;0,-1,IF(AQ6&gt;0,1,0))),
                        IF(AQ7="-",0,IF(AQ7&lt;0,-1,IF(AQ7&gt;0,1,0))),
                        IF(AQ8="-",0,IF(AQ8&lt;0,-1,IF(AQ8&gt;0,1,0))),
                        IF(AQ9="-",0,IF(AQ9&lt;0,-1,IF(AQ9&gt;0,1,0)))) / 10 &lt; 0.1,
                    "NEUTRO",
                    "")))))</f>
        <v>BEARISH</v>
      </c>
      <c r="AP2" s="317"/>
      <c r="AQ2" s="318"/>
      <c r="AR2" s="316" t="str">
        <f>IF(AND(AT3="-",AT4="-",AT5="-",AT6="-",AT7="-",AT8="-",AT9="-"),
    "",
    IF(SUM(IF(AT3="-",0,IF(AT3&lt;0,-2,IF(AT3&gt;0,2,0))),
            IF(AT4="-",0,IF(AT4&lt;0,-2,IF(AT4&gt;0,2,0))),
            IF(AT5="-",0,IF(AT5&lt;0,-2,IF(AT5&gt;0,2,0))),
            IF(AT6="-",0,IF(AT6&lt;0,-1,IF(AT6&gt;0,1,0))),
            IF(AT7="-",0,IF(AT7&lt;0,-1,IF(AT7&gt;0,1,0))),
            IF(AT8="-",0,IF(AT8&lt;0,-1,IF(AT8&gt;0,1,0))),
            IF(AT9="-",0,IF(AT9&lt;0,-1,IF(AT9&gt;0,1,0)))) / 10 &gt; 0.1,
        "BULLISH",
        IF(SUM(IF(AT3="-",0,IF(AT3&lt;0,-2,IF(AT3&gt;0,2,0))),
                IF(AT4="-",0,IF(AT4&lt;0,-2,IF(AT4&gt;0,2,0))),
                IF(AT5="-",0,IF(AT5&lt;0,-2,IF(AT5&gt;0,2,0))),
                IF(AT6="-",0,IF(AT6&lt;0,-1,IF(AT6&gt;0,1,0))),
                IF(AT7="-",0,IF(AT7&lt;0,-1,IF(AT7&gt;0,1,0))),
                IF(AT8="-",0,IF(AT8&lt;0,-1,IF(AT8&gt;0,1,0))),
                IF(AT9="-",0,IF(AT9&lt;0,-1,IF(AT9&gt;0,1,0)))) / 10 &lt; -0.1,
            "BEARISH",
            IF(SUM(IF(AT3="-",0,IF(AT3&lt;0,-2,IF(AT3&gt;0,2,0))),
                    IF(AT4="-",0,IF(AT4&lt;0,-2,IF(AT4&gt;0,2,0))),
                    IF(AT5="-",0,IF(AT5&lt;0,-2,IF(AT5&gt;0,2,0))),
                    IF(AT6="-",0,IF(AT6&lt;0,-1,IF(AT6&gt;0,1,0))),
                    IF(AT7="-",0,IF(AT7&lt;0,-1,IF(AT7&gt;0,1,0))),
                    IF(AT8="-",0,IF(AT8&lt;0,-1,IF(AT8&gt;0,1,0))),
                    IF(AT9="-",0,IF(AT9&lt;0,-1,IF(AT9&gt;0,1,0)))) / 10 &gt; -0.1,
                "NEUTRO",
                IF(SUM(IF(AT3="-",0,IF(AT3&lt;0,-2,IF(AT3&gt;0,2,0))),
                        IF(AT4="-",0,IF(AT4&lt;0,-2,IF(AT4&gt;0,2,0))),
                        IF(AT5="-",0,IF(AT5&lt;0,-2,IF(AT5&gt;0,2,0))),
                        IF(AT6="-",0,IF(AT6&lt;0,-1,IF(AT6&gt;0,1,0))),
                        IF(AT7="-",0,IF(AT7&lt;0,-1,IF(AT7&gt;0,1,0))),
                        IF(AT8="-",0,IF(AT8&lt;0,-1,IF(AT8&gt;0,1,0))),
                        IF(AT9="-",0,IF(AT9&lt;0,-1,IF(AT9&gt;0,1,0)))) / 10 &lt; 0.1,
                    "NEUTRO",
                    "")))))</f>
        <v>NEUTRO</v>
      </c>
      <c r="AS2" s="317"/>
      <c r="AT2" s="318"/>
      <c r="AU2" s="316" t="str">
        <f>IF(AND(AW3="-",AW4="-",AW5="-",AW6="-",AW7="-",AW8="-",AW9="-"),
    "",
    IF(SUM(IF(AW3="-",0,IF(AW3&lt;0,-2,IF(AW3&gt;0,2,0))),
            IF(AW4="-",0,IF(AW4&lt;0,-2,IF(AW4&gt;0,2,0))),
            IF(AW5="-",0,IF(AW5&lt;0,-2,IF(AW5&gt;0,2,0))),
            IF(AW6="-",0,IF(AW6&lt;0,-1,IF(AW6&gt;0,1,0))),
            IF(AW7="-",0,IF(AW7&lt;0,-1,IF(AW7&gt;0,1,0))),
            IF(AW8="-",0,IF(AW8&lt;0,-1,IF(AW8&gt;0,1,0))),
            IF(AW9="-",0,IF(AW9&lt;0,-1,IF(AW9&gt;0,1,0)))) / 10 &gt; 0.1,
        "BULLISH",
        IF(SUM(IF(AW3="-",0,IF(AW3&lt;0,-2,IF(AW3&gt;0,2,0))),
                IF(AW4="-",0,IF(AW4&lt;0,-2,IF(AW4&gt;0,2,0))),
                IF(AW5="-",0,IF(AW5&lt;0,-2,IF(AW5&gt;0,2,0))),
                IF(AW6="-",0,IF(AW6&lt;0,-1,IF(AW6&gt;0,1,0))),
                IF(AW7="-",0,IF(AW7&lt;0,-1,IF(AW7&gt;0,1,0))),
                IF(AW8="-",0,IF(AW8&lt;0,-1,IF(AW8&gt;0,1,0))),
                IF(AW9="-",0,IF(AW9&lt;0,-1,IF(AW9&gt;0,1,0)))) / 10 &lt; -0.1,
            "BEARISH",
            IF(SUM(IF(AW3="-",0,IF(AW3&lt;0,-2,IF(AW3&gt;0,2,0))),
                    IF(AW4="-",0,IF(AW4&lt;0,-2,IF(AW4&gt;0,2,0))),
                    IF(AW5="-",0,IF(AW5&lt;0,-2,IF(AW5&gt;0,2,0))),
                    IF(AW6="-",0,IF(AW6&lt;0,-1,IF(AW6&gt;0,1,0))),
                    IF(AW7="-",0,IF(AW7&lt;0,-1,IF(AW7&gt;0,1,0))),
                    IF(AW8="-",0,IF(AW8&lt;0,-1,IF(AW8&gt;0,1,0))),
                    IF(AW9="-",0,IF(AW9&lt;0,-1,IF(AW9&gt;0,1,0)))) / 10 &gt; -0.1,
                "NEUTRO",
                IF(SUM(IF(AW3="-",0,IF(AW3&lt;0,-2,IF(AW3&gt;0,2,0))),
                        IF(AW4="-",0,IF(AW4&lt;0,-2,IF(AW4&gt;0,2,0))),
                        IF(AW5="-",0,IF(AW5&lt;0,-2,IF(AW5&gt;0,2,0))),
                        IF(AW6="-",0,IF(AW6&lt;0,-1,IF(AW6&gt;0,1,0))),
                        IF(AW7="-",0,IF(AW7&lt;0,-1,IF(AW7&gt;0,1,0))),
                        IF(AW8="-",0,IF(AW8&lt;0,-1,IF(AW8&gt;0,1,0))),
                        IF(AW9="-",0,IF(AW9&lt;0,-1,IF(AW9&gt;0,1,0)))) / 10 &lt; 0.1,
                    "NEUTRO",
                    "")))))</f>
        <v/>
      </c>
      <c r="AV2" s="317"/>
      <c r="AW2" s="318"/>
    </row>
    <row r="3" spans="1:49" x14ac:dyDescent="0.25">
      <c r="A3" s="26" t="s">
        <v>87</v>
      </c>
      <c r="B3" s="135"/>
      <c r="C3" s="135"/>
      <c r="D3" s="8">
        <f t="shared" ref="D3:D9" si="0">B3-C3</f>
        <v>0</v>
      </c>
      <c r="E3" s="135">
        <v>0</v>
      </c>
      <c r="F3" s="135">
        <v>0.01</v>
      </c>
      <c r="G3" s="8">
        <f t="shared" ref="G3:G9" si="1">E3-F3</f>
        <v>-0.01</v>
      </c>
      <c r="H3" s="134">
        <v>0.01</v>
      </c>
      <c r="I3" s="134">
        <v>0</v>
      </c>
      <c r="J3" s="8">
        <f t="shared" ref="J3:J8" si="2">IF(ISBLANK(H3),"-",H3-I3)</f>
        <v>0.01</v>
      </c>
      <c r="K3" s="135"/>
      <c r="L3" s="135"/>
      <c r="M3" s="8" t="str">
        <f t="shared" ref="M3:M8" si="3">IF(ISBLANK(K3),"-",K3-L3)</f>
        <v>-</v>
      </c>
      <c r="N3" s="135"/>
      <c r="O3" s="135"/>
      <c r="P3" s="8" t="str">
        <f t="shared" ref="P3:P8" si="4">IF(ISBLANK(N3),"-",N3-O3)</f>
        <v>-</v>
      </c>
      <c r="Q3" s="135"/>
      <c r="R3" s="135"/>
      <c r="S3" s="8" t="str">
        <f t="shared" ref="S3:S8" si="5">IF(ISBLANK(Q3),"-",Q3-R3)</f>
        <v>-</v>
      </c>
      <c r="T3" s="134">
        <v>7.0000000000000001E-3</v>
      </c>
      <c r="U3" s="134">
        <v>8.9999999999999993E-3</v>
      </c>
      <c r="V3" s="8">
        <f t="shared" ref="V3:V8" si="6">IF(ISBLANK(T3),"-",T3-U3)</f>
        <v>-1.9999999999999992E-3</v>
      </c>
      <c r="W3" s="135"/>
      <c r="X3" s="135"/>
      <c r="Y3" s="8" t="str">
        <f t="shared" ref="Y3:Y8" si="7">IF(ISBLANK(W3),"-",W3-X3)</f>
        <v>-</v>
      </c>
      <c r="Z3" s="134">
        <v>8.9999999999999993E-3</v>
      </c>
      <c r="AA3" s="134">
        <v>2E-3</v>
      </c>
      <c r="AB3" s="8">
        <f t="shared" ref="AB3:AB8" si="8">IF(ISBLANK(Z3),"-",Z3-AA3)</f>
        <v>6.9999999999999993E-3</v>
      </c>
      <c r="AC3" s="135"/>
      <c r="AD3" s="135"/>
      <c r="AE3" s="8" t="str">
        <f t="shared" ref="AE3:AE8" si="9">IF(ISBLANK(AC3),"-",AC3-AD3)</f>
        <v>-</v>
      </c>
      <c r="AF3" s="134">
        <v>2E-3</v>
      </c>
      <c r="AG3" s="134">
        <v>2E-3</v>
      </c>
      <c r="AH3" s="8">
        <f t="shared" ref="AH3:AH8" si="10">IF(ISBLANK(AF3),"-",AF3-AG3)</f>
        <v>0</v>
      </c>
      <c r="AI3" s="135"/>
      <c r="AJ3" s="135"/>
      <c r="AK3" s="8" t="str">
        <f t="shared" ref="AK3:AK8" si="11">IF(ISBLANK(AI3),"-",AI3-AJ3)</f>
        <v>-</v>
      </c>
      <c r="AL3" s="134">
        <v>2E-3</v>
      </c>
      <c r="AM3" s="136">
        <v>0.01</v>
      </c>
      <c r="AN3" s="8">
        <f t="shared" ref="AN3:AN8" si="12">IF(ISBLANK(AL3),"-",AL3-AM3)</f>
        <v>-8.0000000000000002E-3</v>
      </c>
      <c r="AO3" s="135"/>
      <c r="AP3" s="135"/>
      <c r="AQ3" s="8" t="str">
        <f t="shared" ref="AQ3:AQ8" si="13">IF(ISBLANK(AO3),"-",AO3-AP3)</f>
        <v>-</v>
      </c>
      <c r="AR3" s="136">
        <v>0.01</v>
      </c>
      <c r="AS3" s="136">
        <v>0.01</v>
      </c>
      <c r="AT3" s="8">
        <f t="shared" ref="AT3:AT8" si="14">IF(ISBLANK(AR3),"-",AR3-AS3)</f>
        <v>0</v>
      </c>
      <c r="AU3" s="135"/>
      <c r="AV3" s="135"/>
      <c r="AW3" s="8" t="str">
        <f t="shared" ref="AW3:AW9" si="15">IF(ISBLANK(AU3),"-",AU3-AV3)</f>
        <v>-</v>
      </c>
    </row>
    <row r="4" spans="1:49" x14ac:dyDescent="0.25">
      <c r="A4" s="15" t="s">
        <v>160</v>
      </c>
      <c r="B4" s="138"/>
      <c r="C4" s="138"/>
      <c r="D4" s="3">
        <f t="shared" si="0"/>
        <v>0</v>
      </c>
      <c r="E4" s="138">
        <v>3.6999999999999998E-2</v>
      </c>
      <c r="F4" s="138">
        <v>3.7999999999999999E-2</v>
      </c>
      <c r="G4" s="3">
        <f t="shared" si="1"/>
        <v>-1.0000000000000009E-3</v>
      </c>
      <c r="H4" s="137">
        <v>3.7999999999999999E-2</v>
      </c>
      <c r="I4" s="137">
        <v>3.4000000000000002E-2</v>
      </c>
      <c r="J4" s="3">
        <f>IF(ISBLANK(H4),"-",H4-I4)</f>
        <v>3.9999999999999966E-3</v>
      </c>
      <c r="K4" s="138"/>
      <c r="L4" s="138"/>
      <c r="M4" s="3" t="str">
        <f>IF(ISBLANK(K4),"-",K4-L4)</f>
        <v>-</v>
      </c>
      <c r="N4" s="138"/>
      <c r="O4" s="138"/>
      <c r="P4" s="3" t="str">
        <f>IF(ISBLANK(N4),"-",N4-O4)</f>
        <v>-</v>
      </c>
      <c r="Q4" s="137">
        <v>0.03</v>
      </c>
      <c r="R4" s="137">
        <v>1.9E-2</v>
      </c>
      <c r="S4" s="3">
        <f>IF(ISBLANK(Q4),"-",Q4-R4)</f>
        <v>1.0999999999999999E-2</v>
      </c>
      <c r="T4" s="137">
        <v>1.9E-2</v>
      </c>
      <c r="U4" s="137">
        <v>2.1000000000000001E-2</v>
      </c>
      <c r="V4" s="3">
        <f>IF(ISBLANK(T4),"-",T4-U4)</f>
        <v>-2.0000000000000018E-3</v>
      </c>
      <c r="W4" s="137">
        <v>2.1000000000000001E-2</v>
      </c>
      <c r="X4" s="137">
        <v>2.4E-2</v>
      </c>
      <c r="Y4" s="3">
        <f>IF(ISBLANK(W4),"-",W4-X4)</f>
        <v>-2.9999999999999992E-3</v>
      </c>
      <c r="Z4" s="137">
        <v>2.4E-2</v>
      </c>
      <c r="AA4" s="137">
        <v>2.4E-2</v>
      </c>
      <c r="AB4" s="3">
        <f>IF(ISBLANK(Z4),"-",Z4-AA4)</f>
        <v>0</v>
      </c>
      <c r="AC4" s="137">
        <v>2.4E-2</v>
      </c>
      <c r="AD4" s="137">
        <v>2.5000000000000001E-2</v>
      </c>
      <c r="AE4" s="3">
        <f>IF(ISBLANK(AC4),"-",AC4-AD4)</f>
        <v>-1.0000000000000009E-3</v>
      </c>
      <c r="AF4" s="137">
        <v>2.5000000000000001E-2</v>
      </c>
      <c r="AG4" s="137">
        <v>2.1000000000000001E-2</v>
      </c>
      <c r="AH4" s="3">
        <f>IF(ISBLANK(AF4),"-",AF4-AG4)</f>
        <v>4.0000000000000001E-3</v>
      </c>
      <c r="AI4" s="137">
        <v>2.1000000000000001E-2</v>
      </c>
      <c r="AJ4" s="137">
        <v>2.1000000000000001E-2</v>
      </c>
      <c r="AK4" s="3">
        <f>IF(ISBLANK(AI4),"-",AI4-AJ4)</f>
        <v>0</v>
      </c>
      <c r="AL4" s="137">
        <v>2.1000000000000001E-2</v>
      </c>
      <c r="AM4" s="137">
        <v>2.7E-2</v>
      </c>
      <c r="AN4" s="3">
        <f>IF(ISBLANK(AL4),"-",AL4-AM4)</f>
        <v>-5.9999999999999984E-3</v>
      </c>
      <c r="AO4" s="137">
        <v>3.5000000000000003E-2</v>
      </c>
      <c r="AP4" s="137">
        <v>3.7999999999999999E-2</v>
      </c>
      <c r="AQ4" s="3">
        <f>IF(ISBLANK(AO4),"-",AO4-AP4)</f>
        <v>-2.9999999999999957E-3</v>
      </c>
      <c r="AR4" s="137">
        <v>3.7999999999999999E-2</v>
      </c>
      <c r="AS4" s="137">
        <v>0.04</v>
      </c>
      <c r="AT4" s="3">
        <f t="shared" si="14"/>
        <v>-2.0000000000000018E-3</v>
      </c>
      <c r="AU4" s="138"/>
      <c r="AV4" s="138"/>
      <c r="AW4" s="3" t="str">
        <f t="shared" si="15"/>
        <v>-</v>
      </c>
    </row>
    <row r="5" spans="1:49" x14ac:dyDescent="0.25">
      <c r="A5" s="15" t="s">
        <v>232</v>
      </c>
      <c r="B5" s="138"/>
      <c r="C5" s="138"/>
      <c r="D5" s="3">
        <f t="shared" si="0"/>
        <v>0</v>
      </c>
      <c r="E5" s="138">
        <v>8.0000000000000002E-3</v>
      </c>
      <c r="F5" s="138">
        <v>8.0000000000000002E-3</v>
      </c>
      <c r="G5" s="3">
        <f t="shared" si="1"/>
        <v>0</v>
      </c>
      <c r="H5" s="137">
        <v>8.0000000000000002E-3</v>
      </c>
      <c r="I5" s="139">
        <v>0.01</v>
      </c>
      <c r="J5" s="3">
        <f t="shared" si="2"/>
        <v>-2E-3</v>
      </c>
      <c r="K5" s="138"/>
      <c r="L5" s="138"/>
      <c r="M5" s="3" t="str">
        <f t="shared" si="3"/>
        <v>-</v>
      </c>
      <c r="N5" s="138"/>
      <c r="O5" s="138"/>
      <c r="P5" s="3" t="str">
        <f t="shared" si="4"/>
        <v>-</v>
      </c>
      <c r="Q5" s="138"/>
      <c r="R5" s="138"/>
      <c r="S5" s="3" t="str">
        <f t="shared" si="5"/>
        <v>-</v>
      </c>
      <c r="T5" s="137">
        <v>7.0000000000000001E-3</v>
      </c>
      <c r="U5" s="137">
        <v>8.9999999999999993E-3</v>
      </c>
      <c r="V5" s="3">
        <f t="shared" si="6"/>
        <v>-1.9999999999999992E-3</v>
      </c>
      <c r="W5" s="138"/>
      <c r="X5" s="138"/>
      <c r="Y5" s="3" t="str">
        <f t="shared" si="7"/>
        <v>-</v>
      </c>
      <c r="Z5" s="137">
        <v>8.9999999999999993E-3</v>
      </c>
      <c r="AA5" s="137">
        <v>8.0000000000000002E-3</v>
      </c>
      <c r="AB5" s="3">
        <f t="shared" si="8"/>
        <v>9.9999999999999915E-4</v>
      </c>
      <c r="AC5" s="138"/>
      <c r="AD5" s="138"/>
      <c r="AE5" s="3" t="str">
        <f t="shared" si="9"/>
        <v>-</v>
      </c>
      <c r="AF5" s="137">
        <v>8.0000000000000002E-3</v>
      </c>
      <c r="AG5" s="137">
        <v>8.9999999999999993E-3</v>
      </c>
      <c r="AH5" s="3">
        <f t="shared" si="10"/>
        <v>-9.9999999999999915E-4</v>
      </c>
      <c r="AI5" s="138"/>
      <c r="AJ5" s="138"/>
      <c r="AK5" s="3" t="str">
        <f t="shared" si="11"/>
        <v>-</v>
      </c>
      <c r="AL5" s="137">
        <v>8.9999999999999993E-3</v>
      </c>
      <c r="AM5" s="139">
        <v>0.01</v>
      </c>
      <c r="AN5" s="3">
        <f t="shared" si="12"/>
        <v>-1.0000000000000009E-3</v>
      </c>
      <c r="AO5" s="138"/>
      <c r="AP5" s="138"/>
      <c r="AQ5" s="3" t="str">
        <f t="shared" si="13"/>
        <v>-</v>
      </c>
      <c r="AR5" s="139">
        <v>0.01</v>
      </c>
      <c r="AS5" s="137">
        <v>8.9999999999999993E-3</v>
      </c>
      <c r="AT5" s="3">
        <f t="shared" si="14"/>
        <v>1.0000000000000009E-3</v>
      </c>
      <c r="AU5" s="138"/>
      <c r="AV5" s="138"/>
      <c r="AW5" s="3" t="str">
        <f t="shared" si="15"/>
        <v>-</v>
      </c>
    </row>
    <row r="6" spans="1:49" x14ac:dyDescent="0.25">
      <c r="A6" s="140" t="s">
        <v>233</v>
      </c>
      <c r="B6" s="143"/>
      <c r="C6" s="143"/>
      <c r="D6" s="142">
        <f t="shared" si="0"/>
        <v>0</v>
      </c>
      <c r="E6" s="143">
        <v>3.0000000000000001E-3</v>
      </c>
      <c r="F6" s="143">
        <v>2E-3</v>
      </c>
      <c r="G6" s="142">
        <f t="shared" si="1"/>
        <v>1E-3</v>
      </c>
      <c r="H6" s="141">
        <v>2E-3</v>
      </c>
      <c r="I6" s="141">
        <v>3.0000000000000001E-3</v>
      </c>
      <c r="J6" s="142">
        <f t="shared" si="2"/>
        <v>-1E-3</v>
      </c>
      <c r="K6" s="143"/>
      <c r="L6" s="143"/>
      <c r="M6" s="142" t="str">
        <f t="shared" si="3"/>
        <v>-</v>
      </c>
      <c r="N6" s="143"/>
      <c r="O6" s="143"/>
      <c r="P6" s="142" t="str">
        <f t="shared" si="4"/>
        <v>-</v>
      </c>
      <c r="Q6" s="143"/>
      <c r="R6" s="143"/>
      <c r="S6" s="142" t="str">
        <f t="shared" si="5"/>
        <v>-</v>
      </c>
      <c r="T6" s="141">
        <v>6.0000000000000001E-3</v>
      </c>
      <c r="U6" s="141">
        <v>7.0000000000000001E-3</v>
      </c>
      <c r="V6" s="142">
        <f t="shared" si="6"/>
        <v>-1E-3</v>
      </c>
      <c r="W6" s="143"/>
      <c r="X6" s="143"/>
      <c r="Y6" s="142" t="str">
        <f t="shared" si="7"/>
        <v>-</v>
      </c>
      <c r="Z6" s="141">
        <v>7.0000000000000001E-3</v>
      </c>
      <c r="AA6" s="141">
        <v>5.0000000000000001E-3</v>
      </c>
      <c r="AB6" s="142">
        <f t="shared" si="8"/>
        <v>2E-3</v>
      </c>
      <c r="AC6" s="143"/>
      <c r="AD6" s="143"/>
      <c r="AE6" s="142" t="str">
        <f t="shared" si="9"/>
        <v>-</v>
      </c>
      <c r="AF6" s="141">
        <v>5.0000000000000001E-3</v>
      </c>
      <c r="AG6" s="141">
        <v>8.0000000000000002E-3</v>
      </c>
      <c r="AH6" s="142">
        <f t="shared" si="10"/>
        <v>-3.0000000000000001E-3</v>
      </c>
      <c r="AI6" s="143"/>
      <c r="AJ6" s="143"/>
      <c r="AK6" s="142" t="str">
        <f t="shared" si="11"/>
        <v>-</v>
      </c>
      <c r="AL6" s="141">
        <v>8.0000000000000002E-3</v>
      </c>
      <c r="AM6" s="141">
        <v>8.9999999999999993E-3</v>
      </c>
      <c r="AN6" s="142">
        <f t="shared" si="12"/>
        <v>-9.9999999999999915E-4</v>
      </c>
      <c r="AO6" s="143"/>
      <c r="AP6" s="143"/>
      <c r="AQ6" s="142" t="str">
        <f t="shared" si="13"/>
        <v>-</v>
      </c>
      <c r="AR6" s="141">
        <v>8.0000000000000002E-3</v>
      </c>
      <c r="AS6" s="144">
        <v>0.01</v>
      </c>
      <c r="AT6" s="142">
        <f t="shared" si="14"/>
        <v>-2E-3</v>
      </c>
      <c r="AU6" s="143"/>
      <c r="AV6" s="143"/>
      <c r="AW6" s="142" t="str">
        <f t="shared" si="15"/>
        <v>-</v>
      </c>
    </row>
    <row r="7" spans="1:49" x14ac:dyDescent="0.25">
      <c r="A7" s="140" t="s">
        <v>234</v>
      </c>
      <c r="B7" s="143"/>
      <c r="C7" s="143"/>
      <c r="D7" s="142">
        <f t="shared" si="0"/>
        <v>0</v>
      </c>
      <c r="E7" s="143">
        <v>5.8999999999999997E-2</v>
      </c>
      <c r="F7" s="143">
        <v>4.5999999999999999E-2</v>
      </c>
      <c r="G7" s="142">
        <f t="shared" si="1"/>
        <v>1.2999999999999998E-2</v>
      </c>
      <c r="H7" s="141">
        <v>4.5999999999999999E-2</v>
      </c>
      <c r="I7" s="141">
        <v>4.7E-2</v>
      </c>
      <c r="J7" s="142">
        <f t="shared" si="2"/>
        <v>-1.0000000000000009E-3</v>
      </c>
      <c r="K7" s="143"/>
      <c r="L7" s="143"/>
      <c r="M7" s="142" t="str">
        <f t="shared" si="3"/>
        <v>-</v>
      </c>
      <c r="N7" s="141">
        <v>4.8000000000000001E-2</v>
      </c>
      <c r="O7" s="141">
        <v>4.7E-2</v>
      </c>
      <c r="P7" s="142">
        <f t="shared" si="4"/>
        <v>1.0000000000000009E-3</v>
      </c>
      <c r="Q7" s="141">
        <v>4.7E-2</v>
      </c>
      <c r="R7" s="141">
        <v>3.9E-2</v>
      </c>
      <c r="S7" s="142">
        <f t="shared" si="5"/>
        <v>8.0000000000000002E-3</v>
      </c>
      <c r="T7" s="141">
        <v>4.7E-2</v>
      </c>
      <c r="U7" s="144">
        <v>0.05</v>
      </c>
      <c r="V7" s="142">
        <f t="shared" si="6"/>
        <v>-3.0000000000000027E-3</v>
      </c>
      <c r="W7" s="144">
        <v>0.05</v>
      </c>
      <c r="X7" s="141">
        <v>4.1000000000000002E-2</v>
      </c>
      <c r="Y7" s="142">
        <f t="shared" si="7"/>
        <v>9.0000000000000011E-3</v>
      </c>
      <c r="Z7" s="141">
        <v>4.1000000000000002E-2</v>
      </c>
      <c r="AA7" s="141">
        <v>3.5999999999999997E-2</v>
      </c>
      <c r="AB7" s="142">
        <f t="shared" si="8"/>
        <v>5.0000000000000044E-3</v>
      </c>
      <c r="AC7" s="141">
        <v>3.5999999999999997E-2</v>
      </c>
      <c r="AD7" s="141">
        <v>4.5999999999999999E-2</v>
      </c>
      <c r="AE7" s="142">
        <f t="shared" si="9"/>
        <v>-1.0000000000000002E-2</v>
      </c>
      <c r="AF7" s="141">
        <v>4.5999999999999999E-2</v>
      </c>
      <c r="AG7" s="141">
        <v>3.7999999999999999E-2</v>
      </c>
      <c r="AH7" s="142">
        <f t="shared" si="10"/>
        <v>8.0000000000000002E-3</v>
      </c>
      <c r="AI7" s="141">
        <v>3.7999999999999999E-2</v>
      </c>
      <c r="AJ7" s="144">
        <v>0.04</v>
      </c>
      <c r="AK7" s="142">
        <f t="shared" si="11"/>
        <v>-2.0000000000000018E-3</v>
      </c>
      <c r="AL7" s="144">
        <v>1E-3</v>
      </c>
      <c r="AM7" s="141">
        <v>-1E-3</v>
      </c>
      <c r="AN7" s="142">
        <f t="shared" si="12"/>
        <v>2E-3</v>
      </c>
      <c r="AO7" s="141">
        <v>4.3999999999999997E-2</v>
      </c>
      <c r="AP7" s="141">
        <v>4.4999999999999998E-2</v>
      </c>
      <c r="AQ7" s="142">
        <f t="shared" si="13"/>
        <v>-1.0000000000000009E-3</v>
      </c>
      <c r="AR7" s="141">
        <v>4.2999999999999997E-2</v>
      </c>
      <c r="AS7" s="141">
        <v>4.3999999999999997E-2</v>
      </c>
      <c r="AT7" s="142">
        <f t="shared" si="14"/>
        <v>-1.0000000000000009E-3</v>
      </c>
      <c r="AU7" s="143"/>
      <c r="AV7" s="143"/>
      <c r="AW7" s="142" t="str">
        <f t="shared" si="15"/>
        <v>-</v>
      </c>
    </row>
    <row r="8" spans="1:49" x14ac:dyDescent="0.25">
      <c r="A8" s="140" t="s">
        <v>235</v>
      </c>
      <c r="B8" s="143"/>
      <c r="C8" s="143"/>
      <c r="D8" s="142">
        <f t="shared" si="0"/>
        <v>0</v>
      </c>
      <c r="E8" s="141">
        <v>1.2999999999999999E-2</v>
      </c>
      <c r="F8" s="144" t="s">
        <v>298</v>
      </c>
      <c r="G8" s="142" t="e">
        <f t="shared" si="1"/>
        <v>#VALUE!</v>
      </c>
      <c r="H8" s="144">
        <v>0.01</v>
      </c>
      <c r="I8" s="141">
        <v>3.0000000000000001E-3</v>
      </c>
      <c r="J8" s="142">
        <f t="shared" si="2"/>
        <v>7.0000000000000001E-3</v>
      </c>
      <c r="K8" s="143"/>
      <c r="L8" s="143"/>
      <c r="M8" s="142" t="str">
        <f t="shared" si="3"/>
        <v>-</v>
      </c>
      <c r="N8" s="141">
        <v>4.0000000000000001E-3</v>
      </c>
      <c r="O8" s="141">
        <v>-3.0000000000000001E-3</v>
      </c>
      <c r="P8" s="142">
        <f t="shared" si="4"/>
        <v>7.0000000000000001E-3</v>
      </c>
      <c r="Q8" s="143"/>
      <c r="R8" s="143"/>
      <c r="S8" s="142" t="str">
        <f t="shared" si="5"/>
        <v>-</v>
      </c>
      <c r="T8" s="141">
        <v>8.9999999999999993E-3</v>
      </c>
      <c r="U8" s="141">
        <v>1E-3</v>
      </c>
      <c r="V8" s="142">
        <f t="shared" si="6"/>
        <v>8.0000000000000002E-3</v>
      </c>
      <c r="W8" s="141">
        <v>1E-3</v>
      </c>
      <c r="X8" s="141">
        <v>6.0000000000000001E-3</v>
      </c>
      <c r="Y8" s="142">
        <f t="shared" si="7"/>
        <v>-5.0000000000000001E-3</v>
      </c>
      <c r="Z8" s="141">
        <v>6.0000000000000001E-3</v>
      </c>
      <c r="AA8" s="141">
        <v>7.0000000000000001E-3</v>
      </c>
      <c r="AB8" s="142">
        <f t="shared" si="8"/>
        <v>-1E-3</v>
      </c>
      <c r="AC8" s="141">
        <v>-2E-3</v>
      </c>
      <c r="AD8" s="141">
        <v>1E-3</v>
      </c>
      <c r="AE8" s="142">
        <f t="shared" si="9"/>
        <v>-3.0000000000000001E-3</v>
      </c>
      <c r="AF8" s="141">
        <v>1E-3</v>
      </c>
      <c r="AG8" s="141">
        <v>2E-3</v>
      </c>
      <c r="AH8" s="142">
        <f t="shared" si="10"/>
        <v>-1E-3</v>
      </c>
      <c r="AI8" s="141">
        <v>2E-3</v>
      </c>
      <c r="AJ8" s="141">
        <v>3.0000000000000001E-3</v>
      </c>
      <c r="AK8" s="142">
        <f t="shared" si="11"/>
        <v>-1E-3</v>
      </c>
      <c r="AL8" s="141">
        <v>1E-3</v>
      </c>
      <c r="AM8" s="141">
        <v>-1E-3</v>
      </c>
      <c r="AN8" s="142">
        <f t="shared" si="12"/>
        <v>2E-3</v>
      </c>
      <c r="AO8" s="141">
        <v>-1E-3</v>
      </c>
      <c r="AP8" s="141">
        <v>4.0000000000000001E-3</v>
      </c>
      <c r="AQ8" s="142">
        <f t="shared" si="13"/>
        <v>-5.0000000000000001E-3</v>
      </c>
      <c r="AR8" s="141">
        <v>4.0000000000000001E-3</v>
      </c>
      <c r="AS8" s="144">
        <v>3.0000000000000001E-3</v>
      </c>
      <c r="AT8" s="142">
        <f t="shared" si="14"/>
        <v>1E-3</v>
      </c>
      <c r="AU8" s="143"/>
      <c r="AV8" s="143"/>
      <c r="AW8" s="142" t="str">
        <f t="shared" si="15"/>
        <v>-</v>
      </c>
    </row>
    <row r="9" spans="1:49" x14ac:dyDescent="0.25">
      <c r="A9" s="145" t="s">
        <v>236</v>
      </c>
      <c r="B9" s="148"/>
      <c r="C9" s="148"/>
      <c r="D9" s="147">
        <f t="shared" si="0"/>
        <v>0</v>
      </c>
      <c r="E9" s="148">
        <v>8.9999999999999993E-3</v>
      </c>
      <c r="F9" s="148">
        <v>-4.0000000000000001E-3</v>
      </c>
      <c r="G9" s="147">
        <f t="shared" si="1"/>
        <v>1.2999999999999999E-2</v>
      </c>
      <c r="H9" s="146">
        <v>8.9999999999999993E-3</v>
      </c>
      <c r="I9" s="146">
        <v>-4.0000000000000001E-3</v>
      </c>
      <c r="J9" s="147">
        <f>IF(ISBLANK(H9),"-",H9-I9)</f>
        <v>1.2999999999999999E-2</v>
      </c>
      <c r="K9" s="148"/>
      <c r="L9" s="148"/>
      <c r="M9" s="147" t="str">
        <f>IF(ISBLANK(K9),"-",K9-L9)</f>
        <v>-</v>
      </c>
      <c r="N9" s="148"/>
      <c r="O9" s="148"/>
      <c r="P9" s="147" t="str">
        <f>IF(ISBLANK(N9),"-",N9-O9)</f>
        <v>-</v>
      </c>
      <c r="Q9" s="148"/>
      <c r="R9" s="148"/>
      <c r="S9" s="147" t="str">
        <f>IF(ISBLANK(Q9),"-",Q9-R9)</f>
        <v>-</v>
      </c>
      <c r="T9" s="146">
        <v>-8.0000000000000002E-3</v>
      </c>
      <c r="U9" s="146">
        <v>3.3000000000000002E-2</v>
      </c>
      <c r="V9" s="147">
        <f>IF(ISBLANK(T9),"-",T9-U9)</f>
        <v>-4.1000000000000002E-2</v>
      </c>
      <c r="W9" s="148"/>
      <c r="X9" s="148"/>
      <c r="Y9" s="147" t="str">
        <f>IF(ISBLANK(W9),"-",W9-X9)</f>
        <v>-</v>
      </c>
      <c r="Z9" s="146">
        <v>3.3000000000000002E-2</v>
      </c>
      <c r="AA9" s="146">
        <v>2E-3</v>
      </c>
      <c r="AB9" s="147">
        <f>IF(ISBLANK(Z9),"-",Z9-AA9)</f>
        <v>3.1E-2</v>
      </c>
      <c r="AC9" s="148"/>
      <c r="AD9" s="148"/>
      <c r="AE9" s="147" t="str">
        <f>IF(ISBLANK(AC9),"-",AC9-AD9)</f>
        <v>-</v>
      </c>
      <c r="AF9" s="146">
        <v>2E-3</v>
      </c>
      <c r="AG9" s="146">
        <v>-1.4E-2</v>
      </c>
      <c r="AH9" s="147">
        <f>IF(ISBLANK(AF9),"-",AF9-AG9)</f>
        <v>1.6E-2</v>
      </c>
      <c r="AI9" s="148"/>
      <c r="AJ9" s="148"/>
      <c r="AK9" s="147" t="str">
        <f>IF(ISBLANK(AI9),"-",AI9-AJ9)</f>
        <v>-</v>
      </c>
      <c r="AL9" s="146">
        <v>-1.4E-2</v>
      </c>
      <c r="AM9" s="149">
        <v>0.01</v>
      </c>
      <c r="AN9" s="147">
        <f>IF(ISBLANK(AL9),"-",AL9-AM9)</f>
        <v>-2.4E-2</v>
      </c>
      <c r="AO9" s="148"/>
      <c r="AP9" s="148"/>
      <c r="AQ9" s="147" t="str">
        <f>IF(ISBLANK(AO9),"-",AO9-AP9)</f>
        <v>-</v>
      </c>
      <c r="AR9" s="149">
        <v>0.01</v>
      </c>
      <c r="AS9" s="146">
        <v>-1.7999999999999999E-2</v>
      </c>
      <c r="AT9" s="147">
        <f>IF(ISBLANK(AR9),"-",AR9-AS9)</f>
        <v>2.7999999999999997E-2</v>
      </c>
      <c r="AU9" s="148"/>
      <c r="AV9" s="148"/>
      <c r="AW9" s="147" t="str">
        <f t="shared" si="15"/>
        <v>-</v>
      </c>
    </row>
    <row r="10" spans="1:49" x14ac:dyDescent="0.25">
      <c r="A10" s="150" t="s">
        <v>18</v>
      </c>
      <c r="B10" s="316" t="str">
        <f>IF(D11="-",
    "",
    IF((IF(D11="-", 0, IF(D11&lt;0, -2, IF(D11&gt;0, 2, 0)))) / 1 &gt; 0.1,
        "BULLISH",
        IF((IF(D11="-", 0, IF(D11&lt;0, -2, IF(D11&gt;0, 2, 0)))) / 1 &lt; -0.1,
            "BEARISH",
            IF((IF(D11="-", 0, IF(D11&lt;0, -2, IF(D11&gt;0, 2, 0)))) / 1 &gt; -0.1,
                "NEUTRO",
                IF((IF(D11="-", 0, IF(D11&lt;0, -2, IF(D11&gt;0, 2, 0)))) / 1 &lt; 0.1,
                    "NEUTRO",
                    ""
                )
            )
        )
    )
)</f>
        <v>NEUTRO</v>
      </c>
      <c r="C10" s="317"/>
      <c r="D10" s="318"/>
      <c r="E10" s="316" t="str">
        <f>IF(G11="-",
    "",
    IF((IF(G11="-", 0, IF(G11&lt;0, -2, IF(G11&gt;0, 2, 0)))) / 1 &gt; 0.1,
        "BULLISH",
        IF((IF(G11="-", 0, IF(G11&lt;0, -2, IF(G11&gt;0, 2, 0)))) / 1 &lt; -0.1,
            "BEARISH",
            IF((IF(G11="-", 0, IF(G11&lt;0, -2, IF(G11&gt;0, 2, 0)))) / 1 &gt; -0.1,
                "NEUTRO",
                IF((IF(G11="-", 0, IF(G11&lt;0, -2, IF(G11&gt;0, 2, 0)))) / 1 &lt; 0.1,
                    "NEUTRO",
                    ""
                )
            )
        )
    )
)</f>
        <v>BULLISH</v>
      </c>
      <c r="F10" s="317"/>
      <c r="G10" s="318"/>
      <c r="H10" s="316" t="str">
        <f>IF(J11="-",
    "",
    IF((IF(J11="-", 0, IF(J11&lt;0, -2, IF(J11&gt;0, 2, 0)))) / 1 &gt; 0.1,
        "BULLISH",
        IF((IF(J11="-", 0, IF(J11&lt;0, -2, IF(J11&gt;0, 2, 0)))) / 1 &lt; -0.1,
            "BEARISH",
            IF((IF(J11="-", 0, IF(J11&lt;0, -2, IF(J11&gt;0, 2, 0)))) / 1 &gt; -0.1,
                "NEUTRO",
                IF((IF(J11="-", 0, IF(J11&lt;0, -2, IF(J11&gt;0, 2, 0)))) / 1 &lt; 0.1,
                    "NEUTRO",
                    ""
                )
            )
        )
    )
)</f>
        <v/>
      </c>
      <c r="I10" s="317"/>
      <c r="J10" s="318"/>
      <c r="K10" s="316" t="str">
        <f>IF(M11="-",
    "",
    IF((IF(M11="-", 0, IF(M11&lt;0, -2, IF(M11&gt;0, 2, 0)))) / 1 &gt; 0.1,
        "BULLISH",
        IF((IF(M11="-", 0, IF(M11&lt;0, -2, IF(M11&gt;0, 2, 0)))) / 1 &lt; -0.1,
            "BEARISH",
            IF((IF(M11="-", 0, IF(M11&lt;0, -2, IF(M11&gt;0, 2, 0)))) / 1 &gt; -0.1,
                "NEUTRO",
                IF((IF(M11="-", 0, IF(M11&lt;0, -2, IF(M11&gt;0, 2, 0)))) / 1 &lt; 0.1,
                    "NEUTRO",
                    ""
                )
            )
        )
    )
)</f>
        <v/>
      </c>
      <c r="L10" s="317"/>
      <c r="M10" s="318"/>
      <c r="N10" s="316" t="str">
        <f>IF(P11="-",
    "",
    IF((IF(P11="-", 0, IF(P11&lt;0, -2, IF(P11&gt;0, 2, 0)))) / 1 &gt; 0.1,
        "BULLISH",
        IF((IF(P11="-", 0, IF(P11&lt;0, -2, IF(P11&gt;0, 2, 0)))) / 1 &lt; -0.1,
            "BEARISH",
            IF((IF(P11="-", 0, IF(P11&lt;0, -2, IF(P11&gt;0, 2, 0)))) / 1 &gt; -0.1,
                "NEUTRO",
                IF((IF(P11="-", 0, IF(P11&lt;0, -2, IF(P11&gt;0, 2, 0)))) / 1 &lt; 0.1,
                    "NEUTRO",
                    ""
                )
            )
        )
    )
)</f>
        <v/>
      </c>
      <c r="O10" s="317"/>
      <c r="P10" s="318"/>
      <c r="Q10" s="316" t="str">
        <f>IF(S11="-",
    "",
    IF((IF(S11="-", 0, IF(S11&lt;0, -2, IF(S11&gt;0, 2, 0)))) / 1 &gt; 0.1,
        "BULLISH",
        IF((IF(S11="-", 0, IF(S11&lt;0, -2, IF(S11&gt;0, 2, 0)))) / 1 &lt; -0.1,
            "BEARISH",
            IF((IF(S11="-", 0, IF(S11&lt;0, -2, IF(S11&gt;0, 2, 0)))) / 1 &gt; -0.1,
                "NEUTRO",
                IF((IF(S11="-", 0, IF(S11&lt;0, -2, IF(S11&gt;0, 2, 0)))) / 1 &lt; 0.1,
                    "NEUTRO",
                    ""
                )
            )
        )
    )
)</f>
        <v>BULLISH</v>
      </c>
      <c r="R10" s="317"/>
      <c r="S10" s="318"/>
      <c r="T10" s="316" t="str">
        <f>IF(V11="-",
    "",
    IF((IF(V11="-", 0, IF(V11&lt;0, -2, IF(V11&gt;0, 2, 0)))) / 1 &gt; 0.1,
        "BULLISH",
        IF((IF(V11="-", 0, IF(V11&lt;0, -2, IF(V11&gt;0, 2, 0)))) / 1 &lt; -0.1,
            "BEARISH",
            IF((IF(V11="-", 0, IF(V11&lt;0, -2, IF(V11&gt;0, 2, 0)))) / 1 &gt; -0.1,
                "NEUTRO",
                IF((IF(V11="-", 0, IF(V11&lt;0, -2, IF(V11&gt;0, 2, 0)))) / 1 &lt; 0.1,
                    "NEUTRO",
                    ""
                )
            )
        )
    )
)</f>
        <v>BEARISH</v>
      </c>
      <c r="U10" s="317"/>
      <c r="V10" s="318"/>
      <c r="W10" s="352" t="str">
        <f>IF(Y11="-",
    "",
    IF((IF(Y11="-", 0, IF(Y11&lt;0, -2, IF(Y11&gt;0, 2, 0)))) / 1 &gt; 0.1,
        "BULLISH",
        IF((IF(Y11="-", 0, IF(Y11&lt;0, -2, IF(Y11&gt;0, 2, 0)))) / 1 &lt; -0.1,
            "BEARISH",
            IF((IF(Y11="-", 0, IF(Y11&lt;0, -2, IF(Y11&gt;0, 2, 0)))) / 1 &gt; -0.1,
                "NEUTRO",
                IF((IF(Y11="-", 0, IF(Y11&lt;0, -2, IF(Y11&gt;0, 2, 0)))) / 1 &lt; 0.1,
                    "NEUTRO",
                    ""
                )
            )
        )
    )
)</f>
        <v>BEARISH</v>
      </c>
      <c r="X10" s="353"/>
      <c r="Y10" s="354"/>
      <c r="Z10" s="352" t="str">
        <f>IF(AB11="-",
    "",
    IF((IF(AB11="-", 0, IF(AB11&lt;0, -2, IF(AB11&gt;0, 2, 0)))) / 1 &gt; 0.1,
        "BULLISH",
        IF((IF(AB11="-", 0, IF(AB11&lt;0, -2, IF(AB11&gt;0, 2, 0)))) / 1 &lt; -0.1,
            "BEARISH",
            IF((IF(AB11="-", 0, IF(AB11&lt;0, -2, IF(AB11&gt;0, 2, 0)))) / 1 &gt; -0.1,
                "NEUTRO",
                IF((IF(AB11="-", 0, IF(AB11&lt;0, -2, IF(AB11&gt;0, 2, 0)))) / 1 &lt; 0.1,
                    "NEUTRO",
                    ""
                )
            )
        )
    )
)</f>
        <v>BULLISH</v>
      </c>
      <c r="AA10" s="353"/>
      <c r="AB10" s="354"/>
      <c r="AC10" s="352" t="str">
        <f>IF(AE11="-",
    "",
    IF((IF(AE11="-", 0, IF(AE11&lt;0, -2, IF(AE11&gt;0, 2, 0)))) / 1 &gt; 0.1,
        "BULLISH",
        IF((IF(AE11="-", 0, IF(AE11&lt;0, -2, IF(AE11&gt;0, 2, 0)))) / 1 &lt; -0.1,
            "BEARISH",
            IF((IF(AE11="-", 0, IF(AE11&lt;0, -2, IF(AE11&gt;0, 2, 0)))) / 1 &gt; -0.1,
                "NEUTRO",
                IF((IF(AE11="-", 0, IF(AE11&lt;0, -2, IF(AE11&gt;0, 2, 0)))) / 1 &lt; 0.1,
                    "NEUTRO",
                    ""
                )
            )
        )
    )
)</f>
        <v>BULLISH</v>
      </c>
      <c r="AD10" s="353"/>
      <c r="AE10" s="354"/>
      <c r="AF10" s="352" t="str">
        <f>IF(AH11="-",
    "",
    IF((IF(AH11="-", 0, IF(AH11&lt;0, -2, IF(AH11&gt;0, 2, 0)))) / 1 &gt; 0.1,
        "BULLISH",
        IF((IF(AH11="-", 0, IF(AH11&lt;0, -2, IF(AH11&gt;0, 2, 0)))) / 1 &lt; -0.1,
            "BEARISH",
            IF((IF(AH11="-", 0, IF(AH11&lt;0, -2, IF(AH11&gt;0, 2, 0)))) / 1 &gt; -0.1,
                "NEUTRO",
                IF((IF(AH11="-", 0, IF(AH11&lt;0, -2, IF(AH11&gt;0, 2, 0)))) / 1 &lt; 0.1,
                    "NEUTRO",
                    ""
                )
            )
        )
    )
)</f>
        <v/>
      </c>
      <c r="AG10" s="353"/>
      <c r="AH10" s="354"/>
      <c r="AI10" s="352" t="str">
        <f>IF(AK11="-",
    "",
    IF((IF(AK11="-", 0, IF(AK11&lt;0, -2, IF(AK11&gt;0, 2, 0)))) / 1 &gt; 0.1,
        "BULLISH",
        IF((IF(AK11="-", 0, IF(AK11&lt;0, -2, IF(AK11&gt;0, 2, 0)))) / 1 &lt; -0.1,
            "BEARISH",
            IF((IF(AK11="-", 0, IF(AK11&lt;0, -2, IF(AK11&gt;0, 2, 0)))) / 1 &gt; -0.1,
                "NEUTRO",
                IF((IF(AK11="-", 0, IF(AK11&lt;0, -2, IF(AK11&gt;0, 2, 0)))) / 1 &lt; 0.1,
                    "NEUTRO",
                    ""
                )
            )
        )
    )
)</f>
        <v>BULLISH</v>
      </c>
      <c r="AJ10" s="353"/>
      <c r="AK10" s="354"/>
      <c r="AL10" s="352" t="str">
        <f>IF(AN11="-",
    "",
    IF((IF(AN11="-", 0, IF(AN11&lt;0, -2, IF(AN11&gt;0, 2, 0)))) / 1 &gt; 0.1,
        "BULLISH",
        IF((IF(AN11="-", 0, IF(AN11&lt;0, -2, IF(AN11&gt;0, 2, 0)))) / 1 &lt; -0.1,
            "BEARISH",
            IF((IF(AN11="-", 0, IF(AN11&lt;0, -2, IF(AN11&gt;0, 2, 0)))) / 1 &gt; -0.1,
                "NEUTRO",
                IF((IF(AN11="-", 0, IF(AN11&lt;0, -2, IF(AN11&gt;0, 2, 0)))) / 1 &lt; 0.1,
                    "NEUTRO",
                    ""
                )
            )
        )
    )
)</f>
        <v/>
      </c>
      <c r="AM10" s="353"/>
      <c r="AN10" s="354"/>
      <c r="AO10" s="352" t="str">
        <f>IF(AQ11="-",
    "",
    IF((IF(AQ11="-", 0, IF(AQ11&lt;0, -2, IF(AQ11&gt;0, 2, 0)))) / 1 &gt; 0.1,
        "BULLISH",
        IF((IF(AQ11="-", 0, IF(AQ11&lt;0, -2, IF(AQ11&gt;0, 2, 0)))) / 1 &lt; -0.1,
            "BEARISH",
            IF((IF(AQ11="-", 0, IF(AQ11&lt;0, -2, IF(AQ11&gt;0, 2, 0)))) / 1 &gt; -0.1,
                "NEUTRO",
                IF((IF(AQ11="-", 0, IF(AQ11&lt;0, -2, IF(AQ11&gt;0, 2, 0)))) / 1 &lt; 0.1,
                    "NEUTRO",
                    ""
                )
            )
        )
    )
)</f>
        <v>NEUTRO</v>
      </c>
      <c r="AP10" s="353"/>
      <c r="AQ10" s="354"/>
      <c r="AR10" s="352" t="str">
        <f>IF(AT11="-",
    "",
    IF((IF(AT11="-", 0, IF(AT11&lt;0, -2, IF(AT11&gt;0, 2, 0)))) / 1 &gt; 0.1,
        "BULLISH",
        IF((IF(AT11="-", 0, IF(AT11&lt;0, -2, IF(AT11&gt;0, 2, 0)))) / 1 &lt; -0.1,
            "BEARISH",
            IF((IF(AT11="-", 0, IF(AT11&lt;0, -2, IF(AT11&gt;0, 2, 0)))) / 1 &gt; -0.1,
                "NEUTRO",
                IF((IF(AT11="-", 0, IF(AT11&lt;0, -2, IF(AT11&gt;0, 2, 0)))) / 1 &lt; 0.1,
                    "NEUTRO",
                    ""
                )
            )
        )
    )
)</f>
        <v/>
      </c>
      <c r="AS10" s="353"/>
      <c r="AT10" s="354"/>
      <c r="AU10" s="352" t="str">
        <f>IF(AW11="-",
    "",
    IF((IF(AW11="-", 0, IF(AW11&lt;0, -2, IF(AW11&gt;0, 2, 0)))) / 1 &gt; 0.1,
        "BULLISH",
        IF((IF(AW11="-", 0, IF(AW11&lt;0, -2, IF(AW11&gt;0, 2, 0)))) / 1 &lt; -0.1,
            "BEARISH",
            IF((IF(AW11="-", 0, IF(AW11&lt;0, -2, IF(AW11&gt;0, 2, 0)))) / 1 &gt; -0.1,
                "NEUTRO",
                IF((IF(AW11="-", 0, IF(AW11&lt;0, -2, IF(AW11&gt;0, 2, 0)))) / 1 &lt; 0.1,
                    "NEUTRO",
                    ""
                )
            )
        )
    )
)</f>
        <v/>
      </c>
      <c r="AV10" s="353"/>
      <c r="AW10" s="354"/>
    </row>
    <row r="11" spans="1:49" x14ac:dyDescent="0.25">
      <c r="A11" s="151" t="s">
        <v>220</v>
      </c>
      <c r="B11" s="152"/>
      <c r="C11" s="152"/>
      <c r="D11" s="153">
        <f>B11-C11</f>
        <v>0</v>
      </c>
      <c r="E11" s="152">
        <v>8.0000000000000002E-3</v>
      </c>
      <c r="F11" s="152">
        <v>5.0000000000000001E-3</v>
      </c>
      <c r="G11" s="153">
        <f>E11-F11</f>
        <v>3.0000000000000001E-3</v>
      </c>
      <c r="H11" s="152"/>
      <c r="I11" s="152"/>
      <c r="J11" s="153" t="str">
        <f>IF(ISBLANK(H11),"-",H11-I11)</f>
        <v>-</v>
      </c>
      <c r="K11" s="152"/>
      <c r="L11" s="152"/>
      <c r="M11" s="153" t="str">
        <f>IF(ISBLANK(K11),"-",K11-L11)</f>
        <v>-</v>
      </c>
      <c r="N11" s="152"/>
      <c r="O11" s="152"/>
      <c r="P11" s="153" t="str">
        <f>IF(ISBLANK(N11),"-",N11-O11)</f>
        <v>-</v>
      </c>
      <c r="Q11" s="154">
        <v>6.0000000000000001E-3</v>
      </c>
      <c r="R11" s="154">
        <v>3.0000000000000001E-3</v>
      </c>
      <c r="S11" s="153">
        <f>IF(ISBLANK(Q11),"-",Q11-R11)</f>
        <v>3.0000000000000001E-3</v>
      </c>
      <c r="T11" s="154">
        <v>2E-3</v>
      </c>
      <c r="U11" s="154">
        <v>6.0000000000000001E-3</v>
      </c>
      <c r="V11" s="153">
        <f>IF(ISBLANK(T11),"-",T11-U11)</f>
        <v>-4.0000000000000001E-3</v>
      </c>
      <c r="W11" s="154">
        <v>2E-3</v>
      </c>
      <c r="X11" s="154">
        <v>6.0000000000000001E-3</v>
      </c>
      <c r="Y11" s="153">
        <f>IF(ISBLANK(W11),"-",W11-X11)</f>
        <v>-4.0000000000000001E-3</v>
      </c>
      <c r="Z11" s="154">
        <v>6.0000000000000001E-3</v>
      </c>
      <c r="AA11" s="154">
        <v>3.0000000000000001E-3</v>
      </c>
      <c r="AB11" s="153">
        <f>IF(ISBLANK(Z11),"-",Z11-AA11)</f>
        <v>3.0000000000000001E-3</v>
      </c>
      <c r="AC11" s="154">
        <v>6.0000000000000001E-3</v>
      </c>
      <c r="AD11" s="154">
        <v>3.0000000000000001E-3</v>
      </c>
      <c r="AE11" s="153">
        <f>IF(ISBLANK(AC11),"-",AC11-AD11)</f>
        <v>3.0000000000000001E-3</v>
      </c>
      <c r="AF11" s="152"/>
      <c r="AG11" s="152"/>
      <c r="AH11" s="153" t="str">
        <f>IF(ISBLANK(AF11),"-",AF11-AG11)</f>
        <v>-</v>
      </c>
      <c r="AI11" s="154">
        <v>3.0000000000000001E-3</v>
      </c>
      <c r="AJ11" s="154">
        <v>2E-3</v>
      </c>
      <c r="AK11" s="153">
        <f>IF(ISBLANK(AI11),"-",AI11-AJ11)</f>
        <v>1E-3</v>
      </c>
      <c r="AL11" s="152"/>
      <c r="AM11" s="152"/>
      <c r="AN11" s="153" t="str">
        <f>IF(ISBLANK(AL11),"-",AL11-AM11)</f>
        <v>-</v>
      </c>
      <c r="AO11" s="154">
        <v>2E-3</v>
      </c>
      <c r="AP11" s="154">
        <v>2E-3</v>
      </c>
      <c r="AQ11" s="153">
        <f>IF(ISBLANK(AO11),"-",AO11-AP11)</f>
        <v>0</v>
      </c>
      <c r="AR11" s="152"/>
      <c r="AS11" s="152"/>
      <c r="AT11" s="153" t="str">
        <f>IF(ISBLANK(AR11),"-",AR11-AS11)</f>
        <v>-</v>
      </c>
      <c r="AU11" s="152"/>
      <c r="AV11" s="152"/>
      <c r="AW11" s="153" t="str">
        <f>IF(ISBLANK(AU11),"-",AU11-AV11)</f>
        <v>-</v>
      </c>
    </row>
    <row r="12" spans="1:49" x14ac:dyDescent="0.25">
      <c r="A12" s="2" t="s">
        <v>29</v>
      </c>
      <c r="B12" s="316" t="str">
        <f>IF(AND(D13="-",D14="-",D15="-",D16="-"),
    "",
    IF(SUM(IF(D13="-", 0, IF(D13&lt;0, -2, IF(D13&gt;0, 2, 0))),
            IF(D14="-", 0, IF(D14&lt;0, -2, IF(D14&gt;0, 2, 0))),
            IF(D15="-", 0, IF(D15&lt;0, -1, IF(D15&gt;0, 1, 0))),
            IF(D16="-", 0, IF(D16&lt;0, -1, IF(D16&gt;0, 1, 0)))) / 16 &gt; 0.1,
        "BULLISH",
        IF(SUM(IF(D13="-", 0, IF(D13&lt;0, -2, IF(D13&gt;0, 2, 0))),
                IF(D14="-", 0, IF(D14&lt;0, -2, IF(D14&gt;0, 2, 0))),
                IF(D15="-", 0, IF(D15&lt;0, -1, IF(D15&gt;0, 1, 0))),
                IF(D16="-", 0, IF(D16&lt;0, -1, IF(D16&gt;0, 1, 0)))) / 16 &lt; -0.1,
            "BEARISH",
            IF(SUM(IF(D13="-", 0, IF(D13&lt;0, -2, IF(D13&gt;0, 2, 0))),
                    IF(D14="-", 0, IF(D14&lt;0, -2, IF(D14&gt;0, 2, 0))),
                    IF(D15="-", 0, IF(D15&lt;0, -1, IF(D15&gt;0, 1, 0))),
                    IF(D16="-", 0, IF(D16&lt;0, -1, IF(D16&gt;0, 1, 0)))) / 16 &gt; -0.1,
                "NEUTRO",
                "NEUTRO"
            )
        )
    )
)</f>
        <v>NEUTRO</v>
      </c>
      <c r="C12" s="317"/>
      <c r="D12" s="318"/>
      <c r="E12" s="316" t="str">
        <f>IF(AND(G13="-",G14="-",G15="-",G16="-"),
    "",
    IF(SUM(IF(G13="-", 0, IF(G13&lt;0, -2, IF(G13&gt;0, 2, 0))),
            IF(G14="-", 0, IF(G14&lt;0, -2, IF(G14&gt;0, 2, 0))),
            IF(G15="-", 0, IF(G15&lt;0, -1, IF(G15&gt;0, 1, 0))),
            IF(G16="-", 0, IF(G16&lt;0, -1, IF(G16&gt;0, 1, 0)))) / 16 &gt; 0.1,
        "BULLISH",
        IF(SUM(IF(G13="-", 0, IF(G13&lt;0, -2, IF(G13&gt;0, 2, 0))),
                IF(G14="-", 0, IF(G14&lt;0, -2, IF(G14&gt;0, 2, 0))),
                IF(G15="-", 0, IF(G15&lt;0, -1, IF(G15&gt;0, 1, 0))),
                IF(G16="-", 0, IF(G16&lt;0, -1, IF(G16&gt;0, 1, 0)))) / 16 &lt; -0.1,
            "BEARISH",
            IF(SUM(IF(G13="-", 0, IF(G13&lt;0, -2, IF(G13&gt;0, 2, 0))),
                    IF(G14="-", 0, IF(G14&lt;0, -2, IF(G14&gt;0, 2, 0))),
                    IF(G15="-", 0, IF(G15&lt;0, -1, IF(G15&gt;0, 1, 0))),
                    IF(G16="-", 0, IF(G16&lt;0, -1, IF(G16&gt;0, 1, 0)))) / 16 &gt; -0.1,
                "NEUTRO",
                "NEUTRO"
            )
        )
    )
)</f>
        <v>NEUTRO</v>
      </c>
      <c r="F12" s="317"/>
      <c r="G12" s="318"/>
      <c r="H12" s="316" t="str">
        <f>IF(AND(J13="-",J14="-",J15="-",J16="-"),
    "",
    IF(SUM(IF(J13="-", 0, IF(J13&lt;0, -2, IF(J13&gt;0, 2, 0))),
            IF(J14="-", 0, IF(J14&lt;0, -2, IF(J14&gt;0, 2, 0))),
            IF(J15="-", 0, IF(J15&lt;0, -1, IF(J15&gt;0, 1, 0))),
            IF(J16="-", 0, IF(J16&lt;0, -1, IF(J16&gt;0, 1, 0)))) / 16 &gt; 0.1,
        "BULLISH",
        IF(SUM(IF(J13="-", 0, IF(J13&lt;0, -2, IF(J13&gt;0, 2, 0))),
                IF(J14="-", 0, IF(J14&lt;0, -2, IF(J14&gt;0, 2, 0))),
                IF(J15="-", 0, IF(J15&lt;0, -1, IF(J15&gt;0, 1, 0))),
                IF(J16="-", 0, IF(J16&lt;0, -1, IF(J16&gt;0, 1, 0)))) / 16 &lt; -0.1,
            "BEARISH",
            IF(SUM(IF(J13="-", 0, IF(J13&lt;0, -2, IF(J13&gt;0, 2, 0))),
                    IF(J14="-", 0, IF(J14&lt;0, -2, IF(J14&gt;0, 2, 0))),
                    IF(J15="-", 0, IF(J15&lt;0, -1, IF(J15&gt;0, 1, 0))),
                    IF(J16="-", 0, IF(J16&lt;0, -1, IF(J16&gt;0, 1, 0)))) / 16 &gt; -0.1,
                "NEUTRO",
                "NEUTRO"
            )
        )
    )
)</f>
        <v>BULLISH</v>
      </c>
      <c r="I12" s="317"/>
      <c r="J12" s="318"/>
      <c r="K12" s="316" t="str">
        <f>IF(AND(M13="-",M14="-",M15="-",M16="-"),
    "",
    IF(SUM(IF(M13="-", 0, IF(M13&lt;0, -2, IF(M13&gt;0, 2, 0))),
            IF(M14="-", 0, IF(M14&lt;0, -2, IF(M14&gt;0, 2, 0))),
            IF(M15="-", 0, IF(M15&lt;0, -1, IF(M15&gt;0, 1, 0))),
            IF(M16="-", 0, IF(M16&lt;0, -1, IF(M16&gt;0, 1, 0)))) / 16 &gt; 0.1,
        "BULLISH",
        IF(SUM(IF(M13="-", 0, IF(M13&lt;0, -2, IF(M13&gt;0, 2, 0))),
                IF(M14="-", 0, IF(M14&lt;0, -2, IF(M14&gt;0, 2, 0))),
                IF(M15="-", 0, IF(M15&lt;0, -1, IF(M15&gt;0, 1, 0))),
                IF(M16="-", 0, IF(M16&lt;0, -1, IF(M16&gt;0, 1, 0)))) / 16 &lt; -0.1,
            "BEARISH",
            IF(SUM(IF(M13="-", 0, IF(M13&lt;0, -2, IF(M13&gt;0, 2, 0))),
                    IF(M14="-", 0, IF(M14&lt;0, -2, IF(M14&gt;0, 2, 0))),
                    IF(M15="-", 0, IF(M15&lt;0, -1, IF(M15&gt;0, 1, 0))),
                    IF(M16="-", 0, IF(M16&lt;0, -1, IF(M16&gt;0, 1, 0)))) / 16 &gt; -0.1,
                "NEUTRO",
                "NEUTRO"
            )
        )
    )
)</f>
        <v/>
      </c>
      <c r="L12" s="317"/>
      <c r="M12" s="318"/>
      <c r="N12" s="316" t="str">
        <f>IF(AND(P13="-",P14="-",P15="-",P16="-"),
    "",
    IF(SUM(IF(P13="-", 0, IF(P13&lt;0, -2, IF(P13&gt;0, 2, 0))),
            IF(P14="-", 0, IF(P14&lt;0, -2, IF(P14&gt;0, 2, 0))),
            IF(P15="-", 0, IF(P15&lt;0, -1, IF(P15&gt;0, 1, 0))),
            IF(P16="-", 0, IF(P16&lt;0, -1, IF(P16&gt;0, 1, 0)))) / 16 &gt; 0.1,
        "BULLISH",
        IF(SUM(IF(P13="-", 0, IF(P13&lt;0, -2, IF(P13&gt;0, 2, 0))),
                IF(P14="-", 0, IF(P14&lt;0, -2, IF(P14&gt;0, 2, 0))),
                IF(P15="-", 0, IF(P15&lt;0, -1, IF(P15&gt;0, 1, 0))),
                IF(P16="-", 0, IF(P16&lt;0, -1, IF(P16&gt;0, 1, 0)))) / 16 &lt; -0.1,
            "BEARISH",
            IF(SUM(IF(P13="-", 0, IF(P13&lt;0, -2, IF(P13&gt;0, 2, 0))),
                    IF(P14="-", 0, IF(P14&lt;0, -2, IF(P14&gt;0, 2, 0))),
                    IF(P15="-", 0, IF(P15&lt;0, -1, IF(P15&gt;0, 1, 0))),
                    IF(P16="-", 0, IF(P16&lt;0, -1, IF(P16&gt;0, 1, 0)))) / 16 &gt; -0.1,
                "NEUTRO",
                "NEUTRO"
            )
        )
    )
)</f>
        <v>NEUTRO</v>
      </c>
      <c r="O12" s="317"/>
      <c r="P12" s="318"/>
      <c r="Q12" s="316" t="str">
        <f>IF(AND(S13="-",S14="-",S15="-",S16="-"),
    "",
    IF(SUM(IF(S13="-", 0, IF(S13&lt;0, -2, IF(S13&gt;0, 2, 0))),
            IF(S14="-", 0, IF(S14&lt;0, -2, IF(S14&gt;0, 2, 0))),
            IF(S15="-", 0, IF(S15&lt;0, -1, IF(S15&gt;0, 1, 0))),
            IF(S16="-", 0, IF(S16&lt;0, -1, IF(S16&gt;0, 1, 0)))) / 16 &gt; 0.1,
        "BULLISH",
        IF(SUM(IF(S13="-", 0, IF(S13&lt;0, -2, IF(S13&gt;0, 2, 0))),
                IF(S14="-", 0, IF(S14&lt;0, -2, IF(S14&gt;0, 2, 0))),
                IF(S15="-", 0, IF(S15&lt;0, -1, IF(S15&gt;0, 1, 0))),
                IF(S16="-", 0, IF(S16&lt;0, -1, IF(S16&gt;0, 1, 0)))) / 16 &lt; -0.1,
            "BEARISH",
            IF(SUM(IF(S13="-", 0, IF(S13&lt;0, -2, IF(S13&gt;0, 2, 0))),
                    IF(S14="-", 0, IF(S14&lt;0, -2, IF(S14&gt;0, 2, 0))),
                    IF(S15="-", 0, IF(S15&lt;0, -1, IF(S15&gt;0, 1, 0))),
                    IF(S16="-", 0, IF(S16&lt;0, -1, IF(S16&gt;0, 1, 0)))) / 16 &gt; -0.1,
                "NEUTRO",
                "NEUTRO"
            )
        )
    )
)</f>
        <v>NEUTRO</v>
      </c>
      <c r="R12" s="317"/>
      <c r="S12" s="318"/>
      <c r="T12" s="316" t="str">
        <f>IF(AND(V13="-",V14="-",V15="-",V16="-"),
    "",
    IF(SUM(IF(V13="-", 0, IF(V13&lt;0, -2, IF(V13&gt;0, 2, 0))),
            IF(V14="-", 0, IF(V14&lt;0, -2, IF(V14&gt;0, 2, 0))),
            IF(V15="-", 0, IF(V15&lt;0, -1, IF(V15&gt;0, 1, 0))),
            IF(V16="-", 0, IF(V16&lt;0, -1, IF(V16&gt;0, 1, 0)))) / 16 &gt; 0.1,
        "BULLISH",
        IF(SUM(IF(V13="-", 0, IF(V13&lt;0, -2, IF(V13&gt;0, 2, 0))),
                IF(V14="-", 0, IF(V14&lt;0, -2, IF(V14&gt;0, 2, 0))),
                IF(V15="-", 0, IF(V15&lt;0, -1, IF(V15&gt;0, 1, 0))),
                IF(V16="-", 0, IF(V16&lt;0, -1, IF(V16&gt;0, 1, 0)))) / 16 &lt; -0.1,
            "BEARISH",
            IF(SUM(IF(V13="-", 0, IF(V13&lt;0, -2, IF(V13&gt;0, 2, 0))),
                    IF(V14="-", 0, IF(V14&lt;0, -2, IF(V14&gt;0, 2, 0))),
                    IF(V15="-", 0, IF(V15&lt;0, -1, IF(V15&gt;0, 1, 0))),
                    IF(V16="-", 0, IF(V16&lt;0, -1, IF(V16&gt;0, 1, 0)))) / 16 &gt; -0.1,
                "NEUTRO",
                "NEUTRO"
            )
        )
    )
)</f>
        <v>NEUTRO</v>
      </c>
      <c r="U12" s="317"/>
      <c r="V12" s="318"/>
      <c r="W12" s="352" t="str">
        <f>IF(AND(Y13="-",Y14="-",Y15="-",Y16="-"),
    "",
    IF(SUM(IF(Y13="-", 0, IF(Y13&lt;0, -2, IF(Y13&gt;0, 2, 0))),
            IF(Y14="-", 0, IF(Y14&lt;0, -2, IF(Y14&gt;0, 2, 0))),
            IF(Y15="-", 0, IF(Y15&lt;0, -1, IF(Y15&gt;0, 1, 0))),
            IF(Y16="-", 0, IF(Y16&lt;0, -1, IF(Y16&gt;0, 1, 0)))) / 16 &gt; 0.1,
        "BULLISH",
        IF(SUM(IF(Y13="-", 0, IF(Y13&lt;0, -2, IF(Y13&gt;0, 2, 0))),
                IF(Y14="-", 0, IF(Y14&lt;0, -2, IF(Y14&gt;0, 2, 0))),
                IF(Y15="-", 0, IF(Y15&lt;0, -1, IF(Y15&gt;0, 1, 0))),
                IF(Y16="-", 0, IF(Y16&lt;0, -1, IF(Y16&gt;0, 1, 0)))) / 16 &lt; -0.1,
            "BEARISH",
            IF(SUM(IF(Y13="-", 0, IF(Y13&lt;0, -2, IF(Y13&gt;0, 2, 0))),
                    IF(Y14="-", 0, IF(Y14&lt;0, -2, IF(Y14&gt;0, 2, 0))),
                    IF(Y15="-", 0, IF(Y15&lt;0, -1, IF(Y15&gt;0, 1, 0))),
                    IF(Y16="-", 0, IF(Y16&lt;0, -1, IF(Y16&gt;0, 1, 0)))) / 16 &gt; -0.1,
                "NEUTRO",
                "NEUTRO"
            )
        )
    )
)</f>
        <v>NEUTRO</v>
      </c>
      <c r="X12" s="353"/>
      <c r="Y12" s="354"/>
      <c r="Z12" s="352" t="str">
        <f>IF(AND(AB13="-",AB14="-",AB15="-",AB16="-"),
    "",
    IF(SUM(IF(AB13="-", 0, IF(AB13&lt;0, -2, IF(AB13&gt;0, 2, 0))),
            IF(AB14="-", 0, IF(AB14&lt;0, -2, IF(AB14&gt;0, 2, 0))),
            IF(AB15="-", 0, IF(AB15&lt;0, -1, IF(AB15&gt;0, 1, 0))),
            IF(AB16="-", 0, IF(AB16&lt;0, -1, IF(AB16&gt;0, 1, 0)))) / 16 &gt; 0.1,
        "BULLISH",
        IF(SUM(IF(AB13="-", 0, IF(AB13&lt;0, -2, IF(AB13&gt;0, 2, 0))),
                IF(AB14="-", 0, IF(AB14&lt;0, -2, IF(AB14&gt;0, 2, 0))),
                IF(AB15="-", 0, IF(AB15&lt;0, -1, IF(AB15&gt;0, 1, 0))),
                IF(AB16="-", 0, IF(AB16&lt;0, -1, IF(AB16&gt;0, 1, 0)))) / 16 &lt; -0.1,
            "BEARISH",
            IF(SUM(IF(AB13="-", 0, IF(AB13&lt;0, -2, IF(AB13&gt;0, 2, 0))),
                    IF(AB14="-", 0, IF(AB14&lt;0, -2, IF(AB14&gt;0, 2, 0))),
                    IF(AB15="-", 0, IF(AB15&lt;0, -1, IF(AB15&gt;0, 1, 0))),
                    IF(AB16="-", 0, IF(AB16&lt;0, -1, IF(AB16&gt;0, 1, 0)))) / 16 &gt; -0.1,
                "NEUTRO",
                "NEUTRO"
            )
        )
    )
)</f>
        <v>BULLISH</v>
      </c>
      <c r="AA12" s="353"/>
      <c r="AB12" s="354"/>
      <c r="AC12" s="352" t="str">
        <f>IF(AND(AE13="-",AE14="-",AE15="-",AE16="-"),
    "",
    IF(SUM(IF(AE13="-", 0, IF(AE13&lt;0, -2, IF(AE13&gt;0, 2, 0))),
            IF(AE14="-", 0, IF(AE14&lt;0, -2, IF(AE14&gt;0, 2, 0))),
            IF(AE15="-", 0, IF(AE15&lt;0, -1, IF(AE15&gt;0, 1, 0))),
            IF(AE16="-", 0, IF(AE16&lt;0, -1, IF(AE16&gt;0, 1, 0)))) / 16 &gt; 0.1,
        "BULLISH",
        IF(SUM(IF(AE13="-", 0, IF(AE13&lt;0, -2, IF(AE13&gt;0, 2, 0))),
                IF(AE14="-", 0, IF(AE14&lt;0, -2, IF(AE14&gt;0, 2, 0))),
                IF(AE15="-", 0, IF(AE15&lt;0, -1, IF(AE15&gt;0, 1, 0))),
                IF(AE16="-", 0, IF(AE16&lt;0, -1, IF(AE16&gt;0, 1, 0)))) / 16 &lt; -0.1,
            "BEARISH",
            IF(SUM(IF(AE13="-", 0, IF(AE13&lt;0, -2, IF(AE13&gt;0, 2, 0))),
                    IF(AE14="-", 0, IF(AE14&lt;0, -2, IF(AE14&gt;0, 2, 0))),
                    IF(AE15="-", 0, IF(AE15&lt;0, -1, IF(AE15&gt;0, 1, 0))),
                    IF(AE16="-", 0, IF(AE16&lt;0, -1, IF(AE16&gt;0, 1, 0)))) / 16 &gt; -0.1,
                "NEUTRO",
                "NEUTRO"
            )
        )
    )
)</f>
        <v>BEARISH</v>
      </c>
      <c r="AD12" s="353"/>
      <c r="AE12" s="354"/>
      <c r="AF12" s="352" t="str">
        <f>IF(AND(AH13="-",AH14="-",AH15="-",AH16="-"),
    "",
    IF(SUM(IF(AH13="-", 0, IF(AH13&lt;0, -2, IF(AH13&gt;0, 2, 0))),
            IF(AH14="-", 0, IF(AH14&lt;0, -2, IF(AH14&gt;0, 2, 0))),
            IF(AH15="-", 0, IF(AH15&lt;0, -1, IF(AH15&gt;0, 1, 0))),
            IF(AH16="-", 0, IF(AH16&lt;0, -1, IF(AH16&gt;0, 1, 0)))) / 16 &gt; 0.1,
        "BULLISH",
        IF(SUM(IF(AH13="-", 0, IF(AH13&lt;0, -2, IF(AH13&gt;0, 2, 0))),
                IF(AH14="-", 0, IF(AH14&lt;0, -2, IF(AH14&gt;0, 2, 0))),
                IF(AH15="-", 0, IF(AH15&lt;0, -1, IF(AH15&gt;0, 1, 0))),
                IF(AH16="-", 0, IF(AH16&lt;0, -1, IF(AH16&gt;0, 1, 0)))) / 16 &lt; -0.1,
            "BEARISH",
            IF(SUM(IF(AH13="-", 0, IF(AH13&lt;0, -2, IF(AH13&gt;0, 2, 0))),
                    IF(AH14="-", 0, IF(AH14&lt;0, -2, IF(AH14&gt;0, 2, 0))),
                    IF(AH15="-", 0, IF(AH15&lt;0, -1, IF(AH15&gt;0, 1, 0))),
                    IF(AH16="-", 0, IF(AH16&lt;0, -1, IF(AH16&gt;0, 1, 0)))) / 16 &gt; -0.1,
                "NEUTRO",
                "NEUTRO"
            )
        )
    )
)</f>
        <v>BULLISH</v>
      </c>
      <c r="AG12" s="353"/>
      <c r="AH12" s="354"/>
      <c r="AI12" s="352" t="str">
        <f>IF(AND(AK13="-",AK14="-",AK15="-",AK16="-"),
    "",
    IF(SUM(IF(AK13="-", 0, IF(AK13&lt;0, -2, IF(AK13&gt;0, 2, 0))),
            IF(AK14="-", 0, IF(AK14&lt;0, -2, IF(AK14&gt;0, 2, 0))),
            IF(AK15="-", 0, IF(AK15&lt;0, -1, IF(AK15&gt;0, 1, 0))),
            IF(AK16="-", 0, IF(AK16&lt;0, -1, IF(AK16&gt;0, 1, 0)))) / 16 &gt; 0.1,
        "BULLISH",
        IF(SUM(IF(AK13="-", 0, IF(AK13&lt;0, -2, IF(AK13&gt;0, 2, 0))),
                IF(AK14="-", 0, IF(AK14&lt;0, -2, IF(AK14&gt;0, 2, 0))),
                IF(AK15="-", 0, IF(AK15&lt;0, -1, IF(AK15&gt;0, 1, 0))),
                IF(AK16="-", 0, IF(AK16&lt;0, -1, IF(AK16&gt;0, 1, 0)))) / 16 &lt; -0.1,
            "BEARISH",
            IF(SUM(IF(AK13="-", 0, IF(AK13&lt;0, -2, IF(AK13&gt;0, 2, 0))),
                    IF(AK14="-", 0, IF(AK14&lt;0, -2, IF(AK14&gt;0, 2, 0))),
                    IF(AK15="-", 0, IF(AK15&lt;0, -1, IF(AK15&gt;0, 1, 0))),
                    IF(AK16="-", 0, IF(AK16&lt;0, -1, IF(AK16&gt;0, 1, 0)))) / 16 &gt; -0.1,
                "NEUTRO",
                "NEUTRO"
            )
        )
    )
)</f>
        <v>BEARISH</v>
      </c>
      <c r="AJ12" s="353"/>
      <c r="AK12" s="354"/>
      <c r="AL12" s="352" t="str">
        <f>IF(AND(AN13="-",AN14="-",AN15="-",AN16="-"),
    "",
    IF(SUM(IF(AN13="-", 0, IF(AN13&lt;0, -2, IF(AN13&gt;0, 2, 0))),
            IF(AN14="-", 0, IF(AN14&lt;0, -2, IF(AN14&gt;0, 2, 0))),
            IF(AN15="-", 0, IF(AN15&lt;0, -1, IF(AN15&gt;0, 1, 0))),
            IF(AN16="-", 0, IF(AN16&lt;0, -1, IF(AN16&gt;0, 1, 0)))) / 16 &gt; 0.1,
        "BULLISH",
        IF(SUM(IF(AN13="-", 0, IF(AN13&lt;0, -2, IF(AN13&gt;0, 2, 0))),
                IF(AN14="-", 0, IF(AN14&lt;0, -2, IF(AN14&gt;0, 2, 0))),
                IF(AN15="-", 0, IF(AN15&lt;0, -1, IF(AN15&gt;0, 1, 0))),
                IF(AN16="-", 0, IF(AN16&lt;0, -1, IF(AN16&gt;0, 1, 0)))) / 16 &lt; -0.1,
            "BEARISH",
            IF(SUM(IF(AN13="-", 0, IF(AN13&lt;0, -2, IF(AN13&gt;0, 2, 0))),
                    IF(AN14="-", 0, IF(AN14&lt;0, -2, IF(AN14&gt;0, 2, 0))),
                    IF(AN15="-", 0, IF(AN15&lt;0, -1, IF(AN15&gt;0, 1, 0))),
                    IF(AN16="-", 0, IF(AN16&lt;0, -1, IF(AN16&gt;0, 1, 0)))) / 16 &gt; -0.1,
                "NEUTRO",
                "NEUTRO"
            )
        )
    )
)</f>
        <v>BULLISH</v>
      </c>
      <c r="AM12" s="353"/>
      <c r="AN12" s="354"/>
      <c r="AO12" s="352" t="str">
        <f>IF(AND(AQ13="-",AQ14="-",AQ15="-",AQ16="-"),
    "",
    IF(SUM(IF(AQ13="-", 0, IF(AQ13&lt;0, -2, IF(AQ13&gt;0, 2, 0))),
            IF(AQ14="-", 0, IF(AQ14&lt;0, -2, IF(AQ14&gt;0, 2, 0))),
            IF(AQ15="-", 0, IF(AQ15&lt;0, -1, IF(AQ15&gt;0, 1, 0))),
            IF(AQ16="-", 0, IF(AQ16&lt;0, -1, IF(AQ16&gt;0, 1, 0)))) / 16 &gt; 0.1,
        "BULLISH",
        IF(SUM(IF(AQ13="-", 0, IF(AQ13&lt;0, -2, IF(AQ13&gt;0, 2, 0))),
                IF(AQ14="-", 0, IF(AQ14&lt;0, -2, IF(AQ14&gt;0, 2, 0))),
                IF(AQ15="-", 0, IF(AQ15&lt;0, -1, IF(AQ15&gt;0, 1, 0))),
                IF(AQ16="-", 0, IF(AQ16&lt;0, -1, IF(AQ16&gt;0, 1, 0)))) / 16 &lt; -0.1,
            "BEARISH",
            IF(SUM(IF(AQ13="-", 0, IF(AQ13&lt;0, -2, IF(AQ13&gt;0, 2, 0))),
                    IF(AQ14="-", 0, IF(AQ14&lt;0, -2, IF(AQ14&gt;0, 2, 0))),
                    IF(AQ15="-", 0, IF(AQ15&lt;0, -1, IF(AQ15&gt;0, 1, 0))),
                    IF(AQ16="-", 0, IF(AQ16&lt;0, -1, IF(AQ16&gt;0, 1, 0)))) / 16 &gt; -0.1,
                "NEUTRO",
                "NEUTRO"
            )
        )
    )
)</f>
        <v>BEARISH</v>
      </c>
      <c r="AP12" s="353"/>
      <c r="AQ12" s="354"/>
      <c r="AR12" s="352" t="str">
        <f>IF(AND(AT13="-",AT14="-",AT15="-",AT16="-"),
    "",
    IF(SUM(IF(AT13="-", 0, IF(AT13&lt;0, -2, IF(AT13&gt;0, 2, 0))),
            IF(AT14="-", 0, IF(AT14&lt;0, -2, IF(AT14&gt;0, 2, 0))),
            IF(AT15="-", 0, IF(AT15&lt;0, -1, IF(AT15&gt;0, 1, 0))),
            IF(AT16="-", 0, IF(AT16&lt;0, -1, IF(AT16&gt;0, 1, 0)))) / 16 &gt; 0.1,
        "BULLISH",
        IF(SUM(IF(AT13="-", 0, IF(AT13&lt;0, -2, IF(AT13&gt;0, 2, 0))),
                IF(AT14="-", 0, IF(AT14&lt;0, -2, IF(AT14&gt;0, 2, 0))),
                IF(AT15="-", 0, IF(AT15&lt;0, -1, IF(AT15&gt;0, 1, 0))),
                IF(AT16="-", 0, IF(AT16&lt;0, -1, IF(AT16&gt;0, 1, 0)))) / 16 &lt; -0.1,
            "BEARISH",
            IF(SUM(IF(AT13="-", 0, IF(AT13&lt;0, -2, IF(AT13&gt;0, 2, 0))),
                    IF(AT14="-", 0, IF(AT14&lt;0, -2, IF(AT14&gt;0, 2, 0))),
                    IF(AT15="-", 0, IF(AT15&lt;0, -1, IF(AT15&gt;0, 1, 0))),
                    IF(AT16="-", 0, IF(AT16&lt;0, -1, IF(AT16&gt;0, 1, 0)))) / 16 &gt; -0.1,
                "NEUTRO",
                "NEUTRO"
            )
        )
    )
)</f>
        <v>NEUTRO</v>
      </c>
      <c r="AS12" s="353"/>
      <c r="AT12" s="354"/>
      <c r="AU12" s="352" t="str">
        <f>IF(AND(AW13="-",AW14="-",AW15="-",AW16="-"),
    "",
    IF(SUM(IF(AW13="-", 0, IF(AW13&lt;0, -2, IF(AW13&gt;0, 2, 0))),
            IF(AW14="-", 0, IF(AW14&lt;0, -2, IF(AW14&gt;0, 2, 0))),
            IF(AW15="-", 0, IF(AW15&lt;0, -1, IF(AW15&gt;0, 1, 0))),
            IF(AW16="-", 0, IF(AW16&lt;0, -1, IF(AW16&gt;0, 1, 0)))) / 16 &gt; 0.1,
        "BULLISH",
        IF(SUM(IF(AW13="-", 0, IF(AW13&lt;0, -2, IF(AW13&gt;0, 2, 0))),
                IF(AW14="-", 0, IF(AW14&lt;0, -2, IF(AW14&gt;0, 2, 0))),
                IF(AW15="-", 0, IF(AW15&lt;0, -1, IF(AW15&gt;0, 1, 0))),
                IF(AW16="-", 0, IF(AW16&lt;0, -1, IF(AW16&gt;0, 1, 0)))) / 16 &lt; -0.1,
            "BEARISH",
            IF(SUM(IF(AW13="-", 0, IF(AW13&lt;0, -2, IF(AW13&gt;0, 2, 0))),
                    IF(AW14="-", 0, IF(AW14&lt;0, -2, IF(AW14&gt;0, 2, 0))),
                    IF(AW15="-", 0, IF(AW15&lt;0, -1, IF(AW15&gt;0, 1, 0))),
                    IF(AW16="-", 0, IF(AW16&lt;0, -1, IF(AW16&gt;0, 1, 0)))) / 16 &gt; -0.1,
                "NEUTRO",
                "NEUTRO"
            )
        )
    )
)</f>
        <v/>
      </c>
      <c r="AV12" s="353"/>
      <c r="AW12" s="354"/>
    </row>
    <row r="13" spans="1:49" x14ac:dyDescent="0.25">
      <c r="A13" s="155" t="s">
        <v>221</v>
      </c>
      <c r="B13" s="156"/>
      <c r="C13" s="156"/>
      <c r="D13" s="157">
        <f>B13-C13</f>
        <v>0</v>
      </c>
      <c r="E13" s="156">
        <v>17.899999999999999</v>
      </c>
      <c r="F13" s="156">
        <v>65.2</v>
      </c>
      <c r="G13" s="157">
        <f>E13-F13</f>
        <v>-47.300000000000004</v>
      </c>
      <c r="H13" s="156">
        <v>65.2</v>
      </c>
      <c r="I13" s="156">
        <v>-28.7</v>
      </c>
      <c r="J13" s="157">
        <f>IFERROR(_xlfn.IFS(ISBLANK(H13),"-",FIND("%",H13,1),(H13-I13)/100),H13-I13)</f>
        <v>93.9</v>
      </c>
      <c r="K13" s="156"/>
      <c r="L13" s="156"/>
      <c r="M13" s="157" t="str">
        <f>IFERROR(_xlfn.IFS(ISBLANK(K13),"-",FIND("%",K13,1),(K13-L13)/100),K13-L13)</f>
        <v>-</v>
      </c>
      <c r="N13" s="156">
        <v>14.9</v>
      </c>
      <c r="O13" s="156">
        <v>-11.9</v>
      </c>
      <c r="P13" s="157">
        <f>IFERROR(_xlfn.IFS(ISBLANK(N13),"-",FIND("%",N13,1),(N13-O13)/100),N13-O13)</f>
        <v>26.8</v>
      </c>
      <c r="Q13" s="156">
        <v>-5.4</v>
      </c>
      <c r="R13" s="156">
        <v>1</v>
      </c>
      <c r="S13" s="157">
        <f>IFERROR(_xlfn.IFS(ISBLANK(Q13),"-",FIND("%",Q13,1),(Q13-R13)/100),Q13-R13)</f>
        <v>-6.4</v>
      </c>
      <c r="T13" s="156">
        <v>2</v>
      </c>
      <c r="U13" s="156">
        <v>-1.1000000000000001</v>
      </c>
      <c r="V13" s="157">
        <f>IFERROR(_xlfn.IFS(ISBLANK(T13),"-",FIND("%",T13,1),(T13-U13)/100),T13-U13)</f>
        <v>3.1</v>
      </c>
      <c r="W13" s="156">
        <v>-2.5</v>
      </c>
      <c r="X13" s="156">
        <v>87.6</v>
      </c>
      <c r="Y13" s="157">
        <f>IFERROR(_xlfn.IFS(ISBLANK(W13),"-",FIND("%",W13,1),(W13-X13)/100),W13-X13)</f>
        <v>-90.1</v>
      </c>
      <c r="Z13" s="156">
        <v>89</v>
      </c>
      <c r="AA13" s="156">
        <v>-57.5</v>
      </c>
      <c r="AB13" s="157">
        <f>IFERROR(_xlfn.IFS(ISBLANK(Z13),"-",FIND("%",Z13,1),(Z13-AA13)/100),Z13-AA13)</f>
        <v>146.5</v>
      </c>
      <c r="AC13" s="156">
        <v>-52.8</v>
      </c>
      <c r="AD13" s="156">
        <v>60</v>
      </c>
      <c r="AE13" s="157">
        <f>IFERROR(_xlfn.IFS(ISBLANK(AC13),"-",FIND("%",AC13,1),(AC13-AD13)/100),AC13-AD13)</f>
        <v>-112.8</v>
      </c>
      <c r="AF13" s="156">
        <v>45.3</v>
      </c>
      <c r="AG13" s="156">
        <v>12.1</v>
      </c>
      <c r="AH13" s="157">
        <f>IFERROR(_xlfn.IFS(ISBLANK(AF13),"-",FIND("%",AF13,1),(AF13-AG13)/100),AF13-AG13)</f>
        <v>33.199999999999996</v>
      </c>
      <c r="AI13" s="156">
        <v>15.9</v>
      </c>
      <c r="AJ13" s="156">
        <v>61.3</v>
      </c>
      <c r="AK13" s="157">
        <f>IFERROR(_xlfn.IFS(ISBLANK(AI13),"-",FIND("%",AI13,1),(AI13-AJ13)/100),AI13-AJ13)</f>
        <v>-45.4</v>
      </c>
      <c r="AL13" s="156">
        <v>64.099999999999994</v>
      </c>
      <c r="AM13" s="156">
        <v>42.6</v>
      </c>
      <c r="AN13" s="157">
        <f>IFERROR(_xlfn.IFS(ISBLANK(AL13),"-",FIND("%",AL13,1),(AL13-AM13)/100),AL13-AM13)</f>
        <v>21.499999999999993</v>
      </c>
      <c r="AO13" s="156">
        <v>47.5</v>
      </c>
      <c r="AP13" s="156">
        <v>48.9</v>
      </c>
      <c r="AQ13" s="157">
        <f>IFERROR(_xlfn.IFS(ISBLANK(AO13),"-",FIND("%",AO13,1),(AO13-AP13)/100),AO13-AP13)</f>
        <v>-1.3999999999999986</v>
      </c>
      <c r="AR13" s="156">
        <v>50.2</v>
      </c>
      <c r="AS13" s="156">
        <v>39.5</v>
      </c>
      <c r="AT13" s="157">
        <f>IFERROR(_xlfn.IFS(ISBLANK(AR13),"-",FIND("%",AR13,1),(AR13-AS13)/100),AR13-AS13)</f>
        <v>10.700000000000003</v>
      </c>
      <c r="AU13" s="156"/>
      <c r="AV13" s="156">
        <v>-6.6</v>
      </c>
      <c r="AW13" s="157" t="str">
        <f t="array" ref="AW13">IFERROR(_xlfn.IFS(ISBLANK(AU13),"-",FIND("%",AU13,1),(AU13-AV13)/100),AU13-AV13)</f>
        <v>-</v>
      </c>
    </row>
    <row r="14" spans="1:49" x14ac:dyDescent="0.25">
      <c r="A14" s="158" t="s">
        <v>105</v>
      </c>
      <c r="B14" s="161"/>
      <c r="C14" s="161"/>
      <c r="D14" s="49">
        <f>B14-C14</f>
        <v>0</v>
      </c>
      <c r="E14" s="161">
        <v>4.2999999999999997E-2</v>
      </c>
      <c r="F14" s="161">
        <v>4.1000000000000002E-2</v>
      </c>
      <c r="G14" s="49">
        <f>E14-F14</f>
        <v>1.9999999999999948E-3</v>
      </c>
      <c r="H14" s="159">
        <v>4.1000000000000002E-2</v>
      </c>
      <c r="I14" s="159">
        <v>4.2999999999999997E-2</v>
      </c>
      <c r="J14" s="49">
        <f>IF(ISBLANK(H14),"-",I14-H14)</f>
        <v>1.9999999999999948E-3</v>
      </c>
      <c r="K14" s="161"/>
      <c r="L14" s="161"/>
      <c r="M14" s="49" t="str">
        <f>IF(ISBLANK(K14),"-",L14-K14)</f>
        <v>-</v>
      </c>
      <c r="N14" s="159">
        <v>4.4999999999999998E-2</v>
      </c>
      <c r="O14" s="159">
        <v>4.2999999999999997E-2</v>
      </c>
      <c r="P14" s="49">
        <f>IF(ISBLANK(N14),"-",O14-N14)</f>
        <v>-2.0000000000000018E-3</v>
      </c>
      <c r="Q14" s="159">
        <v>4.2000000000000003E-2</v>
      </c>
      <c r="R14" s="159">
        <v>4.2999999999999997E-2</v>
      </c>
      <c r="S14" s="49">
        <f>IF(ISBLANK(Q14),"-",R14-Q14)</f>
        <v>9.9999999999999395E-4</v>
      </c>
      <c r="T14" s="159">
        <v>4.2999999999999997E-2</v>
      </c>
      <c r="U14" s="159">
        <v>4.1000000000000002E-2</v>
      </c>
      <c r="V14" s="49">
        <f>IF(ISBLANK(T14),"-",U14-T14)</f>
        <v>-1.9999999999999948E-3</v>
      </c>
      <c r="W14" s="159">
        <v>4.1000000000000002E-2</v>
      </c>
      <c r="X14" s="159">
        <v>4.1000000000000002E-2</v>
      </c>
      <c r="Y14" s="49">
        <f>IF(ISBLANK(W14),"-",X14-W14)</f>
        <v>0</v>
      </c>
      <c r="Z14" s="159">
        <v>4.1000000000000002E-2</v>
      </c>
      <c r="AA14" s="160">
        <v>0.04</v>
      </c>
      <c r="AB14" s="49">
        <f>IF(ISBLANK(Z14),"-",AA14-Z14)</f>
        <v>-1.0000000000000009E-3</v>
      </c>
      <c r="AC14" s="159">
        <v>4.1000000000000002E-2</v>
      </c>
      <c r="AD14" s="160">
        <v>0.04</v>
      </c>
      <c r="AE14" s="49">
        <f>IF(ISBLANK(AC14),"-",AD14-AC14)</f>
        <v>-1.0000000000000009E-3</v>
      </c>
      <c r="AF14" s="159">
        <v>0.04</v>
      </c>
      <c r="AG14" s="159">
        <v>4.1000000000000002E-2</v>
      </c>
      <c r="AH14" s="49">
        <f>IF(ISBLANK(AF14),"-",AG14-AF14)</f>
        <v>1.0000000000000009E-3</v>
      </c>
      <c r="AI14" s="159">
        <v>4.1000000000000002E-2</v>
      </c>
      <c r="AJ14" s="159">
        <v>4.1000000000000002E-2</v>
      </c>
      <c r="AK14" s="49">
        <f>IF(ISBLANK(AI14),"-",AJ14-AI14)</f>
        <v>0</v>
      </c>
      <c r="AL14" s="159">
        <v>4.1000000000000002E-2</v>
      </c>
      <c r="AM14" s="159">
        <v>4.1000000000000002E-2</v>
      </c>
      <c r="AN14" s="49">
        <f>IF(ISBLANK(AL14),"-",AM14-AL14)</f>
        <v>0</v>
      </c>
      <c r="AO14" s="159">
        <v>4.2000000000000003E-2</v>
      </c>
      <c r="AP14" s="159">
        <v>4.2000000000000003E-2</v>
      </c>
      <c r="AQ14" s="49">
        <f>IF(ISBLANK(AO14),"-",AP14-AO14)</f>
        <v>0</v>
      </c>
      <c r="AR14" s="159">
        <v>4.1000000000000002E-2</v>
      </c>
      <c r="AS14" s="160">
        <v>0.04</v>
      </c>
      <c r="AT14" s="49">
        <f>IF(ISBLANK(AR14),"-",AS14-AR14)</f>
        <v>-1.0000000000000009E-3</v>
      </c>
      <c r="AU14" s="161"/>
      <c r="AV14" s="159">
        <v>3.7999999999999999E-2</v>
      </c>
      <c r="AW14" s="49" t="str">
        <f>IF(ISBLANK(AU14),"-",AV14-AU14)</f>
        <v>-</v>
      </c>
    </row>
    <row r="15" spans="1:49" x14ac:dyDescent="0.25">
      <c r="A15" s="162" t="s">
        <v>237</v>
      </c>
      <c r="B15" s="164"/>
      <c r="C15" s="164"/>
      <c r="D15" s="49">
        <f>B15-C15</f>
        <v>0</v>
      </c>
      <c r="E15" s="164">
        <v>8.0000000000000002E-3</v>
      </c>
      <c r="F15" s="164">
        <v>8.0000000000000002E-3</v>
      </c>
      <c r="G15" s="49">
        <f>E15-F15</f>
        <v>0</v>
      </c>
      <c r="H15" s="164"/>
      <c r="I15" s="164"/>
      <c r="J15" s="49" t="str">
        <f>IF(ISBLANK(H15),"-",H15-I15)</f>
        <v>-</v>
      </c>
      <c r="K15" s="164"/>
      <c r="L15" s="164"/>
      <c r="M15" s="49" t="str">
        <f>IF(ISBLANK(K15),"-",K15-L15)</f>
        <v>-</v>
      </c>
      <c r="N15" s="164"/>
      <c r="O15" s="164"/>
      <c r="P15" s="49" t="str">
        <f>IF(ISBLANK(N15),"-",N15-O15)</f>
        <v>-</v>
      </c>
      <c r="Q15" s="163">
        <v>8.0000000000000002E-3</v>
      </c>
      <c r="R15" s="163">
        <v>8.9999999999999993E-3</v>
      </c>
      <c r="S15" s="49">
        <f>IF(ISBLANK(Q15),"-",Q15-R15)</f>
        <v>-9.9999999999999915E-4</v>
      </c>
      <c r="T15" s="164"/>
      <c r="U15" s="164"/>
      <c r="V15" s="49" t="str">
        <f>IF(ISBLANK(T15),"-",T15-U15)</f>
        <v>-</v>
      </c>
      <c r="W15" s="164"/>
      <c r="X15" s="164"/>
      <c r="Y15" s="49" t="str">
        <f>IF(ISBLANK(W15),"-",W15-X15)</f>
        <v>-</v>
      </c>
      <c r="Z15" s="163">
        <v>8.9999999999999993E-3</v>
      </c>
      <c r="AA15" s="163">
        <v>7.0000000000000001E-3</v>
      </c>
      <c r="AB15" s="49">
        <f>IF(ISBLANK(Z15),"-",Z15-AA15)</f>
        <v>1.9999999999999992E-3</v>
      </c>
      <c r="AC15" s="163">
        <v>7.0000000000000001E-3</v>
      </c>
      <c r="AD15" s="163">
        <v>8.9999999999999993E-3</v>
      </c>
      <c r="AE15" s="49">
        <f>IF(ISBLANK(AC15),"-",AC15-AD15)</f>
        <v>-1.9999999999999992E-3</v>
      </c>
      <c r="AF15" s="164"/>
      <c r="AG15" s="164"/>
      <c r="AH15" s="49" t="str">
        <f>IF(ISBLANK(AF15),"-",AF15-AG15)</f>
        <v>-</v>
      </c>
      <c r="AI15" s="163">
        <v>8.0000000000000002E-3</v>
      </c>
      <c r="AJ15" s="163">
        <v>8.0000000000000002E-3</v>
      </c>
      <c r="AK15" s="49">
        <f>IF(ISBLANK(AI15),"-",AI15-AJ15)</f>
        <v>0</v>
      </c>
      <c r="AL15" s="164"/>
      <c r="AM15" s="164"/>
      <c r="AN15" s="49" t="str">
        <f>IF(ISBLANK(AL15),"-",AL15-AM15)</f>
        <v>-</v>
      </c>
      <c r="AO15" s="163">
        <v>8.0000000000000002E-3</v>
      </c>
      <c r="AP15" s="163">
        <v>8.9999999999999993E-3</v>
      </c>
      <c r="AQ15" s="49">
        <f>IF(ISBLANK(AO15),"-",AO15-AP15)</f>
        <v>-9.9999999999999915E-4</v>
      </c>
      <c r="AR15" s="164"/>
      <c r="AS15" s="164"/>
      <c r="AT15" s="49" t="str">
        <f>IF(ISBLANK(AR15),"-",AR15-AS15)</f>
        <v>-</v>
      </c>
      <c r="AU15" s="164"/>
      <c r="AV15" s="163">
        <v>8.9999999999999993E-3</v>
      </c>
      <c r="AW15" s="49" t="str">
        <f>IF(ISBLANK(AU15),"-",AU15-AV15)</f>
        <v>-</v>
      </c>
    </row>
    <row r="16" spans="1:49" x14ac:dyDescent="0.25">
      <c r="A16" s="165" t="s">
        <v>238</v>
      </c>
      <c r="B16" s="169"/>
      <c r="C16" s="169"/>
      <c r="D16" s="167" t="str">
        <f>IF(ISBLANK(B16),"-",B16-C16)</f>
        <v>-</v>
      </c>
      <c r="E16" s="166">
        <v>0.04</v>
      </c>
      <c r="F16" s="166">
        <v>-8.0000000000000002E-3</v>
      </c>
      <c r="G16" s="167">
        <f>IF(ISBLANK(E16),"-",E16-F16)</f>
        <v>4.8000000000000001E-2</v>
      </c>
      <c r="H16" s="166">
        <v>-5.0000000000000001E-3</v>
      </c>
      <c r="I16" s="166">
        <v>-1.4999999999999999E-2</v>
      </c>
      <c r="J16" s="167">
        <f>IF(ISBLANK(H16),"-",H16-I16)</f>
        <v>9.9999999999999985E-3</v>
      </c>
      <c r="K16" s="169"/>
      <c r="L16" s="169"/>
      <c r="M16" s="167" t="str">
        <f>IF(ISBLANK(K16),"-",K16-L16)</f>
        <v>-</v>
      </c>
      <c r="N16" s="166">
        <v>-3.3000000000000002E-2</v>
      </c>
      <c r="O16" s="166">
        <v>-3.0000000000000001E-3</v>
      </c>
      <c r="P16" s="167">
        <f>IF(ISBLANK(N16),"-",N16-O16)</f>
        <v>-3.0000000000000002E-2</v>
      </c>
      <c r="Q16" s="169"/>
      <c r="R16" s="169"/>
      <c r="S16" s="167" t="str">
        <f>IF(ISBLANK(Q16),"-",Q16-R16)</f>
        <v>-</v>
      </c>
      <c r="T16" s="168">
        <v>-0.01</v>
      </c>
      <c r="U16" s="166">
        <v>1.6E-2</v>
      </c>
      <c r="V16" s="167">
        <f>IF(ISBLANK(T16),"-",T16-U16)</f>
        <v>-2.6000000000000002E-2</v>
      </c>
      <c r="W16" s="166">
        <v>1.7999999999999999E-2</v>
      </c>
      <c r="X16" s="166">
        <v>-3.0000000000000001E-3</v>
      </c>
      <c r="Y16" s="167">
        <f>IF(ISBLANK(W16),"-",W16-X16)</f>
        <v>2.0999999999999998E-2</v>
      </c>
      <c r="Z16" s="166">
        <v>4.0000000000000001E-3</v>
      </c>
      <c r="AA16" s="166">
        <v>-1.2999999999999999E-2</v>
      </c>
      <c r="AB16" s="167">
        <f>IF(ISBLANK(Z16),"-",Z16-AA16)</f>
        <v>1.7000000000000001E-2</v>
      </c>
      <c r="AC16" s="166">
        <v>-1.4E-2</v>
      </c>
      <c r="AD16" s="166">
        <v>1.2999999999999999E-2</v>
      </c>
      <c r="AE16" s="167">
        <f>IF(ISBLANK(AC16),"-",AC16-AD16)</f>
        <v>-2.7E-2</v>
      </c>
      <c r="AF16" s="166">
        <v>2E-3</v>
      </c>
      <c r="AG16" s="166">
        <v>-1.7999999999999999E-2</v>
      </c>
      <c r="AH16" s="167">
        <f>IF(ISBLANK(AF16),"-",AF16-AG16)</f>
        <v>1.9999999999999997E-2</v>
      </c>
      <c r="AI16" s="166">
        <v>-1.2999999999999999E-2</v>
      </c>
      <c r="AJ16" s="166">
        <v>7.0000000000000001E-3</v>
      </c>
      <c r="AK16" s="167">
        <f>IF(ISBLANK(AI16),"-",AI16-AJ16)</f>
        <v>-0.02</v>
      </c>
      <c r="AL16" s="166">
        <v>1.6E-2</v>
      </c>
      <c r="AM16" s="166">
        <v>-1.7999999999999999E-2</v>
      </c>
      <c r="AN16" s="167">
        <f>IF(ISBLANK(AL16),"-",AL16-AM16)</f>
        <v>3.4000000000000002E-2</v>
      </c>
      <c r="AO16" s="166">
        <v>-2.1000000000000001E-2</v>
      </c>
      <c r="AP16" s="166">
        <v>-2.7E-2</v>
      </c>
      <c r="AQ16" s="167">
        <f>IF(ISBLANK(AO16),"-",AO16-AP16)</f>
        <v>5.9999999999999984E-3</v>
      </c>
      <c r="AR16" s="168">
        <v>-0.03</v>
      </c>
      <c r="AS16" s="166">
        <v>-2.7E-2</v>
      </c>
      <c r="AT16" s="167">
        <f>IF(ISBLANK(AR16),"-",AR16-AS16)</f>
        <v>-2.9999999999999992E-3</v>
      </c>
      <c r="AU16" s="169"/>
      <c r="AV16" s="169"/>
      <c r="AW16" s="167" t="str">
        <f>IF(ISBLANK(AU16),"-",AU16-AV16)</f>
        <v>-</v>
      </c>
    </row>
    <row r="17" spans="1:49" x14ac:dyDescent="0.25">
      <c r="A17" s="150" t="s">
        <v>42</v>
      </c>
      <c r="B17" s="316" t="str">
        <f>IF(AND(D18="-",D19="-",D20="-"),
    "",
    IF(SUM(IF(D18="-", 0, IF(D18&lt;0, -2, IF(D18&gt;0, 2, 0))),
            IF(D19="-", 0, IF(D19&lt;0, -2, IF(D19&gt;0, 2, 0))),
            IF(D20="-", 0, IF(D20&lt;0, -1, IF(D20&gt;0, 1, 0)))) / 9 &gt; 0.1,
        "BULLISH",
        IF(SUM(IF(D18="-", 0, IF(D18&lt;0, -2, IF(D18&gt;0, 2, 0))),
                IF(D19="-", 0, IF(D19&lt;0, -2, IF(D19&gt;0, 2, 0))),
                IF(D20="-", 0, IF(D20&lt;0, -1, IF(D20&gt;0, 1, 0)))) / 9 &lt; -0.1,
            "BEARISH",
            IF(SUM(IF(D18="-", 0, IF(D18&lt;0, -2, IF(D18&gt;0, 2, 0))),
                    IF(D19="-", 0, IF(D19&lt;0, -2, IF(D19&gt;0, 2, 0))),
                    IF(D20="-", 0, IF(D20&lt;0, -1, IF(D20&gt;0, 1, 0)))) / 9 &gt; -0.1,
                "NEUTRO",
                "NEUTRO"
            )
        )
    )
)</f>
        <v/>
      </c>
      <c r="C17" s="317"/>
      <c r="D17" s="318"/>
      <c r="E17" s="316" t="str">
        <f>IF(AND(G18="-",G19="-",G20="-"),
    "",
    IF(SUM(IF(G18="-", 0, IF(G18&lt;0, -2, IF(G18&gt;0, 2, 0))),
            IF(G19="-", 0, IF(G19&lt;0, -2, IF(G19&gt;0, 2, 0))),
            IF(G20="-", 0, IF(G20&lt;0, -1, IF(G20&gt;0, 1, 0)))) / 9 &gt; 0.1,
        "BULLISH",
        IF(SUM(IF(G18="-", 0, IF(G18&lt;0, -2, IF(G18&gt;0, 2, 0))),
                IF(G19="-", 0, IF(G19&lt;0, -2, IF(G19&gt;0, 2, 0))),
                IF(G20="-", 0, IF(G20&lt;0, -1, IF(G20&gt;0, 1, 0)))) / 9 &lt; -0.1,
            "BEARISH",
            IF(SUM(IF(G18="-", 0, IF(G18&lt;0, -2, IF(G18&gt;0, 2, 0))),
                    IF(G19="-", 0, IF(G19&lt;0, -2, IF(G19&gt;0, 2, 0))),
                    IF(G20="-", 0, IF(G20&lt;0, -1, IF(G20&gt;0, 1, 0)))) / 9 &gt; -0.1,
                "NEUTRO",
                "NEUTRO"
            )
        )
    )
)</f>
        <v/>
      </c>
      <c r="F17" s="317"/>
      <c r="G17" s="318"/>
      <c r="H17" s="316" t="str">
        <f>IF(AND(J18="-",J19="-",J20="-"),
    "",
    IF(SUM(IF(J18="-", 0, IF(J18&lt;0, -2, IF(J18&gt;0, 2, 0))),
            IF(J19="-", 0, IF(J19&lt;0, -2, IF(J19&gt;0, 2, 0))),
            IF(J20="-", 0, IF(J20&lt;0, -1, IF(J20&gt;0, 1, 0)))) / 9 &gt; 0.1,
        "BULLISH",
        IF(SUM(IF(J18="-", 0, IF(J18&lt;0, -2, IF(J18&gt;0, 2, 0))),
                IF(J19="-", 0, IF(J19&lt;0, -2, IF(J19&gt;0, 2, 0))),
                IF(J20="-", 0, IF(J20&lt;0, -1, IF(J20&gt;0, 1, 0)))) / 9 &lt; -0.1,
            "BEARISH",
            IF(SUM(IF(J18="-", 0, IF(J18&lt;0, -2, IF(J18&gt;0, 2, 0))),
                    IF(J19="-", 0, IF(J19&lt;0, -2, IF(J19&gt;0, 2, 0))),
                    IF(J20="-", 0, IF(J20&lt;0, -1, IF(J20&gt;0, 1, 0)))) / 9 &gt; -0.1,
                "NEUTRO",
                "NEUTRO"
            )
        )
    )
)</f>
        <v>BULLISH</v>
      </c>
      <c r="I17" s="317"/>
      <c r="J17" s="318"/>
      <c r="K17" s="316" t="str">
        <f>IF(AND(M18="-",M19="-",M20="-"),
    "",
    IF(SUM(IF(M18="-", 0, IF(M18&lt;0, -2, IF(M18&gt;0, 2, 0))),
            IF(M19="-", 0, IF(M19&lt;0, -2, IF(M19&gt;0, 2, 0))),
            IF(M20="-", 0, IF(M20&lt;0, -1, IF(M20&gt;0, 1, 0)))) / 9 &gt; 0.1,
        "BULLISH",
        IF(SUM(IF(M18="-", 0, IF(M18&lt;0, -2, IF(M18&gt;0, 2, 0))),
                IF(M19="-", 0, IF(M19&lt;0, -2, IF(M19&gt;0, 2, 0))),
                IF(M20="-", 0, IF(M20&lt;0, -1, IF(M20&gt;0, 1, 0)))) / 9 &lt; -0.1,
            "BEARISH",
            IF(SUM(IF(M18="-", 0, IF(M18&lt;0, -2, IF(M18&gt;0, 2, 0))),
                    IF(M19="-", 0, IF(M19&lt;0, -2, IF(M19&gt;0, 2, 0))),
                    IF(M20="-", 0, IF(M20&lt;0, -1, IF(M20&gt;0, 1, 0)))) / 9 &gt; -0.1,
                "NEUTRO",
                "NEUTRO"
            )
        )
    )
)</f>
        <v/>
      </c>
      <c r="L17" s="317"/>
      <c r="M17" s="318"/>
      <c r="N17" s="316" t="str">
        <f>IF(AND(P18="-",P19="-",P20="-"),
    "",
    IF(SUM(IF(P18="-", 0, IF(P18&lt;0, -2, IF(P18&gt;0, 2, 0))),
            IF(P19="-", 0, IF(P19&lt;0, -2, IF(P19&gt;0, 2, 0))),
            IF(P20="-", 0, IF(P20&lt;0, -1, IF(P20&gt;0, 1, 0)))) / 9 &gt; 0.1,
        "BULLISH",
        IF(SUM(IF(P18="-", 0, IF(P18&lt;0, -2, IF(P18&gt;0, 2, 0))),
                IF(P19="-", 0, IF(P19&lt;0, -2, IF(P19&gt;0, 2, 0))),
                IF(P20="-", 0, IF(P20&lt;0, -1, IF(P20&gt;0, 1, 0)))) / 9 &lt; -0.1,
            "BEARISH",
            IF(SUM(IF(P18="-", 0, IF(P18&lt;0, -2, IF(P18&gt;0, 2, 0))),
                    IF(P19="-", 0, IF(P19&lt;0, -2, IF(P19&gt;0, 2, 0))),
                    IF(P20="-", 0, IF(P20&lt;0, -1, IF(P20&gt;0, 1, 0)))) / 9 &gt; -0.1,
                "NEUTRO",
                "NEUTRO"
            )
        )
    )
)</f>
        <v>BEARISH</v>
      </c>
      <c r="O17" s="317"/>
      <c r="P17" s="318"/>
      <c r="Q17" s="316" t="str">
        <f>IF(AND(S18="-",S19="-",S20="-"),
    "",
    IF(SUM(IF(S18="-", 0, IF(S18&lt;0, -2, IF(S18&gt;0, 2, 0))),
            IF(S19="-", 0, IF(S19&lt;0, -2, IF(S19&gt;0, 2, 0))),
            IF(S20="-", 0, IF(S20&lt;0, -1, IF(S20&gt;0, 1, 0)))) / 9 &gt; 0.1,
        "BULLISH",
        IF(SUM(IF(S18="-", 0, IF(S18&lt;0, -2, IF(S18&gt;0, 2, 0))),
                IF(S19="-", 0, IF(S19&lt;0, -2, IF(S19&gt;0, 2, 0))),
                IF(S20="-", 0, IF(S20&lt;0, -1, IF(S20&gt;0, 1, 0)))) / 9 &lt; -0.1,
            "BEARISH",
            IF(SUM(IF(S18="-", 0, IF(S18&lt;0, -2, IF(S18&gt;0, 2, 0))),
                    IF(S19="-", 0, IF(S19&lt;0, -2, IF(S19&gt;0, 2, 0))),
                    IF(S20="-", 0, IF(S20&lt;0, -1, IF(S20&gt;0, 1, 0)))) / 9 &gt; -0.1,
                "NEUTRO",
                "NEUTRO"
            )
        )
    )
)</f>
        <v>BEARISH</v>
      </c>
      <c r="R17" s="317"/>
      <c r="S17" s="318"/>
      <c r="T17" s="316" t="str">
        <f>IF(AND(V18="-",V19="-",V20="-"),
    "",
    IF(SUM(IF(V18="-", 0, IF(V18&lt;0, -2, IF(V18&gt;0, 2, 0))),
            IF(V19="-", 0, IF(V19&lt;0, -2, IF(V19&gt;0, 2, 0))),
            IF(V20="-", 0, IF(V20&lt;0, -1, IF(V20&gt;0, 1, 0)))) / 9 &gt; 0.1,
        "BULLISH",
        IF(SUM(IF(V18="-", 0, IF(V18&lt;0, -2, IF(V18&gt;0, 2, 0))),
                IF(V19="-", 0, IF(V19&lt;0, -2, IF(V19&gt;0, 2, 0))),
                IF(V20="-", 0, IF(V20&lt;0, -1, IF(V20&gt;0, 1, 0)))) / 9 &lt; -0.1,
            "BEARISH",
            IF(SUM(IF(V18="-", 0, IF(V18&lt;0, -2, IF(V18&gt;0, 2, 0))),
                    IF(V19="-", 0, IF(V19&lt;0, -2, IF(V19&gt;0, 2, 0))),
                    IF(V20="-", 0, IF(V20&lt;0, -1, IF(V20&gt;0, 1, 0)))) / 9 &gt; -0.1,
                "NEUTRO",
                "NEUTRO"
            )
        )
    )
)</f>
        <v>BULLISH</v>
      </c>
      <c r="U17" s="317"/>
      <c r="V17" s="318"/>
      <c r="W17" s="352" t="str">
        <f>IF(AND(Y18="-",Y19="-",Y20="-"),
    "",
    IF(SUM(IF(Y18="-", 0, IF(Y18&lt;0, -2, IF(Y18&gt;0, 2, 0))),
            IF(Y19="-", 0, IF(Y19&lt;0, -2, IF(Y19&gt;0, 2, 0))),
            IF(Y20="-", 0, IF(Y20&lt;0, -1, IF(Y20&gt;0, 1, 0)))) / 9 &gt; 0.1,
        "BULLISH",
        IF(SUM(IF(Y18="-", 0, IF(Y18&lt;0, -2, IF(Y18&gt;0, 2, 0))),
                IF(Y19="-", 0, IF(Y19&lt;0, -2, IF(Y19&gt;0, 2, 0))),
                IF(Y20="-", 0, IF(Y20&lt;0, -1, IF(Y20&gt;0, 1, 0)))) / 9 &lt; -0.1,
            "BEARISH",
            IF(SUM(IF(Y18="-", 0, IF(Y18&lt;0, -2, IF(Y18&gt;0, 2, 0))),
                    IF(Y19="-", 0, IF(Y19&lt;0, -2, IF(Y19&gt;0, 2, 0))),
                    IF(Y20="-", 0, IF(Y20&lt;0, -1, IF(Y20&gt;0, 1, 0)))) / 9 &gt; -0.1,
                "NEUTRO",
                "NEUTRO"
            )
        )
    )
)</f>
        <v>BEARISH</v>
      </c>
      <c r="X17" s="353"/>
      <c r="Y17" s="354"/>
      <c r="Z17" s="352" t="str">
        <f>IF(AND(AB18="-",AB19="-",AB20="-"),
    "",
    IF(SUM(IF(AB18="-", 0, IF(AB18&lt;0, -2, IF(AB18&gt;0, 2, 0))),
            IF(AB19="-", 0, IF(AB19&lt;0, -2, IF(AB19&gt;0, 2, 0))),
            IF(AB20="-", 0, IF(AB20&lt;0, -1, IF(AB20&gt;0, 1, 0)))) / 9 &gt; 0.1,
        "BULLISH",
        IF(SUM(IF(AB18="-", 0, IF(AB18&lt;0, -2, IF(AB18&gt;0, 2, 0))),
                IF(AB19="-", 0, IF(AB19&lt;0, -2, IF(AB19&gt;0, 2, 0))),
                IF(AB20="-", 0, IF(AB20&lt;0, -1, IF(AB20&gt;0, 1, 0)))) / 9 &lt; -0.1,
            "BEARISH",
            IF(SUM(IF(AB18="-", 0, IF(AB18&lt;0, -2, IF(AB18&gt;0, 2, 0))),
                    IF(AB19="-", 0, IF(AB19&lt;0, -2, IF(AB19&gt;0, 2, 0))),
                    IF(AB20="-", 0, IF(AB20&lt;0, -1, IF(AB20&gt;0, 1, 0)))) / 9 &gt; -0.1,
                "NEUTRO",
                "NEUTRO"
            )
        )
    )
)</f>
        <v>NEUTRO</v>
      </c>
      <c r="AA17" s="353"/>
      <c r="AB17" s="354"/>
      <c r="AC17" s="352" t="str">
        <f>IF(AND(AE18="-",AE19="-",AE20="-"),
    "",
    IF(SUM(IF(AE18="-", 0, IF(AE18&lt;0, -2, IF(AE18&gt;0, 2, 0))),
            IF(AE19="-", 0, IF(AE19&lt;0, -2, IF(AE19&gt;0, 2, 0))),
            IF(AE20="-", 0, IF(AE20&lt;0, -1, IF(AE20&gt;0, 1, 0)))) / 9 &gt; 0.1,
        "BULLISH",
        IF(SUM(IF(AE18="-", 0, IF(AE18&lt;0, -2, IF(AE18&gt;0, 2, 0))),
                IF(AE19="-", 0, IF(AE19&lt;0, -2, IF(AE19&gt;0, 2, 0))),
                IF(AE20="-", 0, IF(AE20&lt;0, -1, IF(AE20&gt;0, 1, 0)))) / 9 &lt; -0.1,
            "BEARISH",
            IF(SUM(IF(AE18="-", 0, IF(AE18&lt;0, -2, IF(AE18&gt;0, 2, 0))),
                    IF(AE19="-", 0, IF(AE19&lt;0, -2, IF(AE19&gt;0, 2, 0))),
                    IF(AE20="-", 0, IF(AE20&lt;0, -1, IF(AE20&gt;0, 1, 0)))) / 9 &gt; -0.1,
                "NEUTRO",
                "NEUTRO"
            )
        )
    )
)</f>
        <v>BULLISH</v>
      </c>
      <c r="AD17" s="353"/>
      <c r="AE17" s="354"/>
      <c r="AF17" s="352" t="str">
        <f>IF(AND(AH18="-",AH19="-",AH20="-"),
    "",
    IF(SUM(IF(AH18="-", 0, IF(AH18&lt;0, -2, IF(AH18&gt;0, 2, 0))),
            IF(AH19="-", 0, IF(AH19&lt;0, -2, IF(AH19&gt;0, 2, 0))),
            IF(AH20="-", 0, IF(AH20&lt;0, -1, IF(AH20&gt;0, 1, 0)))) / 9 &gt; 0.1,
        "BULLISH",
        IF(SUM(IF(AH18="-", 0, IF(AH18&lt;0, -2, IF(AH18&gt;0, 2, 0))),
                IF(AH19="-", 0, IF(AH19&lt;0, -2, IF(AH19&gt;0, 2, 0))),
                IF(AH20="-", 0, IF(AH20&lt;0, -1, IF(AH20&gt;0, 1, 0)))) / 9 &lt; -0.1,
            "BEARISH",
            IF(SUM(IF(AH18="-", 0, IF(AH18&lt;0, -2, IF(AH18&gt;0, 2, 0))),
                    IF(AH19="-", 0, IF(AH19&lt;0, -2, IF(AH19&gt;0, 2, 0))),
                    IF(AH20="-", 0, IF(AH20&lt;0, -1, IF(AH20&gt;0, 1, 0)))) / 9 &gt; -0.1,
                "NEUTRO",
                "NEUTRO"
            )
        )
    )
)</f>
        <v>BEARISH</v>
      </c>
      <c r="AG17" s="353"/>
      <c r="AH17" s="354"/>
      <c r="AI17" s="352" t="str">
        <f>IF(AND(AK18="-",AK19="-",AK20="-"),
    "",
    IF(SUM(IF(AK18="-", 0, IF(AK18&lt;0, -2, IF(AK18&gt;0, 2, 0))),
            IF(AK19="-", 0, IF(AK19&lt;0, -2, IF(AK19&gt;0, 2, 0))),
            IF(AK20="-", 0, IF(AK20&lt;0, -1, IF(AK20&gt;0, 1, 0)))) / 9 &gt; 0.1,
        "BULLISH",
        IF(SUM(IF(AK18="-", 0, IF(AK18&lt;0, -2, IF(AK18&gt;0, 2, 0))),
                IF(AK19="-", 0, IF(AK19&lt;0, -2, IF(AK19&gt;0, 2, 0))),
                IF(AK20="-", 0, IF(AK20&lt;0, -1, IF(AK20&gt;0, 1, 0)))) / 9 &lt; -0.1,
            "BEARISH",
            IF(SUM(IF(AK18="-", 0, IF(AK18&lt;0, -2, IF(AK18&gt;0, 2, 0))),
                    IF(AK19="-", 0, IF(AK19&lt;0, -2, IF(AK19&gt;0, 2, 0))),
                    IF(AK20="-", 0, IF(AK20&lt;0, -1, IF(AK20&gt;0, 1, 0)))) / 9 &gt; -0.1,
                "NEUTRO",
                "NEUTRO"
            )
        )
    )
)</f>
        <v>BULLISH</v>
      </c>
      <c r="AJ17" s="353"/>
      <c r="AK17" s="354"/>
      <c r="AL17" s="352" t="str">
        <f>IF(AND(AN18="-",AN19="-",AN20="-"),
    "",
    IF(SUM(IF(AN18="-", 0, IF(AN18&lt;0, -2, IF(AN18&gt;0, 2, 0))),
            IF(AN19="-", 0, IF(AN19&lt;0, -2, IF(AN19&gt;0, 2, 0))),
            IF(AN20="-", 0, IF(AN20&lt;0, -1, IF(AN20&gt;0, 1, 0)))) / 9 &gt; 0.1,
        "BULLISH",
        IF(SUM(IF(AN18="-", 0, IF(AN18&lt;0, -2, IF(AN18&gt;0, 2, 0))),
                IF(AN19="-", 0, IF(AN19&lt;0, -2, IF(AN19&gt;0, 2, 0))),
                IF(AN20="-", 0, IF(AN20&lt;0, -1, IF(AN20&gt;0, 1, 0)))) / 9 &lt; -0.1,
            "BEARISH",
            IF(SUM(IF(AN18="-", 0, IF(AN18&lt;0, -2, IF(AN18&gt;0, 2, 0))),
                    IF(AN19="-", 0, IF(AN19&lt;0, -2, IF(AN19&gt;0, 2, 0))),
                    IF(AN20="-", 0, IF(AN20&lt;0, -1, IF(AN20&gt;0, 1, 0)))) / 9 &gt; -0.1,
                "NEUTRO",
                "NEUTRO"
            )
        )
    )
)</f>
        <v>BULLISH</v>
      </c>
      <c r="AM17" s="353"/>
      <c r="AN17" s="354"/>
      <c r="AO17" s="352" t="str">
        <f>IF(AND(AQ18="-",AQ19="-",AQ20="-"),
    "",
    IF(SUM(IF(AQ18="-", 0, IF(AQ18&lt;0, -2, IF(AQ18&gt;0, 2, 0))),
            IF(AQ19="-", 0, IF(AQ19&lt;0, -2, IF(AQ19&gt;0, 2, 0))),
            IF(AQ20="-", 0, IF(AQ20&lt;0, -1, IF(AQ20&gt;0, 1, 0)))) / 9 &gt; 0.1,
        "BULLISH",
        IF(SUM(IF(AQ18="-", 0, IF(AQ18&lt;0, -2, IF(AQ18&gt;0, 2, 0))),
                IF(AQ19="-", 0, IF(AQ19&lt;0, -2, IF(AQ19&gt;0, 2, 0))),
                IF(AQ20="-", 0, IF(AQ20&lt;0, -1, IF(AQ20&gt;0, 1, 0)))) / 9 &lt; -0.1,
            "BEARISH",
            IF(SUM(IF(AQ18="-", 0, IF(AQ18&lt;0, -2, IF(AQ18&gt;0, 2, 0))),
                    IF(AQ19="-", 0, IF(AQ19&lt;0, -2, IF(AQ19&gt;0, 2, 0))),
                    IF(AQ20="-", 0, IF(AQ20&lt;0, -1, IF(AQ20&gt;0, 1, 0)))) / 9 &gt; -0.1,
                "NEUTRO",
                "NEUTRO"
            )
        )
    )
)</f>
        <v>BEARISH</v>
      </c>
      <c r="AP17" s="353"/>
      <c r="AQ17" s="354"/>
      <c r="AR17" s="352" t="str">
        <f>IF(AND(AT18="-",AT19="-",AT20="-"),
    "",
    IF(SUM(IF(AT18="-", 0, IF(AT18&lt;0, -2, IF(AT18&gt;0, 2, 0))),
            IF(AT19="-", 0, IF(AT19&lt;0, -2, IF(AT19&gt;0, 2, 0))),
            IF(AT20="-", 0, IF(AT20&lt;0, -1, IF(AT20&gt;0, 1, 0)))) / 9 &gt; 0.1,
        "BULLISH",
        IF(SUM(IF(AT18="-", 0, IF(AT18&lt;0, -2, IF(AT18&gt;0, 2, 0))),
                IF(AT19="-", 0, IF(AT19&lt;0, -2, IF(AT19&gt;0, 2, 0))),
                IF(AT20="-", 0, IF(AT20&lt;0, -1, IF(AT20&gt;0, 1, 0)))) / 9 &lt; -0.1,
            "BEARISH",
            IF(SUM(IF(AT18="-", 0, IF(AT18&lt;0, -2, IF(AT18&gt;0, 2, 0))),
                    IF(AT19="-", 0, IF(AT19&lt;0, -2, IF(AT19&gt;0, 2, 0))),
                    IF(AT20="-", 0, IF(AT20&lt;0, -1, IF(AT20&gt;0, 1, 0)))) / 9 &gt; -0.1,
                "NEUTRO",
                "NEUTRO"
            )
        )
    )
)</f>
        <v>BEARISH</v>
      </c>
      <c r="AS17" s="353"/>
      <c r="AT17" s="354"/>
      <c r="AU17" s="352" t="str">
        <f>IF(AND(AW18="-",AW19="-",AW20="-"),
    "",
    IF(SUM(IF(AW18="-", 0, IF(AW18&lt;0, -2, IF(AW18&gt;0, 2, 0))),
            IF(AW19="-", 0, IF(AW19&lt;0, -2, IF(AW19&gt;0, 2, 0))),
            IF(AW20="-", 0, IF(AW20&lt;0, -1, IF(AW20&gt;0, 1, 0)))) / 9 &gt; 0.1,
        "BULLISH",
        IF(SUM(IF(AW18="-", 0, IF(AW18&lt;0, -2, IF(AW18&gt;0, 2, 0))),
                IF(AW19="-", 0, IF(AW19&lt;0, -2, IF(AW19&gt;0, 2, 0))),
                IF(AW20="-", 0, IF(AW20&lt;0, -1, IF(AW20&gt;0, 1, 0)))) / 9 &lt; -0.1,
            "BEARISH",
            IF(SUM(IF(AW18="-", 0, IF(AW18&lt;0, -2, IF(AW18&gt;0, 2, 0))),
                    IF(AW19="-", 0, IF(AW19&lt;0, -2, IF(AW19&gt;0, 2, 0))),
                    IF(AW20="-", 0, IF(AW20&lt;0, -1, IF(AW20&gt;0, 1, 0)))) / 9 &gt; -0.1,
                "NEUTRO",
                "NEUTRO"
            )
        )
    )
)</f>
        <v/>
      </c>
      <c r="AV17" s="353"/>
      <c r="AW17" s="354"/>
    </row>
    <row r="18" spans="1:49" x14ac:dyDescent="0.25">
      <c r="A18" s="26" t="s">
        <v>239</v>
      </c>
      <c r="B18" s="135"/>
      <c r="C18" s="135"/>
      <c r="D18" s="8" t="str">
        <f>IF(ISBLANK(B18),"-",B18-C18)</f>
        <v>-</v>
      </c>
      <c r="E18" s="135"/>
      <c r="F18" s="135"/>
      <c r="G18" s="8" t="str">
        <f>IF(ISBLANK(E18),"-",E18-F18)</f>
        <v>-</v>
      </c>
      <c r="H18" s="135"/>
      <c r="I18" s="135"/>
      <c r="J18" s="8" t="str">
        <f>IF(ISBLANK(H18),"-",H18-I18)</f>
        <v>-</v>
      </c>
      <c r="K18" s="135"/>
      <c r="L18" s="135"/>
      <c r="M18" s="8" t="str">
        <f>IF(ISBLANK(K18),"-",K18-L18)</f>
        <v>-</v>
      </c>
      <c r="N18" s="135"/>
      <c r="O18" s="135"/>
      <c r="P18" s="8" t="str">
        <f>IF(ISBLANK(N18),"-",N18-O18)</f>
        <v>-</v>
      </c>
      <c r="Q18" s="135"/>
      <c r="R18" s="135"/>
      <c r="S18" s="8" t="str">
        <f>IF(ISBLANK(Q18),"-",Q18-R18)</f>
        <v>-</v>
      </c>
      <c r="T18" s="134">
        <v>1.2E-2</v>
      </c>
      <c r="U18" s="134">
        <v>5.0000000000000001E-3</v>
      </c>
      <c r="V18" s="8">
        <f>IF(ISBLANK(T18),"-",T18-U18)</f>
        <v>7.0000000000000001E-3</v>
      </c>
      <c r="W18" s="134">
        <v>2E-3</v>
      </c>
      <c r="X18" s="134">
        <v>3.0000000000000001E-3</v>
      </c>
      <c r="Y18" s="8">
        <f>IF(ISBLANK(W18),"-",W18-X18)</f>
        <v>-1E-3</v>
      </c>
      <c r="Z18" s="134">
        <v>3.0000000000000001E-3</v>
      </c>
      <c r="AA18" s="134">
        <v>2E-3</v>
      </c>
      <c r="AB18" s="8">
        <f>IF(ISBLANK(Z18),"-",Z18-AA18)</f>
        <v>1E-3</v>
      </c>
      <c r="AC18" s="134">
        <v>2E-3</v>
      </c>
      <c r="AD18" s="134">
        <v>-1E-3</v>
      </c>
      <c r="AE18" s="8">
        <f>IF(ISBLANK(AC18),"-",AC18-AD18)</f>
        <v>3.0000000000000001E-3</v>
      </c>
      <c r="AF18" s="134">
        <v>-1E-3</v>
      </c>
      <c r="AG18" s="134">
        <v>5.0000000000000001E-3</v>
      </c>
      <c r="AH18" s="8">
        <f>IF(ISBLANK(AF18),"-",AF18-AG18)</f>
        <v>-6.0000000000000001E-3</v>
      </c>
      <c r="AI18" s="134">
        <v>6.0000000000000001E-3</v>
      </c>
      <c r="AJ18" s="134">
        <v>1E-3</v>
      </c>
      <c r="AK18" s="8">
        <f>IF(ISBLANK(AI18),"-",AI18-AJ18)</f>
        <v>5.0000000000000001E-3</v>
      </c>
      <c r="AL18" s="134">
        <v>7.0000000000000001E-3</v>
      </c>
      <c r="AM18" s="134">
        <v>1E-3</v>
      </c>
      <c r="AN18" s="8">
        <f>IF(ISBLANK(AL18),"-",AL18-AM18)</f>
        <v>6.0000000000000001E-3</v>
      </c>
      <c r="AO18" s="135">
        <v>0</v>
      </c>
      <c r="AP18" s="134">
        <v>5.0000000000000001E-3</v>
      </c>
      <c r="AQ18" s="8">
        <f>IF(ISBLANK(AO18),"-",AO18-AP18)</f>
        <v>-5.0000000000000001E-3</v>
      </c>
      <c r="AR18" s="134">
        <v>5.0000000000000001E-3</v>
      </c>
      <c r="AS18" s="134">
        <v>6.0000000000000001E-3</v>
      </c>
      <c r="AT18" s="8">
        <f>IF(ISBLANK(AR18),"-",AR18-AS18)</f>
        <v>-1E-3</v>
      </c>
      <c r="AU18" s="135"/>
      <c r="AV18" s="135"/>
      <c r="AW18" s="8" t="str">
        <f>IF(ISBLANK(AU18),"-",AU18-AV18)</f>
        <v>-</v>
      </c>
    </row>
    <row r="19" spans="1:49" x14ac:dyDescent="0.25">
      <c r="A19" s="15" t="s">
        <v>240</v>
      </c>
      <c r="B19" s="138"/>
      <c r="C19" s="138"/>
      <c r="D19" s="3" t="str">
        <f>IF(ISBLANK(B19),"-",B19-C19)</f>
        <v>-</v>
      </c>
      <c r="E19" s="138"/>
      <c r="F19" s="138"/>
      <c r="G19" s="3" t="str">
        <f>IF(ISBLANK(E19),"-",E19-F19)</f>
        <v>-</v>
      </c>
      <c r="H19" s="137">
        <v>-7.0000000000000001E-3</v>
      </c>
      <c r="I19" s="139">
        <v>-0.09</v>
      </c>
      <c r="J19" s="3">
        <f>IF(ISBLANK(H19),"-",H19-I19)</f>
        <v>8.299999999999999E-2</v>
      </c>
      <c r="K19" s="138"/>
      <c r="L19" s="138"/>
      <c r="M19" s="3" t="str">
        <f>IF(ISBLANK(K19),"-",K19-L19)</f>
        <v>-</v>
      </c>
      <c r="N19" s="137">
        <v>-3.5000000000000003E-2</v>
      </c>
      <c r="O19" s="137">
        <v>-3.1E-2</v>
      </c>
      <c r="P19" s="3">
        <f>IF(ISBLANK(N19),"-",N19-O19)</f>
        <v>-4.0000000000000036E-3</v>
      </c>
      <c r="Q19" s="137">
        <v>-3.1E-2</v>
      </c>
      <c r="R19" s="139">
        <v>6.0000000000000001E-3</v>
      </c>
      <c r="S19" s="3">
        <f>IF(ISBLANK(Q19),"-",Q19-R19)</f>
        <v>-3.6999999999999998E-2</v>
      </c>
      <c r="T19" s="137">
        <v>6.0000000000000001E-3</v>
      </c>
      <c r="U19" s="137">
        <v>5.0000000000000001E-3</v>
      </c>
      <c r="V19" s="3">
        <f>IF(ISBLANK(T19),"-",T19-U19)</f>
        <v>1E-3</v>
      </c>
      <c r="W19" s="137">
        <v>5.0000000000000001E-3</v>
      </c>
      <c r="X19" s="137">
        <v>2.1999999999999999E-2</v>
      </c>
      <c r="Y19" s="3">
        <f>IF(ISBLANK(W19),"-",W19-X19)</f>
        <v>-1.6999999999999998E-2</v>
      </c>
      <c r="Z19" s="139">
        <v>2.1999999999999999E-2</v>
      </c>
      <c r="AA19" s="139">
        <v>0.04</v>
      </c>
      <c r="AB19" s="3">
        <f>IF(ISBLANK(Z19),"-",Z19-AA19)</f>
        <v>-1.8000000000000002E-2</v>
      </c>
      <c r="AC19" s="139">
        <v>0.04</v>
      </c>
      <c r="AD19" s="137">
        <v>1E-3</v>
      </c>
      <c r="AE19" s="3">
        <f>IF(ISBLANK(AC19),"-",AC19-AD19)</f>
        <v>3.9E-2</v>
      </c>
      <c r="AF19" s="139">
        <v>-1E-3</v>
      </c>
      <c r="AG19" s="137">
        <v>5.2999999999999999E-2</v>
      </c>
      <c r="AH19" s="3">
        <f>IF(ISBLANK(AF19),"-",AF19-AG19)</f>
        <v>-5.3999999999999999E-2</v>
      </c>
      <c r="AI19" s="138"/>
      <c r="AJ19" s="138"/>
      <c r="AK19" s="3" t="str">
        <f>IF(ISBLANK(AI19),"-",AI19-AJ19)</f>
        <v>-</v>
      </c>
      <c r="AL19" s="137">
        <v>6.2E-2</v>
      </c>
      <c r="AM19" s="137">
        <v>-5.0000000000000001E-3</v>
      </c>
      <c r="AN19" s="3">
        <f>IF(ISBLANK(AL19),"-",AL19-AM19)</f>
        <v>6.7000000000000004E-2</v>
      </c>
      <c r="AO19" s="137">
        <v>-5.0000000000000001E-3</v>
      </c>
      <c r="AP19" s="137">
        <v>2.8000000000000001E-2</v>
      </c>
      <c r="AQ19" s="3">
        <f>IF(ISBLANK(AO19),"-",AO19-AP19)</f>
        <v>-3.3000000000000002E-2</v>
      </c>
      <c r="AR19" s="137">
        <v>-1.0999999999999999E-2</v>
      </c>
      <c r="AS19" s="137">
        <v>1.7000000000000001E-2</v>
      </c>
      <c r="AT19" s="3">
        <f>IF(ISBLANK(AR19),"-",AR19-AS19)</f>
        <v>-2.8000000000000001E-2</v>
      </c>
      <c r="AU19" s="138"/>
      <c r="AV19" s="138"/>
      <c r="AW19" s="3" t="str">
        <f>IF(ISBLANK(AU19),"-",AU19-AV19)</f>
        <v>-</v>
      </c>
    </row>
    <row r="20" spans="1:49" x14ac:dyDescent="0.25">
      <c r="A20" s="165" t="s">
        <v>241</v>
      </c>
      <c r="B20" s="169"/>
      <c r="C20" s="169"/>
      <c r="D20" s="170" t="str">
        <f>IF(ISBLANK(B20),"-",B20-C20)</f>
        <v>-</v>
      </c>
      <c r="E20" s="169"/>
      <c r="F20" s="169"/>
      <c r="G20" s="170" t="str">
        <f>IF(ISBLANK(E20),"-",E20-F20)</f>
        <v>-</v>
      </c>
      <c r="H20" s="166">
        <v>0.8</v>
      </c>
      <c r="I20" s="166">
        <v>7.0000000000000001E-3</v>
      </c>
      <c r="J20" s="170">
        <f>IF(ISBLANK(H20),"-",H20-I20)</f>
        <v>0.79300000000000004</v>
      </c>
      <c r="K20" s="169"/>
      <c r="L20" s="169"/>
      <c r="M20" s="170" t="str">
        <f>IF(ISBLANK(K20),"-",K20-L20)</f>
        <v>-</v>
      </c>
      <c r="N20" s="169"/>
      <c r="O20" s="169"/>
      <c r="P20" s="170" t="str">
        <f>IF(ISBLANK(N20),"-",N20-O20)</f>
        <v>-</v>
      </c>
      <c r="Q20" s="166">
        <v>6.0000000000000001E-3</v>
      </c>
      <c r="R20" s="166">
        <v>6.0000000000000001E-3</v>
      </c>
      <c r="S20" s="170">
        <f>IF(ISBLANK(Q20),"-",Q20-R20)</f>
        <v>0</v>
      </c>
      <c r="T20" s="166">
        <v>6.0000000000000001E-3</v>
      </c>
      <c r="U20" s="166">
        <v>6.0000000000000001E-3</v>
      </c>
      <c r="V20" s="170">
        <f>IF(ISBLANK(T20),"-",T20-U20)</f>
        <v>0</v>
      </c>
      <c r="W20" s="166">
        <v>5.0000000000000001E-3</v>
      </c>
      <c r="X20" s="166">
        <v>5.0000000000000001E-3</v>
      </c>
      <c r="Y20" s="170">
        <f>IF(ISBLANK(W20),"-",W20-X20)</f>
        <v>0</v>
      </c>
      <c r="Z20" s="166">
        <v>5.0000000000000001E-3</v>
      </c>
      <c r="AA20" s="166">
        <v>5.0000000000000001E-3</v>
      </c>
      <c r="AB20" s="170">
        <f>IF(ISBLANK(Z20),"-",Z20-AA20)</f>
        <v>0</v>
      </c>
      <c r="AC20" s="166">
        <v>5.0000000000000001E-3</v>
      </c>
      <c r="AD20" s="166">
        <v>6.0000000000000001E-3</v>
      </c>
      <c r="AE20" s="170">
        <f>IF(ISBLANK(AC20),"-",AC20-AD20)</f>
        <v>-1E-3</v>
      </c>
      <c r="AF20" s="166">
        <v>6.0000000000000001E-3</v>
      </c>
      <c r="AG20" s="166">
        <v>6.0000000000000001E-3</v>
      </c>
      <c r="AH20" s="170">
        <f>IF(ISBLANK(AF20),"-",AF20-AG20)</f>
        <v>0</v>
      </c>
      <c r="AI20" s="166">
        <v>6.0000000000000001E-3</v>
      </c>
      <c r="AJ20" s="166">
        <v>5.0000000000000001E-3</v>
      </c>
      <c r="AK20" s="170">
        <f>IF(ISBLANK(AI20),"-",AI20-AJ20)</f>
        <v>1E-3</v>
      </c>
      <c r="AL20" s="166">
        <v>5.0000000000000001E-3</v>
      </c>
      <c r="AM20" s="166">
        <v>5.0000000000000001E-3</v>
      </c>
      <c r="AN20" s="170">
        <f>IF(ISBLANK(AL20),"-",AL20-AM20)</f>
        <v>0</v>
      </c>
      <c r="AO20" s="166">
        <v>5.0000000000000001E-3</v>
      </c>
      <c r="AP20" s="166">
        <v>6.0000000000000001E-3</v>
      </c>
      <c r="AQ20" s="170">
        <f>IF(ISBLANK(AO20),"-",AO20-AP20)</f>
        <v>-1E-3</v>
      </c>
      <c r="AR20" s="166">
        <v>6.0000000000000001E-3</v>
      </c>
      <c r="AS20" s="166">
        <v>4.0000000000000001E-3</v>
      </c>
      <c r="AT20" s="170">
        <f>IF(ISBLANK(AR20),"-",AR20-AS20)</f>
        <v>2E-3</v>
      </c>
      <c r="AU20" s="169"/>
      <c r="AV20" s="169"/>
      <c r="AW20" s="170" t="str">
        <f>IF(ISBLANK(AU20),"-",AU20-AV20)</f>
        <v>-</v>
      </c>
    </row>
    <row r="21" spans="1:49" x14ac:dyDescent="0.25">
      <c r="A21" s="150" t="s">
        <v>50</v>
      </c>
      <c r="B21" s="352" t="str">
        <f>IF(AND(D22="-",D23="-",D24="-",D25="-",D26="-",D27="-",D28="-",D29="-",D30="-",D31="-",D32="-"),
    "",
    IF(SUM(IF(D22="-", 0, IF(D22&lt;0, -2, IF(D22&gt;0, 2, 0))),
            IF(D23="-", 0, IF(D23&lt;0, -2, IF(D23&gt;0, 2, 0))),
            IF(D24="-", 0, IF(D24&lt;0, -2, IF(D24&gt;0, 2, 0))),
            IF(D25="-", 0, IF(D25&lt;0, -2, IF(D25&gt;0, 2, 0))),
            IF(D26="-", 0, IF(D26&lt;0, -2, IF(D26&gt;0, 2, 0))),
            IF(D27="-", 0, IF(D27&lt;0, -1, IF(D27&gt;0, 1, 0))),
            IF(D28="-", 0, IF(D28&lt;0, -1, IF(D28&gt;0, 1, 0))),
            IF(D29="-", 0, IF(D29&lt;0, -1, IF(D29&gt;0, 1, 0))),
            IF(D30="-", 0, IF(D30&lt;0, -1, IF(D30&gt;0, 1, 0))),
            IF(D31="-", 0, IF(D31&lt;0, -1, IF(D31&gt;0, 1, 0))),
            IF(D32="-", 0, IF(D32&lt;0, -1, IF(D32&gt;0, 1, 0)))) / 16 &gt; 0.1,
        "BULLISH",
        IF(SUM(IF(D22="-", 0, IF(D22&lt;0, -2, IF(D22&gt;0, 2, 0))),
                IF(D23="-", 0, IF(D23&lt;0, -2, IF(D23&gt;0, 2, 0))),
                IF(D24="-", 0, IF(D24&lt;0, -2, IF(D24&gt;0, 2, 0))),
                IF(D25="-", 0, IF(D25&lt;0, -2, IF(D25&gt;0, 2, 0))),
                IF(D26="-", 0, IF(D26&lt;0, -2, IF(D26&gt;0, 2, 0))),
                IF(D27="-", 0, IF(D27&lt;0, -1, IF(D27&gt;0, 1, 0))),
                IF(D28="-", 0, IF(D28&lt;0, -1, IF(D28&gt;0, 1, 0))),
                IF(D29="-", 0, IF(D29&lt;0, -1, IF(D29&gt;0, 1, 0))),
                IF(D30="-", 0, IF(D30&lt;0, -1, IF(D30&gt;0, 1, 0))),
                IF(D31="-", 0, IF(D31&lt;0, -1, IF(D31&gt;0, 1, 0))),
                IF(D32="-", 0, IF(D32&lt;0, -1, IF(D32&gt;0, 1, 0)))) / 16 &lt; -0.1,
            "BEARISH",
            IF(SUM(IF(D22="-", 0, IF(D22&lt;0, -2, IF(D22&gt;0, 2, 0))),
                    IF(D23="-", 0, IF(D23&lt;0, -2, IF(D23&gt;0, 2, 0))),
                    IF(D24="-", 0, IF(D24&lt;0, -2, IF(D24&gt;0, 2, 0))),
                    IF(D25="-", 0, IF(D25&lt;0, -2, IF(D25&gt;0, 2, 0))),
                    IF(D26="-", 0, IF(D26&lt;0, -2, IF(D26&gt;0, 2, 0))),
                    IF(D27="-", 0, IF(D27&lt;0, -1, IF(D27&gt;0, 1, 0))),
                    IF(D28="-", 0, IF(D28&lt;0, -1, IF(D28&gt;0, 1, 0))),
                    IF(D29="-", 0, IF(D29&lt;0, -1, IF(D29&gt;0, 1, 0))),
                    IF(D30="-", 0, IF(D30&lt;0, -1, IF(D30&gt;0, 1, 0))),
                    IF(D31="-", 0, IF(D31&lt;0, -1, IF(D31&gt;0, 1, 0))),
                    IF(D32="-", 0, IF(D32&lt;0, -1, IF(D32&gt;0, 1, 0)))) / 16 &gt; -0.1,
                "NEUTRO",
                IF(SUM(IF(D22="-", 0, IF(D22&lt;0, -2, IF(D22&gt;0, 2, 0))),
                        IF(D23="-", 0, IF(D23&lt;0, -2, IF(D23&gt;0, 2, 0))),
                        IF(D24="-", 0, IF(D24&lt;0, -2, IF(D24&gt;0, 2, 0))),
                        IF(D25="-", 0, IF(D25&lt;0, -2, IF(D25&gt;0, 2, 0))),
                        IF(D26="-", 0, IF(D26&lt;0, -2, IF(D26&gt;0, 2, 0))),
                        IF(D27="-", 0, IF(D27&lt;0, -1, IF(D27&gt;0, 1, 0))),
                        IF(D28="-", 0, IF(D28&lt;0, -1, IF(D28&gt;0, 1, 0))),
                        IF(D29="-", 0, IF(D29&lt;0, -1, IF(D29&gt;0, 1, 0))),
                        IF(D30="-", 0, IF(D30&lt;0, -1, IF(D30&gt;0, 1, 0))),
                        IF(D31="-", 0, IF(D31&lt;0, -1, IF(D31&gt;0, 1, 0))),
                        IF(D32="-", 0, IF(D32&lt;0, -1, IF(D32&gt;0, 1, 0)))) / 16 &lt; 0.1,
                    "NEUTRO",
                    "")))))</f>
        <v/>
      </c>
      <c r="C21" s="353"/>
      <c r="D21" s="354"/>
      <c r="E21" s="352" t="str">
        <f>IF(AND(G22="-",G23="-",G24="-",G25="-",G26="-",G27="-",G28="-",G29="-",G30="-",G31="-",G32="-"),
    "",
    IF(SUM(IF(G22="-", 0, IF(G22&lt;0, -2, IF(G22&gt;0, 2, 0))),
            IF(G23="-", 0, IF(G23&lt;0, -2, IF(G23&gt;0, 2, 0))),
            IF(G24="-", 0, IF(G24&lt;0, -2, IF(G24&gt;0, 2, 0))),
            IF(G25="-", 0, IF(G25&lt;0, -2, IF(G25&gt;0, 2, 0))),
            IF(G26="-", 0, IF(G26&lt;0, -2, IF(G26&gt;0, 2, 0))),
            IF(G27="-", 0, IF(G27&lt;0, -1, IF(G27&gt;0, 1, 0))),
            IF(G28="-", 0, IF(G28&lt;0, -1, IF(G28&gt;0, 1, 0))),
            IF(G29="-", 0, IF(G29&lt;0, -1, IF(G29&gt;0, 1, 0))),
            IF(G30="-", 0, IF(G30&lt;0, -1, IF(G30&gt;0, 1, 0))),
            IF(G31="-", 0, IF(G31&lt;0, -1, IF(G31&gt;0, 1, 0))),
            IF(G32="-", 0, IF(G32&lt;0, -1, IF(G32&gt;0, 1, 0)))) / 16 &gt; 0.1,
        "BULLISH",
        IF(SUM(IF(G22="-", 0, IF(G22&lt;0, -2, IF(G22&gt;0, 2, 0))),
                IF(G23="-", 0, IF(G23&lt;0, -2, IF(G23&gt;0, 2, 0))),
                IF(G24="-", 0, IF(G24&lt;0, -2, IF(G24&gt;0, 2, 0))),
                IF(G25="-", 0, IF(G25&lt;0, -2, IF(G25&gt;0, 2, 0))),
                IF(G26="-", 0, IF(G26&lt;0, -2, IF(G26&gt;0, 2, 0))),
                IF(G27="-", 0, IF(G27&lt;0, -1, IF(G27&gt;0, 1, 0))),
                IF(G28="-", 0, IF(G28&lt;0, -1, IF(G28&gt;0, 1, 0))),
                IF(G29="-", 0, IF(G29&lt;0, -1, IF(G29&gt;0, 1, 0))),
                IF(G30="-", 0, IF(G30&lt;0, -1, IF(G30&gt;0, 1, 0))),
                IF(G31="-", 0, IF(G31&lt;0, -1, IF(G31&gt;0, 1, 0))),
                IF(G32="-", 0, IF(G32&lt;0, -1, IF(G32&gt;0, 1, 0)))) / 16 &lt; -0.1,
            "BEARISH",
            IF(SUM(IF(G22="-", 0, IF(G22&lt;0, -2, IF(G22&gt;0, 2, 0))),
                    IF(G23="-", 0, IF(G23&lt;0, -2, IF(G23&gt;0, 2, 0))),
                    IF(G24="-", 0, IF(G24&lt;0, -2, IF(G24&gt;0, 2, 0))),
                    IF(G25="-", 0, IF(G25&lt;0, -2, IF(G25&gt;0, 2, 0))),
                    IF(G26="-", 0, IF(G26&lt;0, -2, IF(G26&gt;0, 2, 0))),
                    IF(G27="-", 0, IF(G27&lt;0, -1, IF(G27&gt;0, 1, 0))),
                    IF(G28="-", 0, IF(G28&lt;0, -1, IF(G28&gt;0, 1, 0))),
                    IF(G29="-", 0, IF(G29&lt;0, -1, IF(G29&gt;0, 1, 0))),
                    IF(G30="-", 0, IF(G30&lt;0, -1, IF(G30&gt;0, 1, 0))),
                    IF(G31="-", 0, IF(G31&lt;0, -1, IF(G31&gt;0, 1, 0))),
                    IF(G32="-", 0, IF(G32&lt;0, -1, IF(G32&gt;0, 1, 0)))) / 16 &gt; -0.1,
                "NEUTRO",
                IF(SUM(IF(G22="-", 0, IF(G22&lt;0, -2, IF(G22&gt;0, 2, 0))),
                        IF(G23="-", 0, IF(G23&lt;0, -2, IF(G23&gt;0, 2, 0))),
                        IF(G24="-", 0, IF(G24&lt;0, -2, IF(G24&gt;0, 2, 0))),
                        IF(G25="-", 0, IF(G25&lt;0, -2, IF(G25&gt;0, 2, 0))),
                        IF(G26="-", 0, IF(G26&lt;0, -2, IF(G26&gt;0, 2, 0))),
                        IF(G27="-", 0, IF(G27&lt;0, -1, IF(G27&gt;0, 1, 0))),
                        IF(G28="-", 0, IF(G28&lt;0, -1, IF(G28&gt;0, 1, 0))),
                        IF(G29="-", 0, IF(G29&lt;0, -1, IF(G29&gt;0, 1, 0))),
                        IF(G30="-", 0, IF(G30&lt;0, -1, IF(G30&gt;0, 1, 0))),
                        IF(G31="-", 0, IF(G31&lt;0, -1, IF(G31&gt;0, 1, 0))),
                        IF(G32="-", 0, IF(G32&lt;0, -1, IF(G32&gt;0, 1, 0)))) / 16 &lt; 0.1,
                    "NEUTRO",
                    "")))))</f>
        <v/>
      </c>
      <c r="F21" s="353"/>
      <c r="G21" s="354"/>
      <c r="H21" s="352" t="str">
        <f>IF(AND(J22="-",J23="-",J24="-",J25="-",J26="-",J27="-",J28="-",J29="-",J30="-",J31="-",J32="-"),
    "",
    IF(SUM(IF(J22="-", 0, IF(J22&lt;0, -2, IF(J22&gt;0, 2, 0))),
            IF(J23="-", 0, IF(J23&lt;0, -2, IF(J23&gt;0, 2, 0))),
            IF(J24="-", 0, IF(J24&lt;0, -2, IF(J24&gt;0, 2, 0))),
            IF(J25="-", 0, IF(J25&lt;0, -2, IF(J25&gt;0, 2, 0))),
            IF(J26="-", 0, IF(J26&lt;0, -2, IF(J26&gt;0, 2, 0))),
            IF(J27="-", 0, IF(J27&lt;0, -1, IF(J27&gt;0, 1, 0))),
            IF(J28="-", 0, IF(J28&lt;0, -1, IF(J28&gt;0, 1, 0))),
            IF(J29="-", 0, IF(J29&lt;0, -1, IF(J29&gt;0, 1, 0))),
            IF(J30="-", 0, IF(J30&lt;0, -1, IF(J30&gt;0, 1, 0))),
            IF(J31="-", 0, IF(J31&lt;0, -1, IF(J31&gt;0, 1, 0))),
            IF(J32="-", 0, IF(J32&lt;0, -1, IF(J32&gt;0, 1, 0)))) / 16 &gt; 0.1,
        "BULLISH",
        IF(SUM(IF(J22="-", 0, IF(J22&lt;0, -2, IF(J22&gt;0, 2, 0))),
                IF(J23="-", 0, IF(J23&lt;0, -2, IF(J23&gt;0, 2, 0))),
                IF(J24="-", 0, IF(J24&lt;0, -2, IF(J24&gt;0, 2, 0))),
                IF(J25="-", 0, IF(J25&lt;0, -2, IF(J25&gt;0, 2, 0))),
                IF(J26="-", 0, IF(J26&lt;0, -2, IF(J26&gt;0, 2, 0))),
                IF(J27="-", 0, IF(J27&lt;0, -1, IF(J27&gt;0, 1, 0))),
                IF(J28="-", 0, IF(J28&lt;0, -1, IF(J28&gt;0, 1, 0))),
                IF(J29="-", 0, IF(J29&lt;0, -1, IF(J29&gt;0, 1, 0))),
                IF(J30="-", 0, IF(J30&lt;0, -1, IF(J30&gt;0, 1, 0))),
                IF(J31="-", 0, IF(J31&lt;0, -1, IF(J31&gt;0, 1, 0))),
                IF(J32="-", 0, IF(J32&lt;0, -1, IF(J32&gt;0, 1, 0)))) / 16 &lt; -0.1,
            "BEARISH",
            IF(SUM(IF(J22="-", 0, IF(J22&lt;0, -2, IF(J22&gt;0, 2, 0))),
                    IF(J23="-", 0, IF(J23&lt;0, -2, IF(J23&gt;0, 2, 0))),
                    IF(J24="-", 0, IF(J24&lt;0, -2, IF(J24&gt;0, 2, 0))),
                    IF(J25="-", 0, IF(J25&lt;0, -2, IF(J25&gt;0, 2, 0))),
                    IF(J26="-", 0, IF(J26&lt;0, -2, IF(J26&gt;0, 2, 0))),
                    IF(J27="-", 0, IF(J27&lt;0, -1, IF(J27&gt;0, 1, 0))),
                    IF(J28="-", 0, IF(J28&lt;0, -1, IF(J28&gt;0, 1, 0))),
                    IF(J29="-", 0, IF(J29&lt;0, -1, IF(J29&gt;0, 1, 0))),
                    IF(J30="-", 0, IF(J30&lt;0, -1, IF(J30&gt;0, 1, 0))),
                    IF(J31="-", 0, IF(J31&lt;0, -1, IF(J31&gt;0, 1, 0))),
                    IF(J32="-", 0, IF(J32&lt;0, -1, IF(J32&gt;0, 1, 0)))) / 16 &gt; -0.1,
                "NEUTRO",
                IF(SUM(IF(J22="-", 0, IF(J22&lt;0, -2, IF(J22&gt;0, 2, 0))),
                        IF(J23="-", 0, IF(J23&lt;0, -2, IF(J23&gt;0, 2, 0))),
                        IF(J24="-", 0, IF(J24&lt;0, -2, IF(J24&gt;0, 2, 0))),
                        IF(J25="-", 0, IF(J25&lt;0, -2, IF(J25&gt;0, 2, 0))),
                        IF(J26="-", 0, IF(J26&lt;0, -2, IF(J26&gt;0, 2, 0))),
                        IF(J27="-", 0, IF(J27&lt;0, -1, IF(J27&gt;0, 1, 0))),
                        IF(J28="-", 0, IF(J28&lt;0, -1, IF(J28&gt;0, 1, 0))),
                        IF(J29="-", 0, IF(J29&lt;0, -1, IF(J29&gt;0, 1, 0))),
                        IF(J30="-", 0, IF(J30&lt;0, -1, IF(J30&gt;0, 1, 0))),
                        IF(J31="-", 0, IF(J31&lt;0, -1, IF(J31&gt;0, 1, 0))),
                        IF(J32="-", 0, IF(J32&lt;0, -1, IF(J32&gt;0, 1, 0)))) / 16 &lt; 0.1,
                    "NEUTRO",
                    "")))))</f>
        <v>BULLISH</v>
      </c>
      <c r="I21" s="353"/>
      <c r="J21" s="354"/>
      <c r="K21" s="352" t="str">
        <f>IF(AND(M22="-",M23="-",M24="-",M25="-",M26="-",M27="-",M28="-",M29="-",M30="-",M31="-",M32="-"),
    "",
    IF(SUM(IF(M22="-", 0, IF(M22&lt;0, -2, IF(M22&gt;0, 2, 0))),
            IF(M23="-", 0, IF(M23&lt;0, -2, IF(M23&gt;0, 2, 0))),
            IF(M24="-", 0, IF(M24&lt;0, -2, IF(M24&gt;0, 2, 0))),
            IF(M25="-", 0, IF(M25&lt;0, -2, IF(M25&gt;0, 2, 0))),
            IF(M26="-", 0, IF(M26&lt;0, -2, IF(M26&gt;0, 2, 0))),
            IF(M27="-", 0, IF(M27&lt;0, -1, IF(M27&gt;0, 1, 0))),
            IF(M28="-", 0, IF(M28&lt;0, -1, IF(M28&gt;0, 1, 0))),
            IF(M29="-", 0, IF(M29&lt;0, -1, IF(M29&gt;0, 1, 0))),
            IF(M30="-", 0, IF(M30&lt;0, -1, IF(M30&gt;0, 1, 0))),
            IF(M31="-", 0, IF(M31&lt;0, -1, IF(M31&gt;0, 1, 0))),
            IF(M32="-", 0, IF(M32&lt;0, -1, IF(M32&gt;0, 1, 0)))) / 16 &gt; 0.1,
        "BULLISH",
        IF(SUM(IF(M22="-", 0, IF(M22&lt;0, -2, IF(M22&gt;0, 2, 0))),
                IF(M23="-", 0, IF(M23&lt;0, -2, IF(M23&gt;0, 2, 0))),
                IF(M24="-", 0, IF(M24&lt;0, -2, IF(M24&gt;0, 2, 0))),
                IF(M25="-", 0, IF(M25&lt;0, -2, IF(M25&gt;0, 2, 0))),
                IF(M26="-", 0, IF(M26&lt;0, -2, IF(M26&gt;0, 2, 0))),
                IF(M27="-", 0, IF(M27&lt;0, -1, IF(M27&gt;0, 1, 0))),
                IF(M28="-", 0, IF(M28&lt;0, -1, IF(M28&gt;0, 1, 0))),
                IF(M29="-", 0, IF(M29&lt;0, -1, IF(M29&gt;0, 1, 0))),
                IF(M30="-", 0, IF(M30&lt;0, -1, IF(M30&gt;0, 1, 0))),
                IF(M31="-", 0, IF(M31&lt;0, -1, IF(M31&gt;0, 1, 0))),
                IF(M32="-", 0, IF(M32&lt;0, -1, IF(M32&gt;0, 1, 0)))) / 16 &lt; -0.1,
            "BEARISH",
            IF(SUM(IF(M22="-", 0, IF(M22&lt;0, -2, IF(M22&gt;0, 2, 0))),
                    IF(M23="-", 0, IF(M23&lt;0, -2, IF(M23&gt;0, 2, 0))),
                    IF(M24="-", 0, IF(M24&lt;0, -2, IF(M24&gt;0, 2, 0))),
                    IF(M25="-", 0, IF(M25&lt;0, -2, IF(M25&gt;0, 2, 0))),
                    IF(M26="-", 0, IF(M26&lt;0, -2, IF(M26&gt;0, 2, 0))),
                    IF(M27="-", 0, IF(M27&lt;0, -1, IF(M27&gt;0, 1, 0))),
                    IF(M28="-", 0, IF(M28&lt;0, -1, IF(M28&gt;0, 1, 0))),
                    IF(M29="-", 0, IF(M29&lt;0, -1, IF(M29&gt;0, 1, 0))),
                    IF(M30="-", 0, IF(M30&lt;0, -1, IF(M30&gt;0, 1, 0))),
                    IF(M31="-", 0, IF(M31&lt;0, -1, IF(M31&gt;0, 1, 0))),
                    IF(M32="-", 0, IF(M32&lt;0, -1, IF(M32&gt;0, 1, 0)))) / 16 &gt; -0.1,
                "NEUTRO",
                IF(SUM(IF(M22="-", 0, IF(M22&lt;0, -2, IF(M22&gt;0, 2, 0))),
                        IF(M23="-", 0, IF(M23&lt;0, -2, IF(M23&gt;0, 2, 0))),
                        IF(M24="-", 0, IF(M24&lt;0, -2, IF(M24&gt;0, 2, 0))),
                        IF(M25="-", 0, IF(M25&lt;0, -2, IF(M25&gt;0, 2, 0))),
                        IF(M26="-", 0, IF(M26&lt;0, -2, IF(M26&gt;0, 2, 0))),
                        IF(M27="-", 0, IF(M27&lt;0, -1, IF(M27&gt;0, 1, 0))),
                        IF(M28="-", 0, IF(M28&lt;0, -1, IF(M28&gt;0, 1, 0))),
                        IF(M29="-", 0, IF(M29&lt;0, -1, IF(M29&gt;0, 1, 0))),
                        IF(M30="-", 0, IF(M30&lt;0, -1, IF(M30&gt;0, 1, 0))),
                        IF(M31="-", 0, IF(M31&lt;0, -1, IF(M31&gt;0, 1, 0))),
                        IF(M32="-", 0, IF(M32&lt;0, -1, IF(M32&gt;0, 1, 0)))) / 16 &lt; 0.1,
                    "NEUTRO",
                    "")))))</f>
        <v/>
      </c>
      <c r="L21" s="353"/>
      <c r="M21" s="354"/>
      <c r="N21" s="352" t="str">
        <f>IF(AND(P22="-",P23="-",P24="-",P25="-",P26="-",P27="-",P28="-",P29="-",P30="-",P31="-",P32="-"),
    "",
    IF(SUM(IF(P22="-", 0, IF(P22&lt;0, -2, IF(P22&gt;0, 2, 0))),
            IF(P23="-", 0, IF(P23&lt;0, -2, IF(P23&gt;0, 2, 0))),
            IF(P24="-", 0, IF(P24&lt;0, -2, IF(P24&gt;0, 2, 0))),
            IF(P25="-", 0, IF(P25&lt;0, -2, IF(P25&gt;0, 2, 0))),
            IF(P26="-", 0, IF(P26&lt;0, -2, IF(P26&gt;0, 2, 0))),
            IF(P27="-", 0, IF(P27&lt;0, -1, IF(P27&gt;0, 1, 0))),
            IF(P28="-", 0, IF(P28&lt;0, -1, IF(P28&gt;0, 1, 0))),
            IF(P29="-", 0, IF(P29&lt;0, -1, IF(P29&gt;0, 1, 0))),
            IF(P30="-", 0, IF(P30&lt;0, -1, IF(P30&gt;0, 1, 0))),
            IF(P31="-", 0, IF(P31&lt;0, -1, IF(P31&gt;0, 1, 0))),
            IF(P32="-", 0, IF(P32&lt;0, -1, IF(P32&gt;0, 1, 0)))) / 16 &gt; 0.1,
        "BULLISH",
        IF(SUM(IF(P22="-", 0, IF(P22&lt;0, -2, IF(P22&gt;0, 2, 0))),
                IF(P23="-", 0, IF(P23&lt;0, -2, IF(P23&gt;0, 2, 0))),
                IF(P24="-", 0, IF(P24&lt;0, -2, IF(P24&gt;0, 2, 0))),
                IF(P25="-", 0, IF(P25&lt;0, -2, IF(P25&gt;0, 2, 0))),
                IF(P26="-", 0, IF(P26&lt;0, -2, IF(P26&gt;0, 2, 0))),
                IF(P27="-", 0, IF(P27&lt;0, -1, IF(P27&gt;0, 1, 0))),
                IF(P28="-", 0, IF(P28&lt;0, -1, IF(P28&gt;0, 1, 0))),
                IF(P29="-", 0, IF(P29&lt;0, -1, IF(P29&gt;0, 1, 0))),
                IF(P30="-", 0, IF(P30&lt;0, -1, IF(P30&gt;0, 1, 0))),
                IF(P31="-", 0, IF(P31&lt;0, -1, IF(P31&gt;0, 1, 0))),
                IF(P32="-", 0, IF(P32&lt;0, -1, IF(P32&gt;0, 1, 0)))) / 16 &lt; -0.1,
            "BEARISH",
            IF(SUM(IF(P22="-", 0, IF(P22&lt;0, -2, IF(P22&gt;0, 2, 0))),
                    IF(P23="-", 0, IF(P23&lt;0, -2, IF(P23&gt;0, 2, 0))),
                    IF(P24="-", 0, IF(P24&lt;0, -2, IF(P24&gt;0, 2, 0))),
                    IF(P25="-", 0, IF(P25&lt;0, -2, IF(P25&gt;0, 2, 0))),
                    IF(P26="-", 0, IF(P26&lt;0, -2, IF(P26&gt;0, 2, 0))),
                    IF(P27="-", 0, IF(P27&lt;0, -1, IF(P27&gt;0, 1, 0))),
                    IF(P28="-", 0, IF(P28&lt;0, -1, IF(P28&gt;0, 1, 0))),
                    IF(P29="-", 0, IF(P29&lt;0, -1, IF(P29&gt;0, 1, 0))),
                    IF(P30="-", 0, IF(P30&lt;0, -1, IF(P30&gt;0, 1, 0))),
                    IF(P31="-", 0, IF(P31&lt;0, -1, IF(P31&gt;0, 1, 0))),
                    IF(P32="-", 0, IF(P32&lt;0, -1, IF(P32&gt;0, 1, 0)))) / 16 &gt; -0.1,
                "NEUTRO",
                IF(SUM(IF(P22="-", 0, IF(P22&lt;0, -2, IF(P22&gt;0, 2, 0))),
                        IF(P23="-", 0, IF(P23&lt;0, -2, IF(P23&gt;0, 2, 0))),
                        IF(P24="-", 0, IF(P24&lt;0, -2, IF(P24&gt;0, 2, 0))),
                        IF(P25="-", 0, IF(P25&lt;0, -2, IF(P25&gt;0, 2, 0))),
                        IF(P26="-", 0, IF(P26&lt;0, -2, IF(P26&gt;0, 2, 0))),
                        IF(P27="-", 0, IF(P27&lt;0, -1, IF(P27&gt;0, 1, 0))),
                        IF(P28="-", 0, IF(P28&lt;0, -1, IF(P28&gt;0, 1, 0))),
                        IF(P29="-", 0, IF(P29&lt;0, -1, IF(P29&gt;0, 1, 0))),
                        IF(P30="-", 0, IF(P30&lt;0, -1, IF(P30&gt;0, 1, 0))),
                        IF(P31="-", 0, IF(P31&lt;0, -1, IF(P31&gt;0, 1, 0))),
                        IF(P32="-", 0, IF(P32&lt;0, -1, IF(P32&gt;0, 1, 0)))) / 16 &lt; 0.1,
                    "NEUTRO",
                    "")))))</f>
        <v>NEUTRO</v>
      </c>
      <c r="O21" s="353"/>
      <c r="P21" s="354"/>
      <c r="Q21" s="352" t="str">
        <f>IF(AND(S22="-",S23="-",S24="-",S25="-",S26="-",S27="-",S28="-",S29="-",S30="-",S31="-",S32="-"),
    "",
    IF(SUM(IF(S22="-", 0, IF(S22&lt;0, -2, IF(S22&gt;0, 2, 0))),
            IF(S23="-", 0, IF(S23&lt;0, -2, IF(S23&gt;0, 2, 0))),
            IF(S24="-", 0, IF(S24&lt;0, -2, IF(S24&gt;0, 2, 0))),
            IF(S25="-", 0, IF(S25&lt;0, -2, IF(S25&gt;0, 2, 0))),
            IF(S26="-", 0, IF(S26&lt;0, -2, IF(S26&gt;0, 2, 0))),
            IF(S27="-", 0, IF(S27&lt;0, -1, IF(S27&gt;0, 1, 0))),
            IF(S28="-", 0, IF(S28&lt;0, -1, IF(S28&gt;0, 1, 0))),
            IF(S29="-", 0, IF(S29&lt;0, -1, IF(S29&gt;0, 1, 0))),
            IF(S30="-", 0, IF(S30&lt;0, -1, IF(S30&gt;0, 1, 0))),
            IF(S31="-", 0, IF(S31&lt;0, -1, IF(S31&gt;0, 1, 0))),
            IF(S32="-", 0, IF(S32&lt;0, -1, IF(S32&gt;0, 1, 0)))) / 16 &gt; 0.1,
        "BULLISH",
        IF(SUM(IF(S22="-", 0, IF(S22&lt;0, -2, IF(S22&gt;0, 2, 0))),
                IF(S23="-", 0, IF(S23&lt;0, -2, IF(S23&gt;0, 2, 0))),
                IF(S24="-", 0, IF(S24&lt;0, -2, IF(S24&gt;0, 2, 0))),
                IF(S25="-", 0, IF(S25&lt;0, -2, IF(S25&gt;0, 2, 0))),
                IF(S26="-", 0, IF(S26&lt;0, -2, IF(S26&gt;0, 2, 0))),
                IF(S27="-", 0, IF(S27&lt;0, -1, IF(S27&gt;0, 1, 0))),
                IF(S28="-", 0, IF(S28&lt;0, -1, IF(S28&gt;0, 1, 0))),
                IF(S29="-", 0, IF(S29&lt;0, -1, IF(S29&gt;0, 1, 0))),
                IF(S30="-", 0, IF(S30&lt;0, -1, IF(S30&gt;0, 1, 0))),
                IF(S31="-", 0, IF(S31&lt;0, -1, IF(S31&gt;0, 1, 0))),
                IF(S32="-", 0, IF(S32&lt;0, -1, IF(S32&gt;0, 1, 0)))) / 16 &lt; -0.1,
            "BEARISH",
            IF(SUM(IF(S22="-", 0, IF(S22&lt;0, -2, IF(S22&gt;0, 2, 0))),
                    IF(S23="-", 0, IF(S23&lt;0, -2, IF(S23&gt;0, 2, 0))),
                    IF(S24="-", 0, IF(S24&lt;0, -2, IF(S24&gt;0, 2, 0))),
                    IF(S25="-", 0, IF(S25&lt;0, -2, IF(S25&gt;0, 2, 0))),
                    IF(S26="-", 0, IF(S26&lt;0, -2, IF(S26&gt;0, 2, 0))),
                    IF(S27="-", 0, IF(S27&lt;0, -1, IF(S27&gt;0, 1, 0))),
                    IF(S28="-", 0, IF(S28&lt;0, -1, IF(S28&gt;0, 1, 0))),
                    IF(S29="-", 0, IF(S29&lt;0, -1, IF(S29&gt;0, 1, 0))),
                    IF(S30="-", 0, IF(S30&lt;0, -1, IF(S30&gt;0, 1, 0))),
                    IF(S31="-", 0, IF(S31&lt;0, -1, IF(S31&gt;0, 1, 0))),
                    IF(S32="-", 0, IF(S32&lt;0, -1, IF(S32&gt;0, 1, 0)))) / 16 &gt; -0.1,
                "NEUTRO",
                IF(SUM(IF(S22="-", 0, IF(S22&lt;0, -2, IF(S22&gt;0, 2, 0))),
                        IF(S23="-", 0, IF(S23&lt;0, -2, IF(S23&gt;0, 2, 0))),
                        IF(S24="-", 0, IF(S24&lt;0, -2, IF(S24&gt;0, 2, 0))),
                        IF(S25="-", 0, IF(S25&lt;0, -2, IF(S25&gt;0, 2, 0))),
                        IF(S26="-", 0, IF(S26&lt;0, -2, IF(S26&gt;0, 2, 0))),
                        IF(S27="-", 0, IF(S27&lt;0, -1, IF(S27&gt;0, 1, 0))),
                        IF(S28="-", 0, IF(S28&lt;0, -1, IF(S28&gt;0, 1, 0))),
                        IF(S29="-", 0, IF(S29&lt;0, -1, IF(S29&gt;0, 1, 0))),
                        IF(S30="-", 0, IF(S30&lt;0, -1, IF(S30&gt;0, 1, 0))),
                        IF(S31="-", 0, IF(S31&lt;0, -1, IF(S31&gt;0, 1, 0))),
                        IF(S32="-", 0, IF(S32&lt;0, -1, IF(S32&gt;0, 1, 0)))) / 16 &lt; 0.1,
                    "NEUTRO",
                    "")))))</f>
        <v>NEUTRO</v>
      </c>
      <c r="R21" s="353"/>
      <c r="S21" s="354"/>
      <c r="T21" s="352" t="str">
        <f>IF(AND(V22="-",V23="-",V24="-",V25="-",V26="-",V27="-",V28="-",V29="-",V30="-",V31="-",V32="-"),
    "",
    IF(SUM(IF(V22="-", 0, IF(V22&lt;0, -2, IF(V22&gt;0, 2, 0))),
            IF(V23="-", 0, IF(V23&lt;0, -2, IF(V23&gt;0, 2, 0))),
            IF(V24="-", 0, IF(V24&lt;0, -2, IF(V24&gt;0, 2, 0))),
            IF(V25="-", 0, IF(V25&lt;0, -2, IF(V25&gt;0, 2, 0))),
            IF(V26="-", 0, IF(V26&lt;0, -2, IF(V26&gt;0, 2, 0))),
            IF(V27="-", 0, IF(V27&lt;0, -1, IF(V27&gt;0, 1, 0))),
            IF(V28="-", 0, IF(V28&lt;0, -1, IF(V28&gt;0, 1, 0))),
            IF(V29="-", 0, IF(V29&lt;0, -1, IF(V29&gt;0, 1, 0))),
            IF(V30="-", 0, IF(V30&lt;0, -1, IF(V30&gt;0, 1, 0))),
            IF(V31="-", 0, IF(V31&lt;0, -1, IF(V31&gt;0, 1, 0))),
            IF(V32="-", 0, IF(V32&lt;0, -1, IF(V32&gt;0, 1, 0)))) / 16 &gt; 0.1,
        "BULLISH",
        IF(SUM(IF(V22="-", 0, IF(V22&lt;0, -2, IF(V22&gt;0, 2, 0))),
                IF(V23="-", 0, IF(V23&lt;0, -2, IF(V23&gt;0, 2, 0))),
                IF(V24="-", 0, IF(V24&lt;0, -2, IF(V24&gt;0, 2, 0))),
                IF(V25="-", 0, IF(V25&lt;0, -2, IF(V25&gt;0, 2, 0))),
                IF(V26="-", 0, IF(V26&lt;0, -2, IF(V26&gt;0, 2, 0))),
                IF(V27="-", 0, IF(V27&lt;0, -1, IF(V27&gt;0, 1, 0))),
                IF(V28="-", 0, IF(V28&lt;0, -1, IF(V28&gt;0, 1, 0))),
                IF(V29="-", 0, IF(V29&lt;0, -1, IF(V29&gt;0, 1, 0))),
                IF(V30="-", 0, IF(V30&lt;0, -1, IF(V30&gt;0, 1, 0))),
                IF(V31="-", 0, IF(V31&lt;0, -1, IF(V31&gt;0, 1, 0))),
                IF(V32="-", 0, IF(V32&lt;0, -1, IF(V32&gt;0, 1, 0)))) / 16 &lt; -0.1,
            "BEARISH",
            IF(SUM(IF(V22="-", 0, IF(V22&lt;0, -2, IF(V22&gt;0, 2, 0))),
                    IF(V23="-", 0, IF(V23&lt;0, -2, IF(V23&gt;0, 2, 0))),
                    IF(V24="-", 0, IF(V24&lt;0, -2, IF(V24&gt;0, 2, 0))),
                    IF(V25="-", 0, IF(V25&lt;0, -2, IF(V25&gt;0, 2, 0))),
                    IF(V26="-", 0, IF(V26&lt;0, -2, IF(V26&gt;0, 2, 0))),
                    IF(V27="-", 0, IF(V27&lt;0, -1, IF(V27&gt;0, 1, 0))),
                    IF(V28="-", 0, IF(V28&lt;0, -1, IF(V28&gt;0, 1, 0))),
                    IF(V29="-", 0, IF(V29&lt;0, -1, IF(V29&gt;0, 1, 0))),
                    IF(V30="-", 0, IF(V30&lt;0, -1, IF(V30&gt;0, 1, 0))),
                    IF(V31="-", 0, IF(V31&lt;0, -1, IF(V31&gt;0, 1, 0))),
                    IF(V32="-", 0, IF(V32&lt;0, -1, IF(V32&gt;0, 1, 0)))) / 16 &gt; -0.1,
                "NEUTRO",
                IF(SUM(IF(V22="-", 0, IF(V22&lt;0, -2, IF(V22&gt;0, 2, 0))),
                        IF(V23="-", 0, IF(V23&lt;0, -2, IF(V23&gt;0, 2, 0))),
                        IF(V24="-", 0, IF(V24&lt;0, -2, IF(V24&gt;0, 2, 0))),
                        IF(V25="-", 0, IF(V25&lt;0, -2, IF(V25&gt;0, 2, 0))),
                        IF(V26="-", 0, IF(V26&lt;0, -2, IF(V26&gt;0, 2, 0))),
                        IF(V27="-", 0, IF(V27&lt;0, -1, IF(V27&gt;0, 1, 0))),
                        IF(V28="-", 0, IF(V28&lt;0, -1, IF(V28&gt;0, 1, 0))),
                        IF(V29="-", 0, IF(V29&lt;0, -1, IF(V29&gt;0, 1, 0))),
                        IF(V30="-", 0, IF(V30&lt;0, -1, IF(V30&gt;0, 1, 0))),
                        IF(V31="-", 0, IF(V31&lt;0, -1, IF(V31&gt;0, 1, 0))),
                        IF(V32="-", 0, IF(V32&lt;0, -1, IF(V32&gt;0, 1, 0)))) / 16 &lt; 0.1,
                    "NEUTRO",
                    "")))))</f>
        <v>BULLISH</v>
      </c>
      <c r="U21" s="353"/>
      <c r="V21" s="354"/>
      <c r="W21" s="352" t="str">
        <f>IF(AND(Y22="-",AE23="-",AE24="-",AE25="-",AE26="-",AE27="-",AE28="-",AE29="-",AE30="-",AE31="-",AE32="-"),
    "",
    IF(SUM(IF(AE22="-", 0, IF(AE22&lt;0, -2, IF(AE22&gt;0, 2, 0))),
            IF(AE23="-", 0, IF(AE23&lt;0, -2, IF(AE23&gt;0, 2, 0))),
            IF(AE24="-", 0, IF(AE24&lt;0, -2, IF(AE24&gt;0, 2, 0))),
            IF(AE25="-", 0, IF(AE25&lt;0, -2, IF(AE25&gt;0, 2, 0))),
            IF(AE26="-", 0, IF(AE26&lt;0, -2, IF(AE26&gt;0, 2, 0))),
            IF(AE27="-", 0, IF(AE27&lt;0, -1, IF(AE27&gt;0, 1, 0))),
            IF(AE28="-", 0, IF(AE28&lt;0, -1, IF(AE28&gt;0, 1, 0))),
            IF(AE29="-", 0, IF(AE29&lt;0, -1, IF(AE29&gt;0, 1, 0))),
            IF(AE30="-", 0, IF(AE30&lt;0, -1, IF(AE30&gt;0, 1, 0))),
            IF(AE31="-", 0, IF(AE31&lt;0, -1, IF(AE31&gt;0, 1, 0))),
            IF(AE32="-", 0, IF(AE32&lt;0, -1, IF(AE32&gt;0, 1, 0)))) / 16 &gt; 0.1,
        "BULLISH",
        IF(SUM(IF(AE22="-", 0, IF(AE22&lt;0, -2, IF(AE22&gt;0, 2, 0))),
                IF(AE23="-", 0, IF(AE23&lt;0, -2, IF(AE23&gt;0, 2, 0))),
                IF(AE24="-", 0, IF(AE24&lt;0, -2, IF(AE24&gt;0, 2, 0))),
                IF(AE25="-", 0, IF(AE25&lt;0, -2, IF(AE25&gt;0, 2, 0))),
                IF(AE26="-", 0, IF(AE26&lt;0, -2, IF(AE26&gt;0, 2, 0))),
                IF(AE27="-", 0, IF(AE27&lt;0, -1, IF(AE27&gt;0, 1, 0))),
                IF(AE28="-", 0, IF(AE28&lt;0, -1, IF(AE28&gt;0, 1, 0))),
                IF(AE29="-", 0, IF(AE29&lt;0, -1, IF(AE29&gt;0, 1, 0))),
                IF(AE30="-", 0, IF(AE30&lt;0, -1, IF(AE30&gt;0, 1, 0))),
                IF(AE31="-", 0, IF(AE31&lt;0, -1, IF(AE31&gt;0, 1, 0))),
                IF(AE32="-", 0, IF(AE32&lt;0, -1, IF(AE32&gt;0, 1, 0)))) / 16 &lt; -0.1,
            "BEARISH",
            IF(SUM(IF(AE22="-", 0, IF(AE22&lt;0, -2, IF(AE22&gt;0, 2, 0))),
                    IF(AE23="-", 0, IF(AE23&lt;0, -2, IF(AE23&gt;0, 2, 0))),
                    IF(AE24="-", 0, IF(AE24&lt;0, -2, IF(AE24&gt;0, 2, 0))),
                    IF(AE25="-", 0, IF(AE25&lt;0, -2, IF(AE25&gt;0, 2, 0))),
                    IF(AE26="-", 0, IF(AE26&lt;0, -2, IF(AE26&gt;0, 2, 0))),
                    IF(AE27="-", 0, IF(AE27&lt;0, -1, IF(AE27&gt;0, 1, 0))),
                    IF(AE28="-", 0, IF(AE28&lt;0, -1, IF(AE28&gt;0, 1, 0))),
                    IF(AE29="-", 0, IF(AE29&lt;0, -1, IF(AE29&gt;0, 1, 0))),
                    IF(AE30="-", 0, IF(AE30&lt;0, -1, IF(AE30&gt;0, 1, 0))),
                    IF(AE31="-", 0, IF(AE31&lt;0, -1, IF(AE31&gt;0, 1, 0))),
                    IF(AE32="-", 0, IF(AE32&lt;0, -1, IF(AE32&gt;0, 1, 0)))) / 16 &gt; -0.1,
                "NEUTRO",
                IF(SUM(IF(AE22="-", 0, IF(AE22&lt;0, -2, IF(AE22&gt;0, 2, 0))),
                        IF(AE23="-", 0, IF(AE23&lt;0, -2, IF(AE23&gt;0, 2, 0))),
                        IF(AE24="-", 0, IF(AE24&lt;0, -2, IF(AE24&gt;0, 2, 0))),
                        IF(AE25="-", 0, IF(AE25&lt;0, -2, IF(AE25&gt;0, 2, 0))),
                        IF(AE26="-", 0, IF(AE26&lt;0, -2, IF(AE26&gt;0, 2, 0))),
                        IF(AE27="-", 0, IF(AE27&lt;0, -1, IF(AE27&gt;0, 1, 0))),
                        IF(AE28="-", 0, IF(AE28&lt;0, -1, IF(AE28&gt;0, 1, 0))),
                        IF(AE29="-", 0, IF(AE29&lt;0, -1, IF(AE29&gt;0, 1, 0))),
                        IF(AE30="-", 0, IF(AE30&lt;0, -1, IF(AE30&gt;0, 1, 0))),
                        IF(AE31="-", 0, IF(AE31&lt;0, -1, IF(AE31&gt;0, 1, 0))),
                        IF(AE32="-", 0, IF(AE32&lt;0, -1, IF(AE32&gt;0, 1, 0)))) / 16 &lt; 0.1,
                    "NEUTRO",
                    "")))))</f>
        <v>BULLISH</v>
      </c>
      <c r="X21" s="353"/>
      <c r="Y21" s="354"/>
      <c r="Z21" s="352" t="str">
        <f>IF(AND(AB22="-",AH23="-",AH24="-",AH25="-",AH26="-",AH27="-",AH28="-",AH29="-",AH30="-",AH31="-",AH32="-"),
    "",
    IF(SUM(IF(AH22="-", 0, IF(AH22&lt;0, -2, IF(AH22&gt;0, 2, 0))),
            IF(AH23="-", 0, IF(AH23&lt;0, -2, IF(AH23&gt;0, 2, 0))),
            IF(AH24="-", 0, IF(AH24&lt;0, -2, IF(AH24&gt;0, 2, 0))),
            IF(AH25="-", 0, IF(AH25&lt;0, -2, IF(AH25&gt;0, 2, 0))),
            IF(AH26="-", 0, IF(AH26&lt;0, -2, IF(AH26&gt;0, 2, 0))),
            IF(AH27="-", 0, IF(AH27&lt;0, -1, IF(AH27&gt;0, 1, 0))),
            IF(AH28="-", 0, IF(AH28&lt;0, -1, IF(AH28&gt;0, 1, 0))),
            IF(AH29="-", 0, IF(AH29&lt;0, -1, IF(AH29&gt;0, 1, 0))),
            IF(AH30="-", 0, IF(AH30&lt;0, -1, IF(AH30&gt;0, 1, 0))),
            IF(AH31="-", 0, IF(AH31&lt;0, -1, IF(AH31&gt;0, 1, 0))),
            IF(AH32="-", 0, IF(AH32&lt;0, -1, IF(AH32&gt;0, 1, 0)))) / 16 &gt; 0.1,
        "BULLISH",
        IF(SUM(IF(AH22="-", 0, IF(AH22&lt;0, -2, IF(AH22&gt;0, 2, 0))),
                IF(AH23="-", 0, IF(AH23&lt;0, -2, IF(AH23&gt;0, 2, 0))),
                IF(AH24="-", 0, IF(AH24&lt;0, -2, IF(AH24&gt;0, 2, 0))),
                IF(AH25="-", 0, IF(AH25&lt;0, -2, IF(AH25&gt;0, 2, 0))),
                IF(AH26="-", 0, IF(AH26&lt;0, -2, IF(AH26&gt;0, 2, 0))),
                IF(AH27="-", 0, IF(AH27&lt;0, -1, IF(AH27&gt;0, 1, 0))),
                IF(AH28="-", 0, IF(AH28&lt;0, -1, IF(AH28&gt;0, 1, 0))),
                IF(AH29="-", 0, IF(AH29&lt;0, -1, IF(AH29&gt;0, 1, 0))),
                IF(AH30="-", 0, IF(AH30&lt;0, -1, IF(AH30&gt;0, 1, 0))),
                IF(AH31="-", 0, IF(AH31&lt;0, -1, IF(AH31&gt;0, 1, 0))),
                IF(AH32="-", 0, IF(AH32&lt;0, -1, IF(AH32&gt;0, 1, 0)))) / 16 &lt; -0.1,
            "BEARISH",
            IF(SUM(IF(AH22="-", 0, IF(AH22&lt;0, -2, IF(AH22&gt;0, 2, 0))),
                    IF(AH23="-", 0, IF(AH23&lt;0, -2, IF(AH23&gt;0, 2, 0))),
                    IF(AH24="-", 0, IF(AH24&lt;0, -2, IF(AH24&gt;0, 2, 0))),
                    IF(AH25="-", 0, IF(AH25&lt;0, -2, IF(AH25&gt;0, 2, 0))),
                    IF(AH26="-", 0, IF(AH26&lt;0, -2, IF(AH26&gt;0, 2, 0))),
                    IF(AH27="-", 0, IF(AH27&lt;0, -1, IF(AH27&gt;0, 1, 0))),
                    IF(AH28="-", 0, IF(AH28&lt;0, -1, IF(AH28&gt;0, 1, 0))),
                    IF(AH29="-", 0, IF(AH29&lt;0, -1, IF(AH29&gt;0, 1, 0))),
                    IF(AH30="-", 0, IF(AH30&lt;0, -1, IF(AH30&gt;0, 1, 0))),
                    IF(AH31="-", 0, IF(AH31&lt;0, -1, IF(AH31&gt;0, 1, 0))),
                    IF(AH32="-", 0, IF(AH32&lt;0, -1, IF(AH32&gt;0, 1, 0)))) / 16 &gt; -0.1,
                "NEUTRO",
                IF(SUM(IF(AH22="-", 0, IF(AH22&lt;0, -2, IF(AH22&gt;0, 2, 0))),
                        IF(AH23="-", 0, IF(AH23&lt;0, -2, IF(AH23&gt;0, 2, 0))),
                        IF(AH24="-", 0, IF(AH24&lt;0, -2, IF(AH24&gt;0, 2, 0))),
                        IF(AH25="-", 0, IF(AH25&lt;0, -2, IF(AH25&gt;0, 2, 0))),
                        IF(AH26="-", 0, IF(AH26&lt;0, -2, IF(AH26&gt;0, 2, 0))),
                        IF(AH27="-", 0, IF(AH27&lt;0, -1, IF(AH27&gt;0, 1, 0))),
                        IF(AH28="-", 0, IF(AH28&lt;0, -1, IF(AH28&gt;0, 1, 0))),
                        IF(AH29="-", 0, IF(AH29&lt;0, -1, IF(AH29&gt;0, 1, 0))),
                        IF(AH30="-", 0, IF(AH30&lt;0, -1, IF(AH30&gt;0, 1, 0))),
                        IF(AH31="-", 0, IF(AH31&lt;0, -1, IF(AH31&gt;0, 1, 0))),
                        IF(AH32="-", 0, IF(AH32&lt;0, -1, IF(AH32&gt;0, 1, 0)))) / 16 &lt; 0.1,
                    "NEUTRO",
                    "")))))</f>
        <v>NEUTRO</v>
      </c>
      <c r="AA21" s="353"/>
      <c r="AB21" s="354"/>
      <c r="AC21" s="352" t="str">
        <f>IF(AND(AE22="-",AK23="-",AK24="-",AK25="-",AK26="-",AK27="-",AK28="-",AK29="-",AK30="-",AK31="-",AK32="-"),
    "",
    IF(SUM(IF(AK22="-", 0, IF(AK22&lt;0, -2, IF(AK22&gt;0, 2, 0))),
            IF(AK23="-", 0, IF(AK23&lt;0, -2, IF(AK23&gt;0, 2, 0))),
            IF(AK24="-", 0, IF(AK24&lt;0, -2, IF(AK24&gt;0, 2, 0))),
            IF(AK25="-", 0, IF(AK25&lt;0, -2, IF(AK25&gt;0, 2, 0))),
            IF(AK26="-", 0, IF(AK26&lt;0, -2, IF(AK26&gt;0, 2, 0))),
            IF(AK27="-", 0, IF(AK27&lt;0, -1, IF(AK27&gt;0, 1, 0))),
            IF(AK28="-", 0, IF(AK28&lt;0, -1, IF(AK28&gt;0, 1, 0))),
            IF(AK29="-", 0, IF(AK29&lt;0, -1, IF(AK29&gt;0, 1, 0))),
            IF(AK30="-", 0, IF(AK30&lt;0, -1, IF(AK30&gt;0, 1, 0))),
            IF(AK31="-", 0, IF(AK31&lt;0, -1, IF(AK31&gt;0, 1, 0))),
            IF(AK32="-", 0, IF(AK32&lt;0, -1, IF(AK32&gt;0, 1, 0)))) / 16 &gt; 0.1,
        "BULLISH",
        IF(SUM(IF(AK22="-", 0, IF(AK22&lt;0, -2, IF(AK22&gt;0, 2, 0))),
                IF(AK23="-", 0, IF(AK23&lt;0, -2, IF(AK23&gt;0, 2, 0))),
                IF(AK24="-", 0, IF(AK24&lt;0, -2, IF(AK24&gt;0, 2, 0))),
                IF(AK25="-", 0, IF(AK25&lt;0, -2, IF(AK25&gt;0, 2, 0))),
                IF(AK26="-", 0, IF(AK26&lt;0, -2, IF(AK26&gt;0, 2, 0))),
                IF(AK27="-", 0, IF(AK27&lt;0, -1, IF(AK27&gt;0, 1, 0))),
                IF(AK28="-", 0, IF(AK28&lt;0, -1, IF(AK28&gt;0, 1, 0))),
                IF(AK29="-", 0, IF(AK29&lt;0, -1, IF(AK29&gt;0, 1, 0))),
                IF(AK30="-", 0, IF(AK30&lt;0, -1, IF(AK30&gt;0, 1, 0))),
                IF(AK31="-", 0, IF(AK31&lt;0, -1, IF(AK31&gt;0, 1, 0))),
                IF(AK32="-", 0, IF(AK32&lt;0, -1, IF(AK32&gt;0, 1, 0)))) / 16 &lt; -0.1,
            "BEARISH",
            IF(SUM(IF(AK22="-", 0, IF(AK22&lt;0, -2, IF(AK22&gt;0, 2, 0))),
                    IF(AK23="-", 0, IF(AK23&lt;0, -2, IF(AK23&gt;0, 2, 0))),
                    IF(AK24="-", 0, IF(AK24&lt;0, -2, IF(AK24&gt;0, 2, 0))),
                    IF(AK25="-", 0, IF(AK25&lt;0, -2, IF(AK25&gt;0, 2, 0))),
                    IF(AK26="-", 0, IF(AK26&lt;0, -2, IF(AK26&gt;0, 2, 0))),
                    IF(AK27="-", 0, IF(AK27&lt;0, -1, IF(AK27&gt;0, 1, 0))),
                    IF(AK28="-", 0, IF(AK28&lt;0, -1, IF(AK28&gt;0, 1, 0))),
                    IF(AK29="-", 0, IF(AK29&lt;0, -1, IF(AK29&gt;0, 1, 0))),
                    IF(AK30="-", 0, IF(AK30&lt;0, -1, IF(AK30&gt;0, 1, 0))),
                    IF(AK31="-", 0, IF(AK31&lt;0, -1, IF(AK31&gt;0, 1, 0))),
                    IF(AK32="-", 0, IF(AK32&lt;0, -1, IF(AK32&gt;0, 1, 0)))) / 16 &gt; -0.1,
                "NEUTRO",
                IF(SUM(IF(AK22="-", 0, IF(AK22&lt;0, -2, IF(AK22&gt;0, 2, 0))),
                        IF(AK23="-", 0, IF(AK23&lt;0, -2, IF(AK23&gt;0, 2, 0))),
                        IF(AK24="-", 0, IF(AK24&lt;0, -2, IF(AK24&gt;0, 2, 0))),
                        IF(AK25="-", 0, IF(AK25&lt;0, -2, IF(AK25&gt;0, 2, 0))),
                        IF(AK26="-", 0, IF(AK26&lt;0, -2, IF(AK26&gt;0, 2, 0))),
                        IF(AK27="-", 0, IF(AK27&lt;0, -1, IF(AK27&gt;0, 1, 0))),
                        IF(AK28="-", 0, IF(AK28&lt;0, -1, IF(AK28&gt;0, 1, 0))),
                        IF(AK29="-", 0, IF(AK29&lt;0, -1, IF(AK29&gt;0, 1, 0))),
                        IF(AK30="-", 0, IF(AK30&lt;0, -1, IF(AK30&gt;0, 1, 0))),
                        IF(AK31="-", 0, IF(AK31&lt;0, -1, IF(AK31&gt;0, 1, 0))),
                        IF(AK32="-", 0, IF(AK32&lt;0, -1, IF(AK32&gt;0, 1, 0)))) / 16 &lt; 0.1,
                    "NEUTRO",
                    "")))))</f>
        <v>NEUTRO</v>
      </c>
      <c r="AD21" s="353"/>
      <c r="AE21" s="354"/>
      <c r="AF21" s="352" t="str">
        <f>IF(AND(AH22="-",AN23="-",AN24="-",AN25="-",AN26="-",AN27="-",AN28="-",AN29="-",AN30="-",AN31="-",AN32="-"),
    "",
    IF(SUM(IF(AN22="-", 0, IF(AN22&lt;0, -2, IF(AN22&gt;0, 2, 0))),
            IF(AN23="-", 0, IF(AN23&lt;0, -2, IF(AN23&gt;0, 2, 0))),
            IF(AN24="-", 0, IF(AN24&lt;0, -2, IF(AN24&gt;0, 2, 0))),
            IF(AN25="-", 0, IF(AN25&lt;0, -2, IF(AN25&gt;0, 2, 0))),
            IF(AN26="-", 0, IF(AN26&lt;0, -2, IF(AN26&gt;0, 2, 0))),
            IF(AN27="-", 0, IF(AN27&lt;0, -1, IF(AN27&gt;0, 1, 0))),
            IF(AN28="-", 0, IF(AN28&lt;0, -1, IF(AN28&gt;0, 1, 0))),
            IF(AN29="-", 0, IF(AN29&lt;0, -1, IF(AN29&gt;0, 1, 0))),
            IF(AN30="-", 0, IF(AN30&lt;0, -1, IF(AN30&gt;0, 1, 0))),
            IF(AN31="-", 0, IF(AN31&lt;0, -1, IF(AN31&gt;0, 1, 0))),
            IF(AN32="-", 0, IF(AN32&lt;0, -1, IF(AN32&gt;0, 1, 0)))) / 16 &gt; 0.1,
        "BULLISH",
        IF(SUM(IF(AN22="-", 0, IF(AN22&lt;0, -2, IF(AN22&gt;0, 2, 0))),
                IF(AN23="-", 0, IF(AN23&lt;0, -2, IF(AN23&gt;0, 2, 0))),
                IF(AN24="-", 0, IF(AN24&lt;0, -2, IF(AN24&gt;0, 2, 0))),
                IF(AN25="-", 0, IF(AN25&lt;0, -2, IF(AN25&gt;0, 2, 0))),
                IF(AN26="-", 0, IF(AN26&lt;0, -2, IF(AN26&gt;0, 2, 0))),
                IF(AN27="-", 0, IF(AN27&lt;0, -1, IF(AN27&gt;0, 1, 0))),
                IF(AN28="-", 0, IF(AN28&lt;0, -1, IF(AN28&gt;0, 1, 0))),
                IF(AN29="-", 0, IF(AN29&lt;0, -1, IF(AN29&gt;0, 1, 0))),
                IF(AN30="-", 0, IF(AN30&lt;0, -1, IF(AN30&gt;0, 1, 0))),
                IF(AN31="-", 0, IF(AN31&lt;0, -1, IF(AN31&gt;0, 1, 0))),
                IF(AN32="-", 0, IF(AN32&lt;0, -1, IF(AN32&gt;0, 1, 0)))) / 16 &lt; -0.1,
            "BEARISH",
            IF(SUM(IF(AN22="-", 0, IF(AN22&lt;0, -2, IF(AN22&gt;0, 2, 0))),
                    IF(AN23="-", 0, IF(AN23&lt;0, -2, IF(AN23&gt;0, 2, 0))),
                    IF(AN24="-", 0, IF(AN24&lt;0, -2, IF(AN24&gt;0, 2, 0))),
                    IF(AN25="-", 0, IF(AN25&lt;0, -2, IF(AN25&gt;0, 2, 0))),
                    IF(AN26="-", 0, IF(AN26&lt;0, -2, IF(AN26&gt;0, 2, 0))),
                    IF(AN27="-", 0, IF(AN27&lt;0, -1, IF(AN27&gt;0, 1, 0))),
                    IF(AN28="-", 0, IF(AN28&lt;0, -1, IF(AN28&gt;0, 1, 0))),
                    IF(AN29="-", 0, IF(AN29&lt;0, -1, IF(AN29&gt;0, 1, 0))),
                    IF(AN30="-", 0, IF(AN30&lt;0, -1, IF(AN30&gt;0, 1, 0))),
                    IF(AN31="-", 0, IF(AN31&lt;0, -1, IF(AN31&gt;0, 1, 0))),
                    IF(AN32="-", 0, IF(AN32&lt;0, -1, IF(AN32&gt;0, 1, 0)))) / 16 &gt; -0.1,
                "NEUTRO",
                IF(SUM(IF(AN22="-", 0, IF(AN22&lt;0, -2, IF(AN22&gt;0, 2, 0))),
                        IF(AN23="-", 0, IF(AN23&lt;0, -2, IF(AN23&gt;0, 2, 0))),
                        IF(AN24="-", 0, IF(AN24&lt;0, -2, IF(AN24&gt;0, 2, 0))),
                        IF(AN25="-", 0, IF(AN25&lt;0, -2, IF(AN25&gt;0, 2, 0))),
                        IF(AN26="-", 0, IF(AN26&lt;0, -2, IF(AN26&gt;0, 2, 0))),
                        IF(AN27="-", 0, IF(AN27&lt;0, -1, IF(AN27&gt;0, 1, 0))),
                        IF(AN28="-", 0, IF(AN28&lt;0, -1, IF(AN28&gt;0, 1, 0))),
                        IF(AN29="-", 0, IF(AN29&lt;0, -1, IF(AN29&gt;0, 1, 0))),
                        IF(AN30="-", 0, IF(AN30&lt;0, -1, IF(AN30&gt;0, 1, 0))),
                        IF(AN31="-", 0, IF(AN31&lt;0, -1, IF(AN31&gt;0, 1, 0))),
                        IF(AN32="-", 0, IF(AN32&lt;0, -1, IF(AN32&gt;0, 1, 0)))) / 16 &lt; 0.1,
                    "NEUTRO",
                    "")))))</f>
        <v>NEUTRO</v>
      </c>
      <c r="AG21" s="353"/>
      <c r="AH21" s="354"/>
      <c r="AI21" s="352" t="str">
        <f>IF(AND(AK22="-",AQ23="-",AQ24="-",AQ25="-",AQ26="-",AQ27="-",AQ28="-",AQ29="-",AQ30="-",AQ31="-",AQ32="-"),
    "",
    IF(SUM(IF(AQ22="-", 0, IF(AQ22&lt;0, -2, IF(AQ22&gt;0, 2, 0))),
            IF(AQ23="-", 0, IF(AQ23&lt;0, -2, IF(AQ23&gt;0, 2, 0))),
            IF(AQ24="-", 0, IF(AQ24&lt;0, -2, IF(AQ24&gt;0, 2, 0))),
            IF(AQ25="-", 0, IF(AQ25&lt;0, -2, IF(AQ25&gt;0, 2, 0))),
            IF(AQ26="-", 0, IF(AQ26&lt;0, -2, IF(AQ26&gt;0, 2, 0))),
            IF(AQ27="-", 0, IF(AQ27&lt;0, -1, IF(AQ27&gt;0, 1, 0))),
            IF(AQ28="-", 0, IF(AQ28&lt;0, -1, IF(AQ28&gt;0, 1, 0))),
            IF(AQ29="-", 0, IF(AQ29&lt;0, -1, IF(AQ29&gt;0, 1, 0))),
            IF(AQ30="-", 0, IF(AQ30&lt;0, -1, IF(AQ30&gt;0, 1, 0))),
            IF(AQ31="-", 0, IF(AQ31&lt;0, -1, IF(AQ31&gt;0, 1, 0))),
            IF(AQ32="-", 0, IF(AQ32&lt;0, -1, IF(AQ32&gt;0, 1, 0)))) / 16 &gt; 0.1,
        "BULLISH",
        IF(SUM(IF(AQ22="-", 0, IF(AQ22&lt;0, -2, IF(AQ22&gt;0, 2, 0))),
                IF(AQ23="-", 0, IF(AQ23&lt;0, -2, IF(AQ23&gt;0, 2, 0))),
                IF(AQ24="-", 0, IF(AQ24&lt;0, -2, IF(AQ24&gt;0, 2, 0))),
                IF(AQ25="-", 0, IF(AQ25&lt;0, -2, IF(AQ25&gt;0, 2, 0))),
                IF(AQ26="-", 0, IF(AQ26&lt;0, -2, IF(AQ26&gt;0, 2, 0))),
                IF(AQ27="-", 0, IF(AQ27&lt;0, -1, IF(AQ27&gt;0, 1, 0))),
                IF(AQ28="-", 0, IF(AQ28&lt;0, -1, IF(AQ28&gt;0, 1, 0))),
                IF(AQ29="-", 0, IF(AQ29&lt;0, -1, IF(AQ29&gt;0, 1, 0))),
                IF(AQ30="-", 0, IF(AQ30&lt;0, -1, IF(AQ30&gt;0, 1, 0))),
                IF(AQ31="-", 0, IF(AQ31&lt;0, -1, IF(AQ31&gt;0, 1, 0))),
                IF(AQ32="-", 0, IF(AQ32&lt;0, -1, IF(AQ32&gt;0, 1, 0)))) / 16 &lt; -0.1,
            "BEARISH",
            IF(SUM(IF(AQ22="-", 0, IF(AQ22&lt;0, -2, IF(AQ22&gt;0, 2, 0))),
                    IF(AQ23="-", 0, IF(AQ23&lt;0, -2, IF(AQ23&gt;0, 2, 0))),
                    IF(AQ24="-", 0, IF(AQ24&lt;0, -2, IF(AQ24&gt;0, 2, 0))),
                    IF(AQ25="-", 0, IF(AQ25&lt;0, -2, IF(AQ25&gt;0, 2, 0))),
                    IF(AQ26="-", 0, IF(AQ26&lt;0, -2, IF(AQ26&gt;0, 2, 0))),
                    IF(AQ27="-", 0, IF(AQ27&lt;0, -1, IF(AQ27&gt;0, 1, 0))),
                    IF(AQ28="-", 0, IF(AQ28&lt;0, -1, IF(AQ28&gt;0, 1, 0))),
                    IF(AQ29="-", 0, IF(AQ29&lt;0, -1, IF(AQ29&gt;0, 1, 0))),
                    IF(AQ30="-", 0, IF(AQ30&lt;0, -1, IF(AQ30&gt;0, 1, 0))),
                    IF(AQ31="-", 0, IF(AQ31&lt;0, -1, IF(AQ31&gt;0, 1, 0))),
                    IF(AQ32="-", 0, IF(AQ32&lt;0, -1, IF(AQ32&gt;0, 1, 0)))) / 16 &gt; -0.1,
                "NEUTRO",
                IF(SUM(IF(AQ22="-", 0, IF(AQ22&lt;0, -2, IF(AQ22&gt;0, 2, 0))),
                        IF(AQ23="-", 0, IF(AQ23&lt;0, -2, IF(AQ23&gt;0, 2, 0))),
                        IF(AQ24="-", 0, IF(AQ24&lt;0, -2, IF(AQ24&gt;0, 2, 0))),
                        IF(AQ25="-", 0, IF(AQ25&lt;0, -2, IF(AQ25&gt;0, 2, 0))),
                        IF(AQ26="-", 0, IF(AQ26&lt;0, -2, IF(AQ26&gt;0, 2, 0))),
                        IF(AQ27="-", 0, IF(AQ27&lt;0, -1, IF(AQ27&gt;0, 1, 0))),
                        IF(AQ28="-", 0, IF(AQ28&lt;0, -1, IF(AQ28&gt;0, 1, 0))),
                        IF(AQ29="-", 0, IF(AQ29&lt;0, -1, IF(AQ29&gt;0, 1, 0))),
                        IF(AQ30="-", 0, IF(AQ30&lt;0, -1, IF(AQ30&gt;0, 1, 0))),
                        IF(AQ31="-", 0, IF(AQ31&lt;0, -1, IF(AQ31&gt;0, 1, 0))),
                        IF(AQ32="-", 0, IF(AQ32&lt;0, -1, IF(AQ32&gt;0, 1, 0)))) / 16 &lt; 0.1,
                    "NEUTRO",
                    "")))))</f>
        <v>BEARISH</v>
      </c>
      <c r="AJ21" s="353"/>
      <c r="AK21" s="354"/>
      <c r="AL21" s="352">
        <v>5</v>
      </c>
      <c r="AM21" s="353"/>
      <c r="AN21" s="354"/>
      <c r="AO21" s="352" t="str">
        <f>IF(AND(AQ22="-",AQ23="-",AQ24="-",AQ25="-",AQ26="-",AQ27="-",AQ28="-",AQ29="-",AQ30="-",AQ31="-",AQ32="-"),
    "",
    IF(SUM(IF(AQ22="-", 0, IF(AQ22&lt;0, -2, IF(AQ22&gt;0, 2, 0))),
            IF(AQ23="-", 0, IF(AQ23&lt;0, -2, IF(AQ23&gt;0, 2, 0))),
            IF(AQ24="-", 0, IF(AQ24&lt;0, -2, IF(AQ24&gt;0, 2, 0))),
            IF(AQ25="-", 0, IF(AQ25&lt;0, -2, IF(AQ25&gt;0, 2, 0))),
            IF(AQ26="-", 0, IF(AQ26&lt;0, -2, IF(AQ26&gt;0, 2, 0))),
            IF(AQ27="-", 0, IF(AQ27&lt;0, -1, IF(AQ27&gt;0, 1, 0))),
            IF(AQ28="-", 0, IF(AQ28&lt;0, -1, IF(AQ28&gt;0, 1, 0))),
            IF(AQ29="-", 0, IF(AQ29&lt;0, -1, IF(AQ29&gt;0, 1, 0))),
            IF(AQ30="-", 0, IF(AQ30&lt;0, -1, IF(AQ30&gt;0, 1, 0))),
            IF(AQ31="-", 0, IF(AQ31&lt;0, -1, IF(AQ31&gt;0, 1, 0))),
            IF(AQ32="-", 0, IF(AQ32&lt;0, -1, IF(AQ32&gt;0, 1, 0)))) / 16 &gt; 0.1,
        "BULLISH",
        IF(SUM(IF(AQ22="-", 0, IF(AQ22&lt;0, -2, IF(AQ22&gt;0, 2, 0))),
                IF(AQ23="-", 0, IF(AQ23&lt;0, -2, IF(AQ23&gt;0, 2, 0))),
                IF(AQ24="-", 0, IF(AQ24&lt;0, -2, IF(AQ24&gt;0, 2, 0))),
                IF(AQ25="-", 0, IF(AQ25&lt;0, -2, IF(AQ25&gt;0, 2, 0))),
                IF(AQ26="-", 0, IF(AQ26&lt;0, -2, IF(AQ26&gt;0, 2, 0))),
                IF(AQ27="-", 0, IF(AQ27&lt;0, -1, IF(AQ27&gt;0, 1, 0))),
                IF(AQ28="-", 0, IF(AQ28&lt;0, -1, IF(AQ28&gt;0, 1, 0))),
                IF(AQ29="-", 0, IF(AQ29&lt;0, -1, IF(AQ29&gt;0, 1, 0))),
                IF(AQ30="-", 0, IF(AQ30&lt;0, -1, IF(AQ30&gt;0, 1, 0))),
                IF(AQ31="-", 0, IF(AQ31&lt;0, -1, IF(AQ31&gt;0, 1, 0))),
                IF(AQ32="-", 0, IF(AQ32&lt;0, -1, IF(AQ32&gt;0, 1, 0)))) / 16 &lt; -0.1,
            "BEARISH",
            IF(SUM(IF(AQ22="-", 0, IF(AQ22&lt;0, -2, IF(AQ22&gt;0, 2, 0))),
                    IF(AQ23="-", 0, IF(AQ23&lt;0, -2, IF(AQ23&gt;0, 2, 0))),
                    IF(AQ24="-", 0, IF(AQ24&lt;0, -2, IF(AQ24&gt;0, 2, 0))),
                    IF(AQ25="-", 0, IF(AQ25&lt;0, -2, IF(AQ25&gt;0, 2, 0))),
                    IF(AQ26="-", 0, IF(AQ26&lt;0, -2, IF(AQ26&gt;0, 2, 0))),
                    IF(AQ27="-", 0, IF(AQ27&lt;0, -1, IF(AQ27&gt;0, 1, 0))),
                    IF(AQ28="-", 0, IF(AQ28&lt;0, -1, IF(AQ28&gt;0, 1, 0))),
                    IF(AQ29="-", 0, IF(AQ29&lt;0, -1, IF(AQ29&gt;0, 1, 0))),
                    IF(AQ30="-", 0, IF(AQ30&lt;0, -1, IF(AQ30&gt;0, 1, 0))),
                    IF(AQ31="-", 0, IF(AQ31&lt;0, -1, IF(AQ31&gt;0, 1, 0))),
                    IF(AQ32="-", 0, IF(AQ32&lt;0, -1, IF(AQ32&gt;0, 1, 0)))) / 16 &gt; -0.1,
                "NEUTRO",
                IF(SUM(IF(AQ22="-", 0, IF(AQ22&lt;0, -2, IF(AQ22&gt;0, 2, 0))),
                        IF(AQ23="-", 0, IF(AQ23&lt;0, -2, IF(AQ23&gt;0, 2, 0))),
                        IF(AQ24="-", 0, IF(AQ24&lt;0, -2, IF(AQ24&gt;0, 2, 0))),
                        IF(AQ25="-", 0, IF(AQ25&lt;0, -2, IF(AQ25&gt;0, 2, 0))),
                        IF(AQ26="-", 0, IF(AQ26&lt;0, -2, IF(AQ26&gt;0, 2, 0))),
                        IF(AQ27="-", 0, IF(AQ27&lt;0, -1, IF(AQ27&gt;0, 1, 0))),
                        IF(AQ28="-", 0, IF(AQ28&lt;0, -1, IF(AQ28&gt;0, 1, 0))),
                        IF(AQ29="-", 0, IF(AQ29&lt;0, -1, IF(AQ29&gt;0, 1, 0))),
                        IF(AQ30="-", 0, IF(AQ30&lt;0, -1, IF(AQ30&gt;0, 1, 0))),
                        IF(AQ31="-", 0, IF(AQ31&lt;0, -1, IF(AQ31&gt;0, 1, 0))),
                        IF(AQ32="-", 0, IF(AQ32&lt;0, -1, IF(AQ32&gt;0, 1, 0)))) / 16 &lt; 0.1,
                    "NEUTRO",
                    "")))))</f>
        <v>BEARISH</v>
      </c>
      <c r="AP21" s="353"/>
      <c r="AQ21" s="354"/>
      <c r="AR21" s="352" t="str">
        <f>IF(AND(AT22="-",AT23="-",AT24="-",AT25="-",AT26="-",AT27="-",AT28="-",AT29="-",AT30="-",AT31="-",AT32="-"),
    "",
    IF(SUM(IF(AT22="-", 0, IF(AT22&lt;0, -2, IF(AT22&gt;0, 2, 0))),
            IF(AT23="-", 0, IF(AT23&lt;0, -2, IF(AT23&gt;0, 2, 0))),
            IF(AT24="-", 0, IF(AT24&lt;0, -2, IF(AT24&gt;0, 2, 0))),
            IF(AT25="-", 0, IF(AT25&lt;0, -2, IF(AT25&gt;0, 2, 0))),
            IF(AT26="-", 0, IF(AT26&lt;0, -2, IF(AT26&gt;0, 2, 0))),
            IF(AT27="-", 0, IF(AT27&lt;0, -1, IF(AT27&gt;0, 1, 0))),
            IF(AT28="-", 0, IF(AT28&lt;0, -1, IF(AT28&gt;0, 1, 0))),
            IF(AT29="-", 0, IF(AT29&lt;0, -1, IF(AT29&gt;0, 1, 0))),
            IF(AT30="-", 0, IF(AT30&lt;0, -1, IF(AT30&gt;0, 1, 0))),
            IF(AT31="-", 0, IF(AT31&lt;0, -1, IF(AT31&gt;0, 1, 0))),
            IF(AT32="-", 0, IF(AT32&lt;0, -1, IF(AT32&gt;0, 1, 0)))) / 16 &gt; 0.1,
        "BULLISH",
        IF(SUM(IF(AT22="-", 0, IF(AT22&lt;0, -2, IF(AT22&gt;0, 2, 0))),
                IF(AT23="-", 0, IF(AT23&lt;0, -2, IF(AT23&gt;0, 2, 0))),
                IF(AT24="-", 0, IF(AT24&lt;0, -2, IF(AT24&gt;0, 2, 0))),
                IF(AT25="-", 0, IF(AT25&lt;0, -2, IF(AT25&gt;0, 2, 0))),
                IF(AT26="-", 0, IF(AT26&lt;0, -2, IF(AT26&gt;0, 2, 0))),
                IF(AT27="-", 0, IF(AT27&lt;0, -1, IF(AT27&gt;0, 1, 0))),
                IF(AT28="-", 0, IF(AT28&lt;0, -1, IF(AT28&gt;0, 1, 0))),
                IF(AT29="-", 0, IF(AT29&lt;0, -1, IF(AT29&gt;0, 1, 0))),
                IF(AT30="-", 0, IF(AT30&lt;0, -1, IF(AT30&gt;0, 1, 0))),
                IF(AT31="-", 0, IF(AT31&lt;0, -1, IF(AT31&gt;0, 1, 0))),
                IF(AT32="-", 0, IF(AT32&lt;0, -1, IF(AT32&gt;0, 1, 0)))) / 16 &lt; -0.1,
            "BEARISH",
            IF(SUM(IF(AT22="-", 0, IF(AT22&lt;0, -2, IF(AT22&gt;0, 2, 0))),
                    IF(AT23="-", 0, IF(AT23&lt;0, -2, IF(AT23&gt;0, 2, 0))),
                    IF(AT24="-", 0, IF(AT24&lt;0, -2, IF(AT24&gt;0, 2, 0))),
                    IF(AT25="-", 0, IF(AT25&lt;0, -2, IF(AT25&gt;0, 2, 0))),
                    IF(AT26="-", 0, IF(AT26&lt;0, -2, IF(AT26&gt;0, 2, 0))),
                    IF(AT27="-", 0, IF(AT27&lt;0, -1, IF(AT27&gt;0, 1, 0))),
                    IF(AT28="-", 0, IF(AT28&lt;0, -1, IF(AT28&gt;0, 1, 0))),
                    IF(AT29="-", 0, IF(AT29&lt;0, -1, IF(AT29&gt;0, 1, 0))),
                    IF(AT30="-", 0, IF(AT30&lt;0, -1, IF(AT30&gt;0, 1, 0))),
                    IF(AT31="-", 0, IF(AT31&lt;0, -1, IF(AT31&gt;0, 1, 0))),
                    IF(AT32="-", 0, IF(AT32&lt;0, -1, IF(AT32&gt;0, 1, 0)))) / 16 &gt; -0.1,
                "NEUTRO",
                IF(SUM(IF(AT22="-", 0, IF(AT22&lt;0, -2, IF(AT22&gt;0, 2, 0))),
                        IF(AT23="-", 0, IF(AT23&lt;0, -2, IF(AT23&gt;0, 2, 0))),
                        IF(AT24="-", 0, IF(AT24&lt;0, -2, IF(AT24&gt;0, 2, 0))),
                        IF(AT25="-", 0, IF(AT25&lt;0, -2, IF(AT25&gt;0, 2, 0))),
                        IF(AT26="-", 0, IF(AT26&lt;0, -2, IF(AT26&gt;0, 2, 0))),
                        IF(AT27="-", 0, IF(AT27&lt;0, -1, IF(AT27&gt;0, 1, 0))),
                        IF(AT28="-", 0, IF(AT28&lt;0, -1, IF(AT28&gt;0, 1, 0))),
                        IF(AT29="-", 0, IF(AT29&lt;0, -1, IF(AT29&gt;0, 1, 0))),
                        IF(AT30="-", 0, IF(AT30&lt;0, -1, IF(AT30&gt;0, 1, 0))),
                        IF(AT31="-", 0, IF(AT31&lt;0, -1, IF(AT31&gt;0, 1, 0))),
                        IF(AT32="-", 0, IF(AT32&lt;0, -1, IF(AT32&gt;0, 1, 0)))) / 16 &lt; 0.1,
                    "NEUTRO",
                    "")))))</f>
        <v>BULLISH</v>
      </c>
      <c r="AS21" s="353"/>
      <c r="AT21" s="354"/>
      <c r="AU21" s="352" t="str">
        <f>IF(AND(AW22="-",AW23="-",AW24="-",AW25="-",AW26="-",AW27="-",AW28="-",AW29="-",AW30="-",AW31="-",AW32="-"),
    "",
    IF(SUM(IF(AW22="-", 0, IF(AW22&lt;0, -2, IF(AW22&gt;0, 2, 0))),
            IF(AW23="-", 0, IF(AW23&lt;0, -2, IF(AW23&gt;0, 2, 0))),
            IF(AW24="-", 0, IF(AW24&lt;0, -2, IF(AW24&gt;0, 2, 0))),
            IF(AW25="-", 0, IF(AW25&lt;0, -2, IF(AW25&gt;0, 2, 0))),
            IF(AW26="-", 0, IF(AW26&lt;0, -2, IF(AW26&gt;0, 2, 0))),
            IF(AW27="-", 0, IF(AW27&lt;0, -1, IF(AW27&gt;0, 1, 0))),
            IF(AW28="-", 0, IF(AW28&lt;0, -1, IF(AW28&gt;0, 1, 0))),
            IF(AW29="-", 0, IF(AW29&lt;0, -1, IF(AW29&gt;0, 1, 0))),
            IF(AW30="-", 0, IF(AW30&lt;0, -1, IF(AW30&gt;0, 1, 0))),
            IF(AW31="-", 0, IF(AW31&lt;0, -1, IF(AW31&gt;0, 1, 0))),
            IF(AW32="-", 0, IF(AW32&lt;0, -1, IF(AW32&gt;0, 1, 0)))) / 16 &gt; 0.1,
        "BULLISH",
        IF(SUM(IF(AW22="-", 0, IF(AW22&lt;0, -2, IF(AW22&gt;0, 2, 0))),
                IF(AW23="-", 0, IF(AW23&lt;0, -2, IF(AW23&gt;0, 2, 0))),
                IF(AW24="-", 0, IF(AW24&lt;0, -2, IF(AW24&gt;0, 2, 0))),
                IF(AW25="-", 0, IF(AW25&lt;0, -2, IF(AW25&gt;0, 2, 0))),
                IF(AW26="-", 0, IF(AW26&lt;0, -2, IF(AW26&gt;0, 2, 0))),
                IF(AW27="-", 0, IF(AW27&lt;0, -1, IF(AW27&gt;0, 1, 0))),
                IF(AW28="-", 0, IF(AW28&lt;0, -1, IF(AW28&gt;0, 1, 0))),
                IF(AW29="-", 0, IF(AW29&lt;0, -1, IF(AW29&gt;0, 1, 0))),
                IF(AW30="-", 0, IF(AW30&lt;0, -1, IF(AW30&gt;0, 1, 0))),
                IF(AW31="-", 0, IF(AW31&lt;0, -1, IF(AW31&gt;0, 1, 0))),
                IF(AW32="-", 0, IF(AW32&lt;0, -1, IF(AW32&gt;0, 1, 0)))) / 16 &lt; -0.1,
            "BEARISH",
            IF(SUM(IF(AW22="-", 0, IF(AW22&lt;0, -2, IF(AW22&gt;0, 2, 0))),
                    IF(AW23="-", 0, IF(AW23&lt;0, -2, IF(AW23&gt;0, 2, 0))),
                    IF(AW24="-", 0, IF(AW24&lt;0, -2, IF(AW24&gt;0, 2, 0))),
                    IF(AW25="-", 0, IF(AW25&lt;0, -2, IF(AW25&gt;0, 2, 0))),
                    IF(AW26="-", 0, IF(AW26&lt;0, -2, IF(AW26&gt;0, 2, 0))),
                    IF(AW27="-", 0, IF(AW27&lt;0, -1, IF(AW27&gt;0, 1, 0))),
                    IF(AW28="-", 0, IF(AW28&lt;0, -1, IF(AW28&gt;0, 1, 0))),
                    IF(AW29="-", 0, IF(AW29&lt;0, -1, IF(AW29&gt;0, 1, 0))),
                    IF(AW30="-", 0, IF(AW30&lt;0, -1, IF(AW30&gt;0, 1, 0))),
                    IF(AW31="-", 0, IF(AW31&lt;0, -1, IF(AW31&gt;0, 1, 0))),
                    IF(AW32="-", 0, IF(AW32&lt;0, -1, IF(AW32&gt;0, 1, 0)))) / 16 &gt; -0.1,
                "NEUTRO",
                IF(SUM(IF(AW22="-", 0, IF(AW22&lt;0, -2, IF(AW22&gt;0, 2, 0))),
                        IF(AW23="-", 0, IF(AW23&lt;0, -2, IF(AW23&gt;0, 2, 0))),
                        IF(AW24="-", 0, IF(AW24&lt;0, -2, IF(AW24&gt;0, 2, 0))),
                        IF(AW25="-", 0, IF(AW25&lt;0, -2, IF(AW25&gt;0, 2, 0))),
                        IF(AW26="-", 0, IF(AW26&lt;0, -2, IF(AW26&gt;0, 2, 0))),
                        IF(AW27="-", 0, IF(AW27&lt;0, -1, IF(AW27&gt;0, 1, 0))),
                        IF(AW28="-", 0, IF(AW28&lt;0, -1, IF(AW28&gt;0, 1, 0))),
                        IF(AW29="-", 0, IF(AW29&lt;0, -1, IF(AW29&gt;0, 1, 0))),
                        IF(AW30="-", 0, IF(AW30&lt;0, -1, IF(AW30&gt;0, 1, 0))),
                        IF(AW31="-", 0, IF(AW31&lt;0, -1, IF(AW31&gt;0, 1, 0))),
                        IF(AW32="-", 0, IF(AW32&lt;0, -1, IF(AW32&gt;0, 1, 0)))) / 16 &lt; 0.1,
                    "NEUTRO",
                    "")))))</f>
        <v>NEUTRO</v>
      </c>
      <c r="AV21" s="353"/>
      <c r="AW21" s="354"/>
    </row>
    <row r="22" spans="1:49" x14ac:dyDescent="0.25">
      <c r="A22" s="26" t="s">
        <v>242</v>
      </c>
      <c r="B22" s="135"/>
      <c r="C22" s="135"/>
      <c r="D22" s="171" t="str">
        <f t="shared" ref="D22:D32" si="16">IF(ISBLANK(B22),"-",B22-C22)</f>
        <v>-</v>
      </c>
      <c r="E22" s="135"/>
      <c r="F22" s="135"/>
      <c r="G22" s="171" t="str">
        <f t="shared" ref="G22:G32" si="17">IF(ISBLANK(E22),"-",E22-F22)</f>
        <v>-</v>
      </c>
      <c r="H22" s="135"/>
      <c r="I22" s="135"/>
      <c r="J22" s="171" t="str">
        <f t="shared" ref="J22:J32" si="18">IF(ISBLANK(H22),"-",H22-I22)</f>
        <v>-</v>
      </c>
      <c r="K22" s="135"/>
      <c r="L22" s="135"/>
      <c r="M22" s="171" t="str">
        <f t="shared" ref="M22:M32" si="19">IF(ISBLANK(K22),"-",K22-L22)</f>
        <v>-</v>
      </c>
      <c r="N22" s="135"/>
      <c r="O22" s="135"/>
      <c r="P22" s="171" t="str">
        <f t="shared" ref="P22:P32" si="20">IF(ISBLANK(N22),"-",N22-O22)</f>
        <v>-</v>
      </c>
      <c r="Q22" s="135"/>
      <c r="R22" s="135"/>
      <c r="S22" s="171" t="str">
        <f t="shared" ref="S22:S32" si="21">IF(ISBLANK(Q22),"-",Q22-R22)</f>
        <v>-</v>
      </c>
      <c r="T22" s="135"/>
      <c r="U22" s="135"/>
      <c r="V22" s="171" t="str">
        <f t="shared" ref="V22:V32" si="22">IF(ISBLANK(T22),"-",T22-U22)</f>
        <v>-</v>
      </c>
      <c r="W22" s="135"/>
      <c r="X22" s="135"/>
      <c r="Y22" s="171" t="str">
        <f t="shared" ref="Y22:Y32" si="23">IF(ISBLANK(W22),"-",W22-X22)</f>
        <v>-</v>
      </c>
      <c r="Z22" s="135"/>
      <c r="AA22" s="135"/>
      <c r="AB22" s="171" t="str">
        <f t="shared" ref="AB22:AB32" si="24">IF(ISBLANK(Z22),"-",Z22-AA22)</f>
        <v>-</v>
      </c>
      <c r="AC22" s="135"/>
      <c r="AD22" s="135"/>
      <c r="AE22" s="171" t="str">
        <f t="shared" ref="AE22:AE32" si="25">IF(ISBLANK(AC22),"-",AC22-AD22)</f>
        <v>-</v>
      </c>
      <c r="AF22" s="135"/>
      <c r="AG22" s="135"/>
      <c r="AH22" s="171" t="str">
        <f t="shared" ref="AH22:AH32" si="26">IF(ISBLANK(AF22),"-",AF22-AG22)</f>
        <v>-</v>
      </c>
      <c r="AI22" s="135"/>
      <c r="AJ22" s="135"/>
      <c r="AK22" s="171" t="str">
        <f t="shared" ref="AK22:AK32" si="27">IF(ISBLANK(AI22),"-",AI22-AJ22)</f>
        <v>-</v>
      </c>
      <c r="AL22" s="135"/>
      <c r="AM22" s="135"/>
      <c r="AN22" s="171"/>
      <c r="AO22" s="135"/>
      <c r="AP22" s="135"/>
      <c r="AQ22" s="171" t="str">
        <f t="shared" ref="AQ22:AQ32" si="28">IF(ISBLANK(AO22),"-",AO22-AP22)</f>
        <v>-</v>
      </c>
      <c r="AR22" s="135"/>
      <c r="AS22" s="135"/>
      <c r="AT22" s="171" t="str">
        <f t="shared" ref="AT22:AT32" si="29">IF(ISBLANK(AR22),"-",AR22-AS22)</f>
        <v>-</v>
      </c>
      <c r="AU22" s="135"/>
      <c r="AV22" s="135"/>
      <c r="AW22" s="171" t="str">
        <f t="shared" ref="AW22:AW32" si="30">IF(ISBLANK(AU22),"-",AU22-AV22)</f>
        <v>-</v>
      </c>
    </row>
    <row r="23" spans="1:49" x14ac:dyDescent="0.25">
      <c r="A23" s="15" t="s">
        <v>243</v>
      </c>
      <c r="B23" s="138"/>
      <c r="C23" s="138"/>
      <c r="D23" s="25" t="str">
        <f t="shared" si="16"/>
        <v>-</v>
      </c>
      <c r="E23" s="138"/>
      <c r="F23" s="138"/>
      <c r="G23" s="25" t="str">
        <f t="shared" si="17"/>
        <v>-</v>
      </c>
      <c r="H23" s="138"/>
      <c r="I23" s="138"/>
      <c r="J23" s="25" t="str">
        <f t="shared" si="18"/>
        <v>-</v>
      </c>
      <c r="K23" s="138"/>
      <c r="L23" s="138"/>
      <c r="M23" s="25" t="str">
        <f t="shared" si="19"/>
        <v>-</v>
      </c>
      <c r="N23" s="138"/>
      <c r="O23" s="138"/>
      <c r="P23" s="25" t="str">
        <f t="shared" si="20"/>
        <v>-</v>
      </c>
      <c r="Q23" s="138"/>
      <c r="R23" s="138"/>
      <c r="S23" s="25" t="str">
        <f t="shared" si="21"/>
        <v>-</v>
      </c>
      <c r="T23" s="138"/>
      <c r="U23" s="138"/>
      <c r="V23" s="25" t="str">
        <f t="shared" si="22"/>
        <v>-</v>
      </c>
      <c r="W23" s="138"/>
      <c r="X23" s="138"/>
      <c r="Y23" s="25" t="str">
        <f t="shared" si="23"/>
        <v>-</v>
      </c>
      <c r="Z23" s="138"/>
      <c r="AA23" s="138"/>
      <c r="AB23" s="25" t="str">
        <f t="shared" si="24"/>
        <v>-</v>
      </c>
      <c r="AC23" s="138"/>
      <c r="AD23" s="138"/>
      <c r="AE23" s="25" t="str">
        <f t="shared" si="25"/>
        <v>-</v>
      </c>
      <c r="AF23" s="138"/>
      <c r="AG23" s="138"/>
      <c r="AH23" s="25" t="str">
        <f t="shared" si="26"/>
        <v>-</v>
      </c>
      <c r="AI23" s="138"/>
      <c r="AJ23" s="138"/>
      <c r="AK23" s="25" t="str">
        <f t="shared" si="27"/>
        <v>-</v>
      </c>
      <c r="AL23" s="138"/>
      <c r="AM23" s="138"/>
      <c r="AN23" s="25" t="str">
        <f t="shared" ref="AN23:AN32" si="31">IF(ISBLANK(AL23),"-",AL23-AM23)</f>
        <v>-</v>
      </c>
      <c r="AO23" s="138"/>
      <c r="AP23" s="138"/>
      <c r="AQ23" s="25" t="str">
        <f t="shared" si="28"/>
        <v>-</v>
      </c>
      <c r="AR23" s="138"/>
      <c r="AS23" s="138"/>
      <c r="AT23" s="25" t="str">
        <f t="shared" si="29"/>
        <v>-</v>
      </c>
      <c r="AU23" s="138"/>
      <c r="AV23" s="138"/>
      <c r="AW23" s="25" t="str">
        <f t="shared" si="30"/>
        <v>-</v>
      </c>
    </row>
    <row r="24" spans="1:49" x14ac:dyDescent="0.25">
      <c r="A24" s="15" t="s">
        <v>244</v>
      </c>
      <c r="B24" s="138"/>
      <c r="C24" s="138"/>
      <c r="D24" s="9" t="str">
        <f t="shared" si="16"/>
        <v>-</v>
      </c>
      <c r="E24" s="138"/>
      <c r="F24" s="138"/>
      <c r="G24" s="9" t="str">
        <f t="shared" si="17"/>
        <v>-</v>
      </c>
      <c r="H24" s="138">
        <v>52.4</v>
      </c>
      <c r="I24" s="138">
        <v>51.6</v>
      </c>
      <c r="J24" s="9">
        <f t="shared" si="18"/>
        <v>0.79999999999999716</v>
      </c>
      <c r="K24" s="138"/>
      <c r="L24" s="138"/>
      <c r="M24" s="9" t="str">
        <f t="shared" si="19"/>
        <v>-</v>
      </c>
      <c r="N24" s="138">
        <v>49.7</v>
      </c>
      <c r="O24" s="138">
        <v>51.4</v>
      </c>
      <c r="P24" s="9">
        <f t="shared" si="20"/>
        <v>-1.6999999999999957</v>
      </c>
      <c r="Q24" s="138">
        <v>51.6</v>
      </c>
      <c r="R24" s="138">
        <v>51.3</v>
      </c>
      <c r="S24" s="9">
        <f t="shared" si="21"/>
        <v>0.30000000000000426</v>
      </c>
      <c r="T24" s="138">
        <v>51.6</v>
      </c>
      <c r="U24" s="138">
        <v>50.6</v>
      </c>
      <c r="V24" s="9">
        <f t="shared" si="22"/>
        <v>1</v>
      </c>
      <c r="W24" s="138">
        <v>51</v>
      </c>
      <c r="X24" s="138">
        <v>51</v>
      </c>
      <c r="Y24" s="9">
        <f t="shared" si="23"/>
        <v>0</v>
      </c>
      <c r="Z24" s="138">
        <v>51.7</v>
      </c>
      <c r="AA24" s="138">
        <v>52.1</v>
      </c>
      <c r="AB24" s="9">
        <f t="shared" si="24"/>
        <v>-0.39999999999999858</v>
      </c>
      <c r="AC24" s="138">
        <v>50.6</v>
      </c>
      <c r="AD24" s="138">
        <v>50.2</v>
      </c>
      <c r="AE24" s="9">
        <f t="shared" si="25"/>
        <v>0.39999999999999858</v>
      </c>
      <c r="AF24" s="138">
        <v>49.8</v>
      </c>
      <c r="AG24" s="138">
        <v>49.4</v>
      </c>
      <c r="AH24" s="9">
        <f t="shared" si="26"/>
        <v>0.39999999999999858</v>
      </c>
      <c r="AI24" s="138">
        <v>49.4</v>
      </c>
      <c r="AJ24" s="138">
        <v>47.3</v>
      </c>
      <c r="AK24" s="9">
        <f t="shared" si="27"/>
        <v>2.1000000000000014</v>
      </c>
      <c r="AL24" s="138">
        <v>46.6</v>
      </c>
      <c r="AM24" s="138">
        <v>46.7</v>
      </c>
      <c r="AN24" s="9">
        <f t="shared" si="31"/>
        <v>-0.10000000000000142</v>
      </c>
      <c r="AO24" s="138">
        <v>46.7</v>
      </c>
      <c r="AP24" s="138">
        <v>48.5</v>
      </c>
      <c r="AQ24" s="9">
        <f t="shared" si="28"/>
        <v>-1.7999999999999972</v>
      </c>
      <c r="AR24" s="138">
        <v>47.4</v>
      </c>
      <c r="AS24" s="138">
        <v>47.2</v>
      </c>
      <c r="AT24" s="9">
        <f t="shared" si="29"/>
        <v>0.19999999999999574</v>
      </c>
      <c r="AU24" s="138"/>
      <c r="AV24" s="138"/>
      <c r="AW24" s="9" t="str">
        <f t="shared" si="30"/>
        <v>-</v>
      </c>
    </row>
    <row r="25" spans="1:49" x14ac:dyDescent="0.25">
      <c r="A25" s="15" t="s">
        <v>126</v>
      </c>
      <c r="B25" s="138"/>
      <c r="C25" s="138"/>
      <c r="D25" s="25" t="str">
        <f t="shared" si="16"/>
        <v>-</v>
      </c>
      <c r="E25" s="138"/>
      <c r="F25" s="138"/>
      <c r="G25" s="25" t="str">
        <f t="shared" si="17"/>
        <v>-</v>
      </c>
      <c r="H25" s="138">
        <v>56</v>
      </c>
      <c r="I25" s="138">
        <v>52.8</v>
      </c>
      <c r="J25" s="25">
        <f t="shared" si="18"/>
        <v>3.2000000000000028</v>
      </c>
      <c r="K25" s="138"/>
      <c r="L25" s="138"/>
      <c r="M25" s="25" t="str">
        <f t="shared" si="19"/>
        <v>-</v>
      </c>
      <c r="N25" s="138">
        <v>53.1</v>
      </c>
      <c r="O25" s="138">
        <v>52.4</v>
      </c>
      <c r="P25" s="25">
        <f t="shared" si="20"/>
        <v>0.70000000000000284</v>
      </c>
      <c r="Q25" s="138">
        <v>52</v>
      </c>
      <c r="R25" s="138">
        <v>54.1</v>
      </c>
      <c r="S25" s="25">
        <f t="shared" si="21"/>
        <v>-2.1000000000000014</v>
      </c>
      <c r="T25" s="138">
        <v>53.8</v>
      </c>
      <c r="U25" s="138">
        <v>51.8</v>
      </c>
      <c r="V25" s="25">
        <f t="shared" si="22"/>
        <v>2</v>
      </c>
      <c r="W25" s="138">
        <v>51.3</v>
      </c>
      <c r="X25" s="138">
        <v>50.6</v>
      </c>
      <c r="Y25" s="25">
        <f t="shared" si="23"/>
        <v>0.69999999999999574</v>
      </c>
      <c r="Z25" s="138">
        <v>50.5</v>
      </c>
      <c r="AA25" s="138">
        <v>51.6</v>
      </c>
      <c r="AB25" s="25">
        <f t="shared" si="24"/>
        <v>-1.1000000000000014</v>
      </c>
      <c r="AC25" s="138">
        <v>51.4</v>
      </c>
      <c r="AD25" s="138">
        <v>51.2</v>
      </c>
      <c r="AE25" s="25">
        <f t="shared" si="25"/>
        <v>0.19999999999999574</v>
      </c>
      <c r="AF25" s="138">
        <v>50.4</v>
      </c>
      <c r="AG25" s="138">
        <v>50.5</v>
      </c>
      <c r="AH25" s="25">
        <f t="shared" si="26"/>
        <v>-0.10000000000000142</v>
      </c>
      <c r="AI25" s="138">
        <v>49.6</v>
      </c>
      <c r="AJ25" s="138">
        <v>51</v>
      </c>
      <c r="AK25" s="25">
        <f t="shared" si="27"/>
        <v>-1.3999999999999986</v>
      </c>
      <c r="AL25" s="138">
        <v>50.6</v>
      </c>
      <c r="AM25" s="138">
        <v>50.5</v>
      </c>
      <c r="AN25" s="25">
        <f t="shared" si="31"/>
        <v>0.10000000000000142</v>
      </c>
      <c r="AO25" s="138">
        <v>50.6</v>
      </c>
      <c r="AP25" s="138">
        <v>52.5</v>
      </c>
      <c r="AQ25" s="25">
        <f t="shared" si="28"/>
        <v>-1.8999999999999986</v>
      </c>
      <c r="AR25" s="138">
        <v>50.8</v>
      </c>
      <c r="AS25" s="138">
        <v>51.2</v>
      </c>
      <c r="AT25" s="25">
        <f t="shared" si="29"/>
        <v>-0.40000000000000568</v>
      </c>
      <c r="AU25" s="138"/>
      <c r="AV25" s="138"/>
      <c r="AW25" s="25" t="str">
        <f t="shared" si="30"/>
        <v>-</v>
      </c>
    </row>
    <row r="26" spans="1:49" x14ac:dyDescent="0.25">
      <c r="A26" s="28" t="s">
        <v>245</v>
      </c>
      <c r="B26" s="138"/>
      <c r="C26" s="138"/>
      <c r="D26" s="25" t="str">
        <f t="shared" si="16"/>
        <v>-</v>
      </c>
      <c r="E26" s="138"/>
      <c r="F26" s="138"/>
      <c r="G26" s="25" t="str">
        <f t="shared" si="17"/>
        <v>-</v>
      </c>
      <c r="H26" s="138"/>
      <c r="I26" s="138"/>
      <c r="J26" s="25" t="str">
        <f t="shared" si="18"/>
        <v>-</v>
      </c>
      <c r="K26" s="138"/>
      <c r="L26" s="138"/>
      <c r="M26" s="25" t="str">
        <f t="shared" si="19"/>
        <v>-</v>
      </c>
      <c r="N26" s="138"/>
      <c r="O26" s="138"/>
      <c r="P26" s="25" t="str">
        <f t="shared" si="20"/>
        <v>-</v>
      </c>
      <c r="Q26" s="138"/>
      <c r="R26" s="138"/>
      <c r="S26" s="25" t="str">
        <f t="shared" si="21"/>
        <v>-</v>
      </c>
      <c r="T26" s="138"/>
      <c r="U26" s="138"/>
      <c r="V26" s="25" t="str">
        <f t="shared" si="22"/>
        <v>-</v>
      </c>
      <c r="W26" s="138"/>
      <c r="X26" s="138"/>
      <c r="Y26" s="25" t="str">
        <f t="shared" si="23"/>
        <v>-</v>
      </c>
      <c r="Z26" s="138"/>
      <c r="AA26" s="138"/>
      <c r="AB26" s="25" t="str">
        <f t="shared" si="24"/>
        <v>-</v>
      </c>
      <c r="AC26" s="138"/>
      <c r="AD26" s="138"/>
      <c r="AE26" s="25" t="str">
        <f t="shared" si="25"/>
        <v>-</v>
      </c>
      <c r="AF26" s="138"/>
      <c r="AG26" s="138"/>
      <c r="AH26" s="25" t="str">
        <f t="shared" si="26"/>
        <v>-</v>
      </c>
      <c r="AI26" s="138"/>
      <c r="AJ26" s="138"/>
      <c r="AK26" s="25" t="str">
        <f t="shared" si="27"/>
        <v>-</v>
      </c>
      <c r="AL26" s="138"/>
      <c r="AM26" s="138"/>
      <c r="AN26" s="25" t="str">
        <f t="shared" si="31"/>
        <v>-</v>
      </c>
      <c r="AO26" s="138"/>
      <c r="AP26" s="138"/>
      <c r="AQ26" s="25" t="str">
        <f t="shared" si="28"/>
        <v>-</v>
      </c>
      <c r="AR26" s="138"/>
      <c r="AS26" s="138"/>
      <c r="AT26" s="25" t="str">
        <f t="shared" si="29"/>
        <v>-</v>
      </c>
      <c r="AU26" s="138"/>
      <c r="AV26" s="138"/>
      <c r="AW26" s="25" t="str">
        <f t="shared" si="30"/>
        <v>-</v>
      </c>
    </row>
    <row r="27" spans="1:49" x14ac:dyDescent="0.25">
      <c r="A27" s="172" t="s">
        <v>246</v>
      </c>
      <c r="B27" s="173"/>
      <c r="C27" s="173"/>
      <c r="D27" s="174" t="str">
        <f>IF(ISBLANK(B27),"-",B27-C27)</f>
        <v>-</v>
      </c>
      <c r="E27" s="173"/>
      <c r="F27" s="173"/>
      <c r="G27" s="174" t="str">
        <f>IF(ISBLANK(E27),"-",E27-F27)</f>
        <v>-</v>
      </c>
      <c r="H27" s="173">
        <v>2.94</v>
      </c>
      <c r="I27" s="173">
        <v>4.3499999999999996</v>
      </c>
      <c r="J27" s="174">
        <f>IF(ISBLANK(H27),"-",H27-I27)</f>
        <v>-1.4099999999999997</v>
      </c>
      <c r="K27" s="173"/>
      <c r="L27" s="173"/>
      <c r="M27" s="174" t="str">
        <f>IF(ISBLANK(K27),"-",K27-L27)</f>
        <v>-</v>
      </c>
      <c r="N27" s="173">
        <v>1.83</v>
      </c>
      <c r="O27" s="173">
        <v>6.61</v>
      </c>
      <c r="P27" s="174">
        <f>IF(ISBLANK(N27),"-",N27-O27)</f>
        <v>-4.78</v>
      </c>
      <c r="Q27" s="173">
        <v>7.31</v>
      </c>
      <c r="R27" s="173">
        <v>5.37</v>
      </c>
      <c r="S27" s="174">
        <f>IF(ISBLANK(Q27),"-",Q27-R27)</f>
        <v>1.9399999999999995</v>
      </c>
      <c r="T27" s="173">
        <v>5.37</v>
      </c>
      <c r="U27" s="173">
        <v>1.6</v>
      </c>
      <c r="V27" s="174">
        <f>IF(ISBLANK(T27),"-",T27-U27)</f>
        <v>3.77</v>
      </c>
      <c r="W27" s="173">
        <v>2.2400000000000002</v>
      </c>
      <c r="X27" s="173">
        <v>6.89</v>
      </c>
      <c r="Y27" s="174">
        <f>IF(ISBLANK(W27),"-",W27-X27)</f>
        <v>-4.6499999999999995</v>
      </c>
      <c r="Z27" s="173">
        <v>6.9</v>
      </c>
      <c r="AA27" s="173">
        <v>5.16</v>
      </c>
      <c r="AB27" s="174">
        <f>IF(ISBLANK(Z27),"-",Z27-AA27)</f>
        <v>1.7400000000000002</v>
      </c>
      <c r="AC27" s="173">
        <v>5.63</v>
      </c>
      <c r="AD27" s="173">
        <v>4.92</v>
      </c>
      <c r="AE27" s="174">
        <f>IF(ISBLANK(AC27),"-",AC27-AD27)</f>
        <v>0.71</v>
      </c>
      <c r="AF27" s="173">
        <v>5.09</v>
      </c>
      <c r="AG27" s="173">
        <v>5.67</v>
      </c>
      <c r="AH27" s="174">
        <f>IF(ISBLANK(AF27),"-",AF27-AG27)</f>
        <v>-0.58000000000000007</v>
      </c>
      <c r="AI27" s="173">
        <v>5.95</v>
      </c>
      <c r="AJ27" s="173">
        <v>5.28</v>
      </c>
      <c r="AK27" s="174">
        <f>IF(ISBLANK(AI27),"-",AI27-AJ27)</f>
        <v>0.66999999999999993</v>
      </c>
      <c r="AL27" s="173">
        <v>5.64</v>
      </c>
      <c r="AM27" s="173">
        <v>6.01</v>
      </c>
      <c r="AN27" s="174">
        <f t="shared" si="31"/>
        <v>-0.37000000000000011</v>
      </c>
      <c r="AO27" s="173">
        <v>6.01</v>
      </c>
      <c r="AP27" s="173">
        <v>5.43</v>
      </c>
      <c r="AQ27" s="174">
        <f t="shared" si="28"/>
        <v>0.58000000000000007</v>
      </c>
      <c r="AR27" s="173">
        <v>5.59</v>
      </c>
      <c r="AS27" s="173">
        <v>5.05</v>
      </c>
      <c r="AT27" s="174">
        <f t="shared" si="29"/>
        <v>0.54</v>
      </c>
      <c r="AU27" s="173"/>
      <c r="AV27" s="173"/>
      <c r="AW27" s="174" t="str">
        <f t="shared" si="30"/>
        <v>-</v>
      </c>
    </row>
    <row r="28" spans="1:49" x14ac:dyDescent="0.25">
      <c r="A28" s="172" t="s">
        <v>247</v>
      </c>
      <c r="B28" s="173"/>
      <c r="C28" s="173"/>
      <c r="D28" s="174" t="str">
        <f t="shared" si="16"/>
        <v>-</v>
      </c>
      <c r="E28" s="173"/>
      <c r="F28" s="173"/>
      <c r="G28" s="174" t="str">
        <f t="shared" si="17"/>
        <v>-</v>
      </c>
      <c r="H28" s="173">
        <v>3</v>
      </c>
      <c r="I28" s="173">
        <v>2</v>
      </c>
      <c r="J28" s="174">
        <f t="shared" si="18"/>
        <v>1</v>
      </c>
      <c r="K28" s="173"/>
      <c r="L28" s="173"/>
      <c r="M28" s="174" t="str">
        <f t="shared" si="19"/>
        <v>-</v>
      </c>
      <c r="N28" s="173"/>
      <c r="O28" s="173"/>
      <c r="P28" s="174" t="str">
        <f t="shared" si="20"/>
        <v>-</v>
      </c>
      <c r="Q28" s="173">
        <v>4</v>
      </c>
      <c r="R28" s="173">
        <v>8</v>
      </c>
      <c r="S28" s="174">
        <f t="shared" si="21"/>
        <v>-4</v>
      </c>
      <c r="T28" s="173"/>
      <c r="U28" s="173"/>
      <c r="V28" s="174" t="str">
        <f t="shared" si="22"/>
        <v>-</v>
      </c>
      <c r="W28" s="173">
        <v>5</v>
      </c>
      <c r="X28" s="173">
        <v>-1</v>
      </c>
      <c r="Y28" s="174">
        <f t="shared" si="23"/>
        <v>6</v>
      </c>
      <c r="Z28" s="173">
        <v>-1</v>
      </c>
      <c r="AA28" s="173">
        <v>-3</v>
      </c>
      <c r="AB28" s="174">
        <f t="shared" si="24"/>
        <v>2</v>
      </c>
      <c r="AC28" s="173">
        <v>-1</v>
      </c>
      <c r="AD28" s="173">
        <v>5</v>
      </c>
      <c r="AE28" s="174">
        <f t="shared" si="25"/>
        <v>-6</v>
      </c>
      <c r="AF28" s="173">
        <v>4</v>
      </c>
      <c r="AG28" s="173">
        <v>-2</v>
      </c>
      <c r="AH28" s="174">
        <f t="shared" si="26"/>
        <v>6</v>
      </c>
      <c r="AI28" s="173">
        <v>-3</v>
      </c>
      <c r="AJ28" s="173">
        <v>-2</v>
      </c>
      <c r="AK28" s="174">
        <f t="shared" si="27"/>
        <v>-1</v>
      </c>
      <c r="AL28" s="173">
        <v>-2</v>
      </c>
      <c r="AM28" s="173">
        <v>-5</v>
      </c>
      <c r="AN28" s="174">
        <f t="shared" si="31"/>
        <v>3</v>
      </c>
      <c r="AO28" s="173">
        <v>-4</v>
      </c>
      <c r="AP28" s="173">
        <v>1</v>
      </c>
      <c r="AQ28" s="174">
        <f t="shared" si="28"/>
        <v>-5</v>
      </c>
      <c r="AR28" s="173">
        <v>4</v>
      </c>
      <c r="AS28" s="173">
        <v>-2</v>
      </c>
      <c r="AT28" s="174">
        <f t="shared" si="29"/>
        <v>6</v>
      </c>
      <c r="AU28" s="173">
        <v>1</v>
      </c>
      <c r="AV28" s="173">
        <v>1</v>
      </c>
      <c r="AW28" s="174">
        <f t="shared" si="30"/>
        <v>0</v>
      </c>
    </row>
    <row r="29" spans="1:49" x14ac:dyDescent="0.25">
      <c r="A29" s="172" t="s">
        <v>248</v>
      </c>
      <c r="B29" s="173"/>
      <c r="C29" s="173"/>
      <c r="D29" s="174" t="str">
        <f t="shared" si="16"/>
        <v>-</v>
      </c>
      <c r="E29" s="173"/>
      <c r="F29" s="173"/>
      <c r="G29" s="174" t="str">
        <f t="shared" si="17"/>
        <v>-</v>
      </c>
      <c r="H29" s="173"/>
      <c r="I29" s="173"/>
      <c r="J29" s="174" t="str">
        <f t="shared" si="18"/>
        <v>-</v>
      </c>
      <c r="K29" s="173"/>
      <c r="L29" s="173"/>
      <c r="M29" s="174" t="str">
        <f t="shared" si="19"/>
        <v>-</v>
      </c>
      <c r="N29" s="173">
        <v>2</v>
      </c>
      <c r="O29" s="173">
        <v>0</v>
      </c>
      <c r="P29" s="174">
        <f t="shared" si="20"/>
        <v>2</v>
      </c>
      <c r="Q29" s="173"/>
      <c r="R29" s="173"/>
      <c r="S29" s="174" t="str">
        <f t="shared" si="21"/>
        <v>-</v>
      </c>
      <c r="T29" s="173">
        <v>-1</v>
      </c>
      <c r="U29" s="173">
        <v>-3</v>
      </c>
      <c r="V29" s="174">
        <f t="shared" si="22"/>
        <v>2</v>
      </c>
      <c r="W29" s="173"/>
      <c r="X29" s="173"/>
      <c r="Y29" s="174" t="str">
        <f t="shared" si="23"/>
        <v>-</v>
      </c>
      <c r="Z29" s="173">
        <v>-4</v>
      </c>
      <c r="AA29" s="173">
        <v>-5</v>
      </c>
      <c r="AB29" s="174">
        <f t="shared" si="24"/>
        <v>1</v>
      </c>
      <c r="AC29" s="173"/>
      <c r="AD29" s="173"/>
      <c r="AE29" s="174" t="str">
        <f t="shared" si="25"/>
        <v>-</v>
      </c>
      <c r="AF29" s="173">
        <v>-4</v>
      </c>
      <c r="AG29" s="173">
        <v>-7</v>
      </c>
      <c r="AH29" s="174">
        <f t="shared" si="26"/>
        <v>3</v>
      </c>
      <c r="AI29" s="173"/>
      <c r="AJ29" s="173"/>
      <c r="AK29" s="174" t="str">
        <f t="shared" si="27"/>
        <v>-</v>
      </c>
      <c r="AL29" s="173">
        <v>-6</v>
      </c>
      <c r="AM29" s="173">
        <v>-2</v>
      </c>
      <c r="AN29" s="174">
        <f t="shared" si="31"/>
        <v>-4</v>
      </c>
      <c r="AO29" s="173"/>
      <c r="AP29" s="173"/>
      <c r="AQ29" s="174" t="str">
        <f t="shared" si="28"/>
        <v>-</v>
      </c>
      <c r="AR29" s="173">
        <v>-1</v>
      </c>
      <c r="AS29" s="173">
        <v>-2</v>
      </c>
      <c r="AT29" s="174">
        <f t="shared" si="29"/>
        <v>1</v>
      </c>
      <c r="AU29" s="173"/>
      <c r="AV29" s="173"/>
      <c r="AW29" s="174" t="str">
        <f t="shared" si="30"/>
        <v>-</v>
      </c>
    </row>
    <row r="30" spans="1:49" x14ac:dyDescent="0.25">
      <c r="A30" s="172" t="s">
        <v>249</v>
      </c>
      <c r="B30" s="173"/>
      <c r="C30" s="173"/>
      <c r="D30" s="4" t="str">
        <f t="shared" si="16"/>
        <v>-</v>
      </c>
      <c r="E30" s="173"/>
      <c r="F30" s="173"/>
      <c r="G30" s="4" t="str">
        <f t="shared" si="17"/>
        <v>-</v>
      </c>
      <c r="H30" s="249">
        <v>-0.09</v>
      </c>
      <c r="I30" s="175">
        <v>0.128</v>
      </c>
      <c r="J30" s="4">
        <f t="shared" si="18"/>
        <v>-0.218</v>
      </c>
      <c r="K30" s="173"/>
      <c r="L30" s="173"/>
      <c r="M30" s="4" t="str">
        <f t="shared" si="19"/>
        <v>-</v>
      </c>
      <c r="N30" s="173"/>
      <c r="O30" s="173"/>
      <c r="P30" s="4" t="str">
        <f t="shared" si="20"/>
        <v>-</v>
      </c>
      <c r="Q30" s="173"/>
      <c r="R30" s="173"/>
      <c r="S30" s="4" t="str">
        <f t="shared" si="21"/>
        <v>-</v>
      </c>
      <c r="T30" s="173"/>
      <c r="U30" s="173"/>
      <c r="V30" s="4" t="str">
        <f t="shared" si="22"/>
        <v>-</v>
      </c>
      <c r="W30" s="173"/>
      <c r="X30" s="173"/>
      <c r="Y30" s="4" t="str">
        <f t="shared" si="23"/>
        <v>-</v>
      </c>
      <c r="Z30" s="173"/>
      <c r="AA30" s="173"/>
      <c r="AB30" s="4" t="str">
        <f t="shared" si="24"/>
        <v>-</v>
      </c>
      <c r="AC30" s="173"/>
      <c r="AD30" s="173"/>
      <c r="AE30" s="4" t="str">
        <f t="shared" si="25"/>
        <v>-</v>
      </c>
      <c r="AF30" s="173"/>
      <c r="AG30" s="173"/>
      <c r="AH30" s="4" t="str">
        <f t="shared" si="26"/>
        <v>-</v>
      </c>
      <c r="AI30" s="175">
        <v>5.2999999999999999E-2</v>
      </c>
      <c r="AJ30" s="175">
        <v>6.2E-2</v>
      </c>
      <c r="AK30" s="4">
        <f t="shared" si="27"/>
        <v>-9.0000000000000011E-3</v>
      </c>
      <c r="AL30" s="173"/>
      <c r="AM30" s="173"/>
      <c r="AN30" s="4" t="str">
        <f t="shared" si="31"/>
        <v>-</v>
      </c>
      <c r="AO30" s="173"/>
      <c r="AP30" s="173"/>
      <c r="AQ30" s="4" t="str">
        <f t="shared" si="28"/>
        <v>-</v>
      </c>
      <c r="AR30" s="173"/>
      <c r="AS30" s="173"/>
      <c r="AT30" s="4" t="str">
        <f t="shared" si="29"/>
        <v>-</v>
      </c>
      <c r="AU30" s="173"/>
      <c r="AV30" s="173"/>
      <c r="AW30" s="4" t="str">
        <f t="shared" si="30"/>
        <v>-</v>
      </c>
    </row>
    <row r="31" spans="1:49" x14ac:dyDescent="0.25">
      <c r="A31" s="172" t="s">
        <v>250</v>
      </c>
      <c r="B31" s="173"/>
      <c r="C31" s="173"/>
      <c r="D31" s="4" t="str">
        <f t="shared" si="16"/>
        <v>-</v>
      </c>
      <c r="E31" s="173"/>
      <c r="F31" s="173"/>
      <c r="G31" s="4" t="str">
        <f t="shared" si="17"/>
        <v>-</v>
      </c>
      <c r="H31" s="173"/>
      <c r="I31" s="173"/>
      <c r="J31" s="4" t="str">
        <f t="shared" si="18"/>
        <v>-</v>
      </c>
      <c r="K31" s="173"/>
      <c r="L31" s="173"/>
      <c r="M31" s="4" t="str">
        <f t="shared" si="19"/>
        <v>-</v>
      </c>
      <c r="N31" s="173"/>
      <c r="O31" s="173"/>
      <c r="P31" s="4" t="str">
        <f t="shared" si="20"/>
        <v>-</v>
      </c>
      <c r="Q31" s="175">
        <v>2E-3</v>
      </c>
      <c r="R31" s="175">
        <v>-2E-3</v>
      </c>
      <c r="S31" s="4">
        <f t="shared" si="21"/>
        <v>4.0000000000000001E-3</v>
      </c>
      <c r="T31" s="175">
        <v>-1E-3</v>
      </c>
      <c r="U31" s="175">
        <v>2E-3</v>
      </c>
      <c r="V31" s="4">
        <f t="shared" si="22"/>
        <v>-3.0000000000000001E-3</v>
      </c>
      <c r="W31" s="175">
        <v>-1E-3</v>
      </c>
      <c r="X31" s="175">
        <v>2E-3</v>
      </c>
      <c r="Y31" s="4">
        <f t="shared" si="23"/>
        <v>-3.0000000000000001E-3</v>
      </c>
      <c r="Z31" s="175">
        <v>-2E-3</v>
      </c>
      <c r="AA31" s="175">
        <v>1.6E-2</v>
      </c>
      <c r="AB31" s="4">
        <f t="shared" si="24"/>
        <v>-1.8000000000000002E-2</v>
      </c>
      <c r="AC31" s="175">
        <v>-2E-3</v>
      </c>
      <c r="AD31" s="175">
        <v>1.6E-2</v>
      </c>
      <c r="AE31" s="4">
        <f t="shared" si="25"/>
        <v>-1.8000000000000002E-2</v>
      </c>
      <c r="AF31" s="173"/>
      <c r="AG31" s="173"/>
      <c r="AH31" s="4" t="str">
        <f t="shared" si="26"/>
        <v>-</v>
      </c>
      <c r="AI31" s="175">
        <v>1.0999999999999999E-2</v>
      </c>
      <c r="AJ31" s="175">
        <v>-2.1999999999999999E-2</v>
      </c>
      <c r="AK31" s="4">
        <f t="shared" si="27"/>
        <v>3.3000000000000002E-2</v>
      </c>
      <c r="AL31" s="173"/>
      <c r="AM31" s="173"/>
      <c r="AN31" s="4" t="str">
        <f t="shared" si="31"/>
        <v>-</v>
      </c>
      <c r="AO31" s="175">
        <v>-2.1999999999999999E-2</v>
      </c>
      <c r="AP31" s="175">
        <v>1.9E-2</v>
      </c>
      <c r="AQ31" s="4">
        <f t="shared" si="28"/>
        <v>-4.0999999999999995E-2</v>
      </c>
      <c r="AR31" s="173"/>
      <c r="AS31" s="173"/>
      <c r="AT31" s="4" t="str">
        <f t="shared" si="29"/>
        <v>-</v>
      </c>
      <c r="AU31" s="173"/>
      <c r="AV31" s="173"/>
      <c r="AW31" s="4" t="str">
        <f t="shared" si="30"/>
        <v>-</v>
      </c>
    </row>
    <row r="32" spans="1:49" x14ac:dyDescent="0.25">
      <c r="A32" s="172" t="s">
        <v>251</v>
      </c>
      <c r="B32" s="173"/>
      <c r="C32" s="173"/>
      <c r="D32" s="170" t="str">
        <f t="shared" si="16"/>
        <v>-</v>
      </c>
      <c r="E32" s="173"/>
      <c r="F32" s="173"/>
      <c r="G32" s="170" t="str">
        <f t="shared" si="17"/>
        <v>-</v>
      </c>
      <c r="H32" s="173"/>
      <c r="I32" s="173"/>
      <c r="J32" s="170" t="str">
        <f t="shared" si="18"/>
        <v>-</v>
      </c>
      <c r="K32" s="173"/>
      <c r="L32" s="173"/>
      <c r="M32" s="170" t="str">
        <f t="shared" si="19"/>
        <v>-</v>
      </c>
      <c r="N32" s="173"/>
      <c r="O32" s="173"/>
      <c r="P32" s="170" t="str">
        <f t="shared" si="20"/>
        <v>-</v>
      </c>
      <c r="Q32" s="173"/>
      <c r="R32" s="173"/>
      <c r="S32" s="170" t="str">
        <f t="shared" si="21"/>
        <v>-</v>
      </c>
      <c r="T32" s="175">
        <v>-5.0000000000000001E-3</v>
      </c>
      <c r="U32" s="175">
        <v>0.06</v>
      </c>
      <c r="V32" s="170">
        <f t="shared" si="22"/>
        <v>-6.5000000000000002E-2</v>
      </c>
      <c r="W32" s="175">
        <v>-5.0000000000000001E-3</v>
      </c>
      <c r="X32" s="175">
        <v>0.06</v>
      </c>
      <c r="Y32" s="170">
        <f t="shared" si="23"/>
        <v>-6.5000000000000002E-2</v>
      </c>
      <c r="Z32" s="175">
        <v>5.8999999999999997E-2</v>
      </c>
      <c r="AA32" s="175">
        <v>-4.9000000000000002E-2</v>
      </c>
      <c r="AB32" s="170">
        <f t="shared" si="24"/>
        <v>0.108</v>
      </c>
      <c r="AC32" s="175">
        <v>5.8999999999999997E-2</v>
      </c>
      <c r="AD32" s="175">
        <v>-4.9000000000000002E-2</v>
      </c>
      <c r="AE32" s="170">
        <f t="shared" si="25"/>
        <v>0.108</v>
      </c>
      <c r="AF32" s="173"/>
      <c r="AG32" s="173"/>
      <c r="AH32" s="170" t="str">
        <f t="shared" si="26"/>
        <v>-</v>
      </c>
      <c r="AI32" s="175">
        <v>-4.5999999999999999E-2</v>
      </c>
      <c r="AJ32" s="175">
        <v>-6.8000000000000005E-2</v>
      </c>
      <c r="AK32" s="170">
        <f t="shared" si="27"/>
        <v>2.2000000000000006E-2</v>
      </c>
      <c r="AL32" s="173"/>
      <c r="AM32" s="173"/>
      <c r="AN32" s="170" t="str">
        <f t="shared" si="31"/>
        <v>-</v>
      </c>
      <c r="AO32" s="173"/>
      <c r="AP32" s="173"/>
      <c r="AQ32" s="170" t="str">
        <f t="shared" si="28"/>
        <v>-</v>
      </c>
      <c r="AR32" s="173"/>
      <c r="AS32" s="173"/>
      <c r="AT32" s="170" t="str">
        <f t="shared" si="29"/>
        <v>-</v>
      </c>
      <c r="AU32" s="173"/>
      <c r="AV32" s="173"/>
      <c r="AW32" s="170" t="str">
        <f t="shared" si="30"/>
        <v>-</v>
      </c>
    </row>
    <row r="33" spans="1:49" x14ac:dyDescent="0.25">
      <c r="A33" s="2" t="s">
        <v>146</v>
      </c>
      <c r="B33" s="352" t="str">
        <f>IF(AND(D34="-",D35="-",D36="-",D37="-"),
    "",
    IF(SUM(IF(D34="-",0,IF(D34&lt;0,-2,IF(D34&gt;0,2,0))),
            IF(D35="-",0,IF(D35&lt;0,-2,IF(D35&gt;0,2,0))),
            IF(D36="-",0,IF(D36&lt;0,-1,IF(D36&gt;0,1,0))),
            IF(D37="-",0,IF(D37&lt;0,-1,IF(D37&gt;0,1,0)))) / 6 &gt; 0.1,
        "BULLISH",
        IF(SUM(IF(D34="-",0,IF(D34&lt;0,-2,IF(D34&gt;0,2,0))),
                IF(D35="-",0,IF(D35&lt;0,-2,IF(D35&gt;0,2,0))),
                IF(D36="-",0,IF(D36&lt;0,-1,IF(D36&gt;0,1,0))),
                IF(D37="-",0,IF(D37&lt;0,-1,IF(D37&gt;0,1,0)))) / 6 &lt; -0.1,
            "BEARISH",
            IF(SUM(IF(D34="-",0,IF(D34&lt;0,-2,IF(D34&gt;0,2,0))),
                    IF(D35="-",0,IF(D35&lt;0,-2,IF(D35&gt;0,2,0))),
                    IF(D36="-",0,IF(D36&lt;0,-1,IF(D36&gt;0,1,0))),
                    IF(D37="-",0,IF(D37&lt;0,-1,IF(D37&gt;0,1,0)))) / 6 &gt; -0.1,
                "NEUTRO",
                IF(SUM(IF(D34="-",0,IF(D34&lt;0,-2,IF(D34&gt;0,2,0))),
                        IF(D35="-",0,IF(D35&lt;0,-2,IF(D35&gt;0,2,0))),
                        IF(D36="-",0,IF(D36&lt;0,-1,IF(D36&gt;0,1,0))),
                        IF(D37="-",0,IF(D37&lt;0,-1,IF(D37&gt;0,1,0)))) / 6 &lt; 0.1,
                    "NEUTRO",
                    "")))))</f>
        <v/>
      </c>
      <c r="C33" s="353"/>
      <c r="D33" s="354"/>
      <c r="E33" s="352" t="str">
        <f>IF(AND(G34="-",G35="-",G36="-",G37="-"),
    "",
    IF(SUM(IF(G34="-",0,IF(G34&lt;0,-2,IF(G34&gt;0,2,0))),
            IF(G35="-",0,IF(G35&lt;0,-2,IF(G35&gt;0,2,0))),
            IF(G36="-",0,IF(G36&lt;0,-1,IF(G36&gt;0,1,0))),
            IF(G37="-",0,IF(G37&lt;0,-1,IF(G37&gt;0,1,0)))) / 6 &gt; 0.1,
        "BULLISH",
        IF(SUM(IF(G34="-",0,IF(G34&lt;0,-2,IF(G34&gt;0,2,0))),
                IF(G35="-",0,IF(G35&lt;0,-2,IF(G35&gt;0,2,0))),
                IF(G36="-",0,IF(G36&lt;0,-1,IF(G36&gt;0,1,0))),
                IF(G37="-",0,IF(G37&lt;0,-1,IF(G37&gt;0,1,0)))) / 6 &lt; -0.1,
            "BEARISH",
            IF(SUM(IF(G34="-",0,IF(G34&lt;0,-2,IF(G34&gt;0,2,0))),
                    IF(G35="-",0,IF(G35&lt;0,-2,IF(G35&gt;0,2,0))),
                    IF(G36="-",0,IF(G36&lt;0,-1,IF(G36&gt;0,1,0))),
                    IF(G37="-",0,IF(G37&lt;0,-1,IF(G37&gt;0,1,0)))) / 6 &gt; -0.1,
                "NEUTRO",
                IF(SUM(IF(G34="-",0,IF(G34&lt;0,-2,IF(G34&gt;0,2,0))),
                        IF(G35="-",0,IF(G35&lt;0,-2,IF(G35&gt;0,2,0))),
                        IF(G36="-",0,IF(G36&lt;0,-1,IF(G36&gt;0,1,0))),
                        IF(G37="-",0,IF(G37&lt;0,-1,IF(G37&gt;0,1,0)))) / 6 &lt; 0.1,
                    "NEUTRO",
                    "")))))</f>
        <v>BEARISH</v>
      </c>
      <c r="F33" s="353"/>
      <c r="G33" s="354"/>
      <c r="H33" s="352" t="str">
        <f>IF(AND(J34="-",J35="-",J36="-",J37="-"),
    "",
    IF(SUM(IF(J34="-",0,IF(J34&lt;0,-2,IF(J34&gt;0,2,0))),
            IF(J35="-",0,IF(J35&lt;0,-2,IF(J35&gt;0,2,0))),
            IF(J36="-",0,IF(J36&lt;0,-1,IF(J36&gt;0,1,0))),
            IF(J37="-",0,IF(J37&lt;0,-1,IF(J37&gt;0,1,0)))) / 6 &gt; 0.1,
        "BULLISH",
        IF(SUM(IF(J34="-",0,IF(J34&lt;0,-2,IF(J34&gt;0,2,0))),
                IF(J35="-",0,IF(J35&lt;0,-2,IF(J35&gt;0,2,0))),
                IF(J36="-",0,IF(J36&lt;0,-1,IF(J36&gt;0,1,0))),
                IF(J37="-",0,IF(J37&lt;0,-1,IF(J37&gt;0,1,0)))) / 6 &lt; -0.1,
            "BEARISH",
            IF(SUM(IF(J34="-",0,IF(J34&lt;0,-2,IF(J34&gt;0,2,0))),
                    IF(J35="-",0,IF(J35&lt;0,-2,IF(J35&gt;0,2,0))),
                    IF(J36="-",0,IF(J36&lt;0,-1,IF(J36&gt;0,1,0))),
                    IF(J37="-",0,IF(J37&lt;0,-1,IF(J37&gt;0,1,0)))) / 6 &gt; -0.1,
                "NEUTRO",
                IF(SUM(IF(J34="-",0,IF(J34&lt;0,-2,IF(J34&gt;0,2,0))),
                        IF(J35="-",0,IF(J35&lt;0,-2,IF(J35&gt;0,2,0))),
                        IF(J36="-",0,IF(J36&lt;0,-1,IF(J36&gt;0,1,0))),
                        IF(J37="-",0,IF(J37&lt;0,-1,IF(J37&gt;0,1,0)))) / 6 &lt; 0.1,
                    "NEUTRO",
                    "")))))</f>
        <v>BULLISH</v>
      </c>
      <c r="I33" s="353"/>
      <c r="J33" s="354"/>
      <c r="K33" s="352" t="str">
        <f>IF(AND(M34="-",M35="-",M36="-",M37="-"),
    "",
    IF(SUM(IF(M34="-",0,IF(M34&lt;0,-2,IF(M34&gt;0,2,0))),
            IF(M35="-",0,IF(M35&lt;0,-2,IF(M35&gt;0,2,0))),
            IF(M36="-",0,IF(M36&lt;0,-1,IF(M36&gt;0,1,0))),
            IF(M37="-",0,IF(M37&lt;0,-1,IF(M37&gt;0,1,0)))) / 6 &gt; 0.1,
        "BULLISH",
        IF(SUM(IF(M34="-",0,IF(M34&lt;0,-2,IF(M34&gt;0,2,0))),
                IF(M35="-",0,IF(M35&lt;0,-2,IF(M35&gt;0,2,0))),
                IF(M36="-",0,IF(M36&lt;0,-1,IF(M36&gt;0,1,0))),
                IF(M37="-",0,IF(M37&lt;0,-1,IF(M37&gt;0,1,0)))) / 6 &lt; -0.1,
            "BEARISH",
            IF(SUM(IF(M34="-",0,IF(M34&lt;0,-2,IF(M34&gt;0,2,0))),
                    IF(M35="-",0,IF(M35&lt;0,-2,IF(M35&gt;0,2,0))),
                    IF(M36="-",0,IF(M36&lt;0,-1,IF(M36&gt;0,1,0))),
                    IF(M37="-",0,IF(M37&lt;0,-1,IF(M37&gt;0,1,0)))) / 6 &gt; -0.1,
                "NEUTRO",
                IF(SUM(IF(M34="-",0,IF(M34&lt;0,-2,IF(M34&gt;0,2,0))),
                        IF(M35="-",0,IF(M35&lt;0,-2,IF(M35&gt;0,2,0))),
                        IF(M36="-",0,IF(M36&lt;0,-1,IF(M36&gt;0,1,0))),
                        IF(M37="-",0,IF(M37&lt;0,-1,IF(M37&gt;0,1,0)))) / 6 &lt; 0.1,
                    "NEUTRO",
                    "")))))</f>
        <v/>
      </c>
      <c r="L33" s="353"/>
      <c r="M33" s="354"/>
      <c r="N33" s="352" t="str">
        <f>IF(AND(P34="-",P35="-",P36="-",P37="-"),
    "",
    IF(SUM(IF(P34="-",0,IF(P34&lt;0,-2,IF(P34&gt;0,2,0))),
            IF(P35="-",0,IF(P35&lt;0,-2,IF(P35&gt;0,2,0))),
            IF(P36="-",0,IF(P36&lt;0,-1,IF(P36&gt;0,1,0))),
            IF(P37="-",0,IF(P37&lt;0,-1,IF(P37&gt;0,1,0)))) / 6 &gt; 0.1,
        "BULLISH",
        IF(SUM(IF(P34="-",0,IF(P34&lt;0,-2,IF(P34&gt;0,2,0))),
                IF(P35="-",0,IF(P35&lt;0,-2,IF(P35&gt;0,2,0))),
                IF(P36="-",0,IF(P36&lt;0,-1,IF(P36&gt;0,1,0))),
                IF(P37="-",0,IF(P37&lt;0,-1,IF(P37&gt;0,1,0)))) / 6 &lt; -0.1,
            "BEARISH",
            IF(SUM(IF(P34="-",0,IF(P34&lt;0,-2,IF(P34&gt;0,2,0))),
                    IF(P35="-",0,IF(P35&lt;0,-2,IF(P35&gt;0,2,0))),
                    IF(P36="-",0,IF(P36&lt;0,-1,IF(P36&gt;0,1,0))),
                    IF(P37="-",0,IF(P37&lt;0,-1,IF(P37&gt;0,1,0)))) / 6 &gt; -0.1,
                "NEUTRO",
                IF(SUM(IF(P34="-",0,IF(P34&lt;0,-2,IF(P34&gt;0,2,0))),
                        IF(P35="-",0,IF(P35&lt;0,-2,IF(P35&gt;0,2,0))),
                        IF(P36="-",0,IF(P36&lt;0,-1,IF(P36&gt;0,1,0))),
                        IF(P37="-",0,IF(P37&lt;0,-1,IF(P37&gt;0,1,0)))) / 6 &lt; 0.1,
                    "NEUTRO",
                    "")))))</f>
        <v>BEARISH</v>
      </c>
      <c r="O33" s="353"/>
      <c r="P33" s="354"/>
      <c r="Q33" s="352" t="str">
        <f>IF(AND(S34="-",S35="-",S36="-",S37="-"),
    "",
    IF(SUM(IF(S34="-",0,IF(S34&lt;0,-2,IF(S34&gt;0,2,0))),
            IF(S35="-",0,IF(S35&lt;0,-2,IF(S35&gt;0,2,0))),
            IF(S36="-",0,IF(S36&lt;0,-1,IF(S36&gt;0,1,0))),
            IF(S37="-",0,IF(S37&lt;0,-1,IF(S37&gt;0,1,0)))) / 6 &gt; 0.1,
        "BULLISH",
        IF(SUM(IF(S34="-",0,IF(S34&lt;0,-2,IF(S34&gt;0,2,0))),
                IF(S35="-",0,IF(S35&lt;0,-2,IF(S35&gt;0,2,0))),
                IF(S36="-",0,IF(S36&lt;0,-1,IF(S36&gt;0,1,0))),
                IF(S37="-",0,IF(S37&lt;0,-1,IF(S37&gt;0,1,0)))) / 6 &lt; -0.1,
            "BEARISH",
            IF(SUM(IF(S34="-",0,IF(S34&lt;0,-2,IF(S34&gt;0,2,0))),
                    IF(S35="-",0,IF(S35&lt;0,-2,IF(S35&gt;0,2,0))),
                    IF(S36="-",0,IF(S36&lt;0,-1,IF(S36&gt;0,1,0))),
                    IF(S37="-",0,IF(S37&lt;0,-1,IF(S37&gt;0,1,0)))) / 6 &gt; -0.1,
                "NEUTRO",
                IF(SUM(IF(S34="-",0,IF(S34&lt;0,-2,IF(S34&gt;0,2,0))),
                        IF(S35="-",0,IF(S35&lt;0,-2,IF(S35&gt;0,2,0))),
                        IF(S36="-",0,IF(S36&lt;0,-1,IF(S36&gt;0,1,0))),
                        IF(S37="-",0,IF(S37&lt;0,-1,IF(S37&gt;0,1,0)))) / 6 &lt; 0.1,
                    "NEUTRO",
                    "")))))</f>
        <v>BULLISH</v>
      </c>
      <c r="R33" s="353"/>
      <c r="S33" s="354"/>
      <c r="T33" s="352" t="str">
        <f>IF(AND(V34="-",V35="-",V36="-",V37="-"),
    "",
    IF(SUM(IF(V34="-",0,IF(V34&lt;0,-2,IF(V34&gt;0,2,0))),
            IF(V35="-",0,IF(V35&lt;0,-2,IF(V35&gt;0,2,0))),
            IF(V36="-",0,IF(V36&lt;0,-1,IF(V36&gt;0,1,0))),
            IF(V37="-",0,IF(V37&lt;0,-1,IF(V37&gt;0,1,0)))) / 6 &gt; 0.1,
        "BULLISH",
        IF(SUM(IF(V34="-",0,IF(V34&lt;0,-2,IF(V34&gt;0,2,0))),
                IF(V35="-",0,IF(V35&lt;0,-2,IF(V35&gt;0,2,0))),
                IF(V36="-",0,IF(V36&lt;0,-1,IF(V36&gt;0,1,0))),
                IF(V37="-",0,IF(V37&lt;0,-1,IF(V37&gt;0,1,0)))) / 6 &lt; -0.1,
            "BEARISH",
            IF(SUM(IF(V34="-",0,IF(V34&lt;0,-2,IF(V34&gt;0,2,0))),
                    IF(V35="-",0,IF(V35&lt;0,-2,IF(V35&gt;0,2,0))),
                    IF(V36="-",0,IF(V36&lt;0,-1,IF(V36&gt;0,1,0))),
                    IF(V37="-",0,IF(V37&lt;0,-1,IF(V37&gt;0,1,0)))) / 6 &gt; -0.1,
                "NEUTRO",
                IF(SUM(IF(V34="-",0,IF(V34&lt;0,-2,IF(V34&gt;0,2,0))),
                        IF(V35="-",0,IF(V35&lt;0,-2,IF(V35&gt;0,2,0))),
                        IF(V36="-",0,IF(V36&lt;0,-1,IF(V36&gt;0,1,0))),
                        IF(V37="-",0,IF(V37&lt;0,-1,IF(V37&gt;0,1,0)))) / 6 &lt; 0.1,
                    "NEUTRO",
                    "")))))</f>
        <v>BULLISH</v>
      </c>
      <c r="U33" s="353"/>
      <c r="V33" s="354"/>
      <c r="W33" s="352" t="str">
        <f>IF(AND(Y34="-",Y35="-",Y36="-",Y37="-"),
    "",
    IF(SUM(IF(Y34="-",0,IF(Y34&lt;0,-2,IF(Y34&gt;0,2,0))),
            IF(Y35="-",0,IF(Y35&lt;0,-2,IF(Y35&gt;0,2,0))),
            IF(Y36="-",0,IF(Y36&lt;0,-1,IF(Y36&gt;0,1,0))),
            IF(Y37="-",0,IF(Y37&lt;0,-1,IF(Y37&gt;0,1,0)))) / 6 &gt; 0.1,
        "BULLISH",
        IF(SUM(IF(Y34="-",0,IF(Y34&lt;0,-2,IF(Y34&gt;0,2,0))),
                IF(Y35="-",0,IF(Y35&lt;0,-2,IF(Y35&gt;0,2,0))),
                IF(Y36="-",0,IF(Y36&lt;0,-1,IF(Y36&gt;0,1,0))),
                IF(Y37="-",0,IF(Y37&lt;0,-1,IF(Y37&gt;0,1,0)))) / 6 &lt; -0.1,
            "BEARISH",
            IF(SUM(IF(Y34="-",0,IF(Y34&lt;0,-2,IF(Y34&gt;0,2,0))),
                    IF(Y35="-",0,IF(Y35&lt;0,-2,IF(Y35&gt;0,2,0))),
                    IF(Y36="-",0,IF(Y36&lt;0,-1,IF(Y36&gt;0,1,0))),
                    IF(Y37="-",0,IF(Y37&lt;0,-1,IF(Y37&gt;0,1,0)))) / 6 &gt; -0.1,
                "NEUTRO",
                IF(SUM(IF(Y34="-",0,IF(Y34&lt;0,-2,IF(Y34&gt;0,2,0))),
                        IF(Y35="-",0,IF(Y35&lt;0,-2,IF(Y35&gt;0,2,0))),
                        IF(Y36="-",0,IF(Y36&lt;0,-1,IF(Y36&gt;0,1,0))),
                        IF(Y37="-",0,IF(Y37&lt;0,-1,IF(Y37&gt;0,1,0)))) / 6 &lt; 0.1,
                    "NEUTRO",
                    "")))))</f>
        <v>BULLISH</v>
      </c>
      <c r="X33" s="353"/>
      <c r="Y33" s="354"/>
      <c r="Z33" s="352" t="str">
        <f>IF(AND(AB34="-",AB35="-",AB36="-",AB37="-"),
    "",
    IF(SUM(IF(AB34="-",0,IF(AB34&lt;0,-2,IF(AB34&gt;0,2,0))),
            IF(AB35="-",0,IF(AB35&lt;0,-2,IF(AB35&gt;0,2,0))),
            IF(AB36="-",0,IF(AB36&lt;0,-1,IF(AB36&gt;0,1,0))),
            IF(AB37="-",0,IF(AB37&lt;0,-1,IF(AB37&gt;0,1,0)))) / 6 &gt; 0.1,
        "BULLISH",
        IF(SUM(IF(AB34="-",0,IF(AB34&lt;0,-2,IF(AB34&gt;0,2,0))),
                IF(AB35="-",0,IF(AB35&lt;0,-2,IF(AB35&gt;0,2,0))),
                IF(AB36="-",0,IF(AB36&lt;0,-1,IF(AB36&gt;0,1,0))),
                IF(AB37="-",0,IF(AB37&lt;0,-1,IF(AB37&gt;0,1,0)))) / 6 &lt; -0.1,
            "BEARISH",
            IF(SUM(IF(AB34="-",0,IF(AB34&lt;0,-2,IF(AB34&gt;0,2,0))),
                    IF(AB35="-",0,IF(AB35&lt;0,-2,IF(AB35&gt;0,2,0))),
                    IF(AB36="-",0,IF(AB36&lt;0,-1,IF(AB36&gt;0,1,0))),
                    IF(AB37="-",0,IF(AB37&lt;0,-1,IF(AB37&gt;0,1,0)))) / 6 &gt; -0.1,
                "NEUTRO",
                IF(SUM(IF(AB34="-",0,IF(AB34&lt;0,-2,IF(AB34&gt;0,2,0))),
                        IF(AB35="-",0,IF(AB35&lt;0,-2,IF(AB35&gt;0,2,0))),
                        IF(AB36="-",0,IF(AB36&lt;0,-1,IF(AB36&gt;0,1,0))),
                        IF(AB37="-",0,IF(AB37&lt;0,-1,IF(AB37&gt;0,1,0)))) / 6 &lt; 0.1,
                    "NEUTRO",
                    "")))))</f>
        <v>BEARISH</v>
      </c>
      <c r="AA33" s="353"/>
      <c r="AB33" s="354"/>
      <c r="AC33" s="352" t="str">
        <f>IF(AND(AE34="-",AE35="-",AE36="-",AE37="-"),
    "",
    IF(SUM(IF(AE34="-",0,IF(AE34&lt;0,-2,IF(AE34&gt;0,2,0))),
            IF(AE35="-",0,IF(AE35&lt;0,-2,IF(AE35&gt;0,2,0))),
            IF(AE36="-",0,IF(AE36&lt;0,-1,IF(AE36&gt;0,1,0))),
            IF(AE37="-",0,IF(AE37&lt;0,-1,IF(AE37&gt;0,1,0)))) / 6 &gt; 0.1,
        "BULLISH",
        IF(SUM(IF(AE34="-",0,IF(AE34&lt;0,-2,IF(AE34&gt;0,2,0))),
                IF(AE35="-",0,IF(AE35&lt;0,-2,IF(AE35&gt;0,2,0))),
                IF(AE36="-",0,IF(AE36&lt;0,-1,IF(AE36&gt;0,1,0))),
                IF(AE37="-",0,IF(AE37&lt;0,-1,IF(AE37&gt;0,1,0)))) / 6 &lt; -0.1,
            "BEARISH",
            IF(SUM(IF(AE34="-",0,IF(AE34&lt;0,-2,IF(AE34&gt;0,2,0))),
                    IF(AE35="-",0,IF(AE35&lt;0,-2,IF(AE35&gt;0,2,0))),
                    IF(AE36="-",0,IF(AE36&lt;0,-1,IF(AE36&gt;0,1,0))),
                    IF(AE37="-",0,IF(AE37&lt;0,-1,IF(AE37&gt;0,1,0)))) / 6 &gt; -0.1,
                "NEUTRO",
                IF(SUM(IF(AE34="-",0,IF(AE34&lt;0,-2,IF(AE34&gt;0,2,0))),
                        IF(AE35="-",0,IF(AE35&lt;0,-2,IF(AE35&gt;0,2,0))),
                        IF(AE36="-",0,IF(AE36&lt;0,-1,IF(AE36&gt;0,1,0))),
                        IF(AE37="-",0,IF(AE37&lt;0,-1,IF(AE37&gt;0,1,0)))) / 6 &lt; 0.1,
                    "NEUTRO",
                    "")))))</f>
        <v>BULLISH</v>
      </c>
      <c r="AD33" s="353"/>
      <c r="AE33" s="354"/>
      <c r="AF33" s="352" t="str">
        <f>IF(AND(AH34="-",AH35="-",AH36="-",AH37="-"),
    "",
    IF(SUM(IF(AH34="-",0,IF(AH34&lt;0,-2,IF(AH34&gt;0,2,0))),
            IF(AH35="-",0,IF(AH35&lt;0,-2,IF(AH35&gt;0,2,0))),
            IF(AH36="-",0,IF(AH36&lt;0,-1,IF(AH36&gt;0,1,0))),
            IF(AH37="-",0,IF(AH37&lt;0,-1,IF(AH37&gt;0,1,0)))) / 6 &gt; 0.1,
        "BULLISH",
        IF(SUM(IF(AH34="-",0,IF(AH34&lt;0,-2,IF(AH34&gt;0,2,0))),
                IF(AH35="-",0,IF(AH35&lt;0,-2,IF(AH35&gt;0,2,0))),
                IF(AH36="-",0,IF(AH36&lt;0,-1,IF(AH36&gt;0,1,0))),
                IF(AH37="-",0,IF(AH37&lt;0,-1,IF(AH37&gt;0,1,0)))) / 6 &lt; -0.1,
            "BEARISH",
            IF(SUM(IF(AH34="-",0,IF(AH34&lt;0,-2,IF(AH34&gt;0,2,0))),
                    IF(AH35="-",0,IF(AH35&lt;0,-2,IF(AH35&gt;0,2,0))),
                    IF(AH36="-",0,IF(AH36&lt;0,-1,IF(AH36&gt;0,1,0))),
                    IF(AH37="-",0,IF(AH37&lt;0,-1,IF(AH37&gt;0,1,0)))) / 6 &gt; -0.1,
                "NEUTRO",
                IF(SUM(IF(AH34="-",0,IF(AH34&lt;0,-2,IF(AH34&gt;0,2,0))),
                        IF(AH35="-",0,IF(AH35&lt;0,-2,IF(AH35&gt;0,2,0))),
                        IF(AH36="-",0,IF(AH36&lt;0,-1,IF(AH36&gt;0,1,0))),
                        IF(AH37="-",0,IF(AH37&lt;0,-1,IF(AH37&gt;0,1,0)))) / 6 &lt; 0.1,
                    "NEUTRO",
                    "")))))</f>
        <v>BEARISH</v>
      </c>
      <c r="AG33" s="353"/>
      <c r="AH33" s="354"/>
      <c r="AI33" s="352" t="str">
        <f>IF(AND(AK34="-",AK35="-",AK36="-",AK37="-"),
    "",
    IF(SUM(IF(AK34="-",0,IF(AK34&lt;0,-2,IF(AK34&gt;0,2,0))),
            IF(AK35="-",0,IF(AK35&lt;0,-2,IF(AK35&gt;0,2,0))),
            IF(AK36="-",0,IF(AK36&lt;0,-1,IF(AK36&gt;0,1,0))),
            IF(AK37="-",0,IF(AK37&lt;0,-1,IF(AK37&gt;0,1,0)))) / 6 &gt; 0.1,
        "BULLISH",
        IF(SUM(IF(AK34="-",0,IF(AK34&lt;0,-2,IF(AK34&gt;0,2,0))),
                IF(AK35="-",0,IF(AK35&lt;0,-2,IF(AK35&gt;0,2,0))),
                IF(AK36="-",0,IF(AK36&lt;0,-1,IF(AK36&gt;0,1,0))),
                IF(AK37="-",0,IF(AK37&lt;0,-1,IF(AK37&gt;0,1,0)))) / 6 &lt; -0.1,
            "BEARISH",
            IF(SUM(IF(AK34="-",0,IF(AK34&lt;0,-2,IF(AK34&gt;0,2,0))),
                    IF(AK35="-",0,IF(AK35&lt;0,-2,IF(AK35&gt;0,2,0))),
                    IF(AK36="-",0,IF(AK36&lt;0,-1,IF(AK36&gt;0,1,0))),
                    IF(AK37="-",0,IF(AK37&lt;0,-1,IF(AK37&gt;0,1,0)))) / 6 &gt; -0.1,
                "NEUTRO",
                IF(SUM(IF(AK34="-",0,IF(AK34&lt;0,-2,IF(AK34&gt;0,2,0))),
                        IF(AK35="-",0,IF(AK35&lt;0,-2,IF(AK35&gt;0,2,0))),
                        IF(AK36="-",0,IF(AK36&lt;0,-1,IF(AK36&gt;0,1,0))),
                        IF(AK37="-",0,IF(AK37&lt;0,-1,IF(AK37&gt;0,1,0)))) / 6 &lt; 0.1,
                    "NEUTRO",
                    "")))))</f>
        <v>BEARISH</v>
      </c>
      <c r="AJ33" s="353"/>
      <c r="AK33" s="354"/>
      <c r="AL33" s="352" t="str">
        <f>IF(AND(AN34="-",AN35="-",AN36="-",AN37="-"),
    "",
    IF(SUM(IF(AN34="-",0,IF(AN34&lt;0,-2,IF(AN34&gt;0,2,0))),
            IF(AN35="-",0,IF(AN35&lt;0,-2,IF(AN35&gt;0,2,0))),
            IF(AN36="-",0,IF(AN36&lt;0,-1,IF(AN36&gt;0,1,0))),
            IF(AN37="-",0,IF(AN37&lt;0,-1,IF(AN37&gt;0,1,0)))) / 6 &gt; 0.1,
        "BULLISH",
        IF(SUM(IF(AN34="-",0,IF(AN34&lt;0,-2,IF(AN34&gt;0,2,0))),
                IF(AN35="-",0,IF(AN35&lt;0,-2,IF(AN35&gt;0,2,0))),
                IF(AN36="-",0,IF(AN36&lt;0,-1,IF(AN36&gt;0,1,0))),
                IF(AN37="-",0,IF(AN37&lt;0,-1,IF(AN37&gt;0,1,0)))) / 6 &lt; -0.1,
            "BEARISH",
            IF(SUM(IF(AN34="-",0,IF(AN34&lt;0,-2,IF(AN34&gt;0,2,0))),
                    IF(AN35="-",0,IF(AN35&lt;0,-2,IF(AN35&gt;0,2,0))),
                    IF(AN36="-",0,IF(AN36&lt;0,-1,IF(AN36&gt;0,1,0))),
                    IF(AN37="-",0,IF(AN37&lt;0,-1,IF(AN37&gt;0,1,0)))) / 6 &gt; -0.1,
                "NEUTRO",
                IF(SUM(IF(AN34="-",0,IF(AN34&lt;0,-2,IF(AN34&gt;0,2,0))),
                        IF(AN35="-",0,IF(AN35&lt;0,-2,IF(AN35&gt;0,2,0))),
                        IF(AN36="-",0,IF(AN36&lt;0,-1,IF(AN36&gt;0,1,0))),
                        IF(AN37="-",0,IF(AN37&lt;0,-1,IF(AN37&gt;0,1,0)))) / 6 &lt; 0.1,
                    "NEUTRO",
                    "")))))</f>
        <v>BULLISH</v>
      </c>
      <c r="AM33" s="353"/>
      <c r="AN33" s="354"/>
      <c r="AO33" s="352" t="str">
        <f>IF(AND(AQ34="-",AQ35="-",AQ36="-",AQ37="-"),
    "",
    IF(SUM(IF(AQ34="-",0,IF(AQ34&lt;0,-2,IF(AQ34&gt;0,2,0))),
            IF(AQ35="-",0,IF(AQ35&lt;0,-2,IF(AQ35&gt;0,2,0))),
            IF(AQ36="-",0,IF(AQ36&lt;0,-1,IF(AQ36&gt;0,1,0))),
            IF(AQ37="-",0,IF(AQ37&lt;0,-1,IF(AQ37&gt;0,1,0)))) / 6 &gt; 0.1,
        "BULLISH",
        IF(SUM(IF(AQ34="-",0,IF(AQ34&lt;0,-2,IF(AQ34&gt;0,2,0))),
                IF(AQ35="-",0,IF(AQ35&lt;0,-2,IF(AQ35&gt;0,2,0))),
                IF(AQ36="-",0,IF(AQ36&lt;0,-1,IF(AQ36&gt;0,1,0))),
                IF(AQ37="-",0,IF(AQ37&lt;0,-1,IF(AQ37&gt;0,1,0)))) / 6 &lt; -0.1,
            "BEARISH",
            IF(SUM(IF(AQ34="-",0,IF(AQ34&lt;0,-2,IF(AQ34&gt;0,2,0))),
                    IF(AQ35="-",0,IF(AQ35&lt;0,-2,IF(AQ35&gt;0,2,0))),
                    IF(AQ36="-",0,IF(AQ36&lt;0,-1,IF(AQ36&gt;0,1,0))),
                    IF(AQ37="-",0,IF(AQ37&lt;0,-1,IF(AQ37&gt;0,1,0)))) / 6 &gt; -0.1,
                "NEUTRO",
                IF(SUM(IF(AQ34="-",0,IF(AQ34&lt;0,-2,IF(AQ34&gt;0,2,0))),
                        IF(AQ35="-",0,IF(AQ35&lt;0,-2,IF(AQ35&gt;0,2,0))),
                        IF(AQ36="-",0,IF(AQ36&lt;0,-1,IF(AQ36&gt;0,1,0))),
                        IF(AQ37="-",0,IF(AQ37&lt;0,-1,IF(AQ37&gt;0,1,0)))) / 6 &lt; 0.1,
                    "NEUTRO",
                    "")))))</f>
        <v>BULLISH</v>
      </c>
      <c r="AP33" s="353"/>
      <c r="AQ33" s="354"/>
      <c r="AR33" s="352" t="str">
        <f>IF(AND(AT34="-",AT35="-",AT36="-",AT37="-"),
    "",
    IF(SUM(IF(AT34="-",0,IF(AT34&lt;0,-2,IF(AT34&gt;0,2,0))),
            IF(AT35="-",0,IF(AT35&lt;0,-2,IF(AT35&gt;0,2,0))),
            IF(AT36="-",0,IF(AT36&lt;0,-1,IF(AT36&gt;0,1,0))),
            IF(AT37="-",0,IF(AT37&lt;0,-1,IF(AT37&gt;0,1,0)))) / 6 &gt; 0.1,
        "BULLISH",
        IF(SUM(IF(AT34="-",0,IF(AT34&lt;0,-2,IF(AT34&gt;0,2,0))),
                IF(AT35="-",0,IF(AT35&lt;0,-2,IF(AT35&gt;0,2,0))),
                IF(AT36="-",0,IF(AT36&lt;0,-1,IF(AT36&gt;0,1,0))),
                IF(AT37="-",0,IF(AT37&lt;0,-1,IF(AT37&gt;0,1,0)))) / 6 &lt; -0.1,
            "BEARISH",
            IF(SUM(IF(AT34="-",0,IF(AT34&lt;0,-2,IF(AT34&gt;0,2,0))),
                    IF(AT35="-",0,IF(AT35&lt;0,-2,IF(AT35&gt;0,2,0))),
                    IF(AT36="-",0,IF(AT36&lt;0,-1,IF(AT36&gt;0,1,0))),
                    IF(AT37="-",0,IF(AT37&lt;0,-1,IF(AT37&gt;0,1,0)))) / 6 &gt; -0.1,
                "NEUTRO",
                IF(SUM(IF(AT34="-",0,IF(AT34&lt;0,-2,IF(AT34&gt;0,2,0))),
                        IF(AT35="-",0,IF(AT35&lt;0,-2,IF(AT35&gt;0,2,0))),
                        IF(AT36="-",0,IF(AT36&lt;0,-1,IF(AT36&gt;0,1,0))),
                        IF(AT37="-",0,IF(AT37&lt;0,-1,IF(AT37&gt;0,1,0)))) / 6 &lt; 0.1,
                    "NEUTRO",
                    "")))))</f>
        <v>BEARISH</v>
      </c>
      <c r="AS33" s="353"/>
      <c r="AT33" s="354"/>
      <c r="AU33" s="352" t="str">
        <f>IF(AND(AW34="-",AW35="-",AW36="-",AW37="-"),
    "",
    IF(SUM(IF(AW34="-",0,IF(AW34&lt;0,-2,IF(AW34&gt;0,2,0))),
            IF(AW35="-",0,IF(AW35&lt;0,-2,IF(AW35&gt;0,2,0))),
            IF(AW36="-",0,IF(AW36&lt;0,-1,IF(AW36&gt;0,1,0))),
            IF(AW37="-",0,IF(AW37&lt;0,-1,IF(AW37&gt;0,1,0)))) / 6 &gt; 0.1,
        "BULLISH",
        IF(SUM(IF(AW34="-",0,IF(AW34&lt;0,-2,IF(AW34&gt;0,2,0))),
                IF(AW35="-",0,IF(AW35&lt;0,-2,IF(AW35&gt;0,2,0))),
                IF(AW36="-",0,IF(AW36&lt;0,-1,IF(AW36&gt;0,1,0))),
                IF(AW37="-",0,IF(AW37&lt;0,-1,IF(AW37&gt;0,1,0)))) / 6 &lt; -0.1,
            "BEARISH",
            IF(SUM(IF(AW34="-",0,IF(AW34&lt;0,-2,IF(AW34&gt;0,2,0))),
                    IF(AW35="-",0,IF(AW35&lt;0,-2,IF(AW35&gt;0,2,0))),
                    IF(AW36="-",0,IF(AW36&lt;0,-1,IF(AW36&gt;0,1,0))),
                    IF(AW37="-",0,IF(AW37&lt;0,-1,IF(AW37&gt;0,1,0)))) / 6 &gt; -0.1,
                "NEUTRO",
                IF(SUM(IF(AW34="-",0,IF(AW34&lt;0,-2,IF(AW34&gt;0,2,0))),
                        IF(AW35="-",0,IF(AW35&lt;0,-2,IF(AW35&gt;0,2,0))),
                        IF(AW36="-",0,IF(AW36&lt;0,-1,IF(AW36&gt;0,1,0))),
                        IF(AW37="-",0,IF(AW37&lt;0,-1,IF(AW37&gt;0,1,0)))) / 6 &lt; 0.1,
                    "NEUTRO",
                    "")))))</f>
        <v/>
      </c>
      <c r="AV33" s="353"/>
      <c r="AW33" s="354"/>
    </row>
    <row r="34" spans="1:49" x14ac:dyDescent="0.25">
      <c r="A34" s="15" t="s">
        <v>252</v>
      </c>
      <c r="B34" s="138"/>
      <c r="C34" s="138"/>
      <c r="D34" s="171" t="str">
        <f>IF(ISBLANK(B34),"-",B34-C34)</f>
        <v>-</v>
      </c>
      <c r="E34" s="138"/>
      <c r="F34" s="138"/>
      <c r="G34" s="171" t="str">
        <f>IF(ISBLANK(E34),"-",E34-F34)</f>
        <v>-</v>
      </c>
      <c r="H34" s="138"/>
      <c r="I34" s="138"/>
      <c r="J34" s="171" t="str">
        <f>IF(ISBLANK(H34),"-",H34-I34)</f>
        <v>-</v>
      </c>
      <c r="K34" s="138"/>
      <c r="L34" s="138"/>
      <c r="M34" s="171" t="str">
        <f>IF(ISBLANK(K34),"-",K34-L34)</f>
        <v>-</v>
      </c>
      <c r="N34" s="138"/>
      <c r="O34" s="138"/>
      <c r="P34" s="171" t="str">
        <f>IF(ISBLANK(N34),"-",N34-O34)</f>
        <v>-</v>
      </c>
      <c r="Q34" s="138"/>
      <c r="R34" s="138"/>
      <c r="S34" s="171" t="str">
        <f>IF(ISBLANK(Q34),"-",Q34-R34)</f>
        <v>-</v>
      </c>
      <c r="T34" s="138"/>
      <c r="U34" s="138"/>
      <c r="V34" s="171" t="str">
        <f>IF(ISBLANK(T34),"-",T34-U34)</f>
        <v>-</v>
      </c>
      <c r="W34" s="138"/>
      <c r="X34" s="138"/>
      <c r="Y34" s="171" t="str">
        <f>IF(ISBLANK(W34),"-",W34-X34)</f>
        <v>-</v>
      </c>
      <c r="Z34" s="138"/>
      <c r="AA34" s="138"/>
      <c r="AB34" s="171" t="str">
        <f>IF(ISBLANK(Z34),"-",Z34-AA34)</f>
        <v>-</v>
      </c>
      <c r="AC34" s="138"/>
      <c r="AD34" s="138"/>
      <c r="AE34" s="171" t="str">
        <f>IF(ISBLANK(AC34),"-",AC34-AD34)</f>
        <v>-</v>
      </c>
      <c r="AF34" s="138"/>
      <c r="AG34" s="138"/>
      <c r="AH34" s="171" t="str">
        <f>IF(ISBLANK(AF34),"-",AF34-AG34)</f>
        <v>-</v>
      </c>
      <c r="AI34" s="138"/>
      <c r="AJ34" s="138"/>
      <c r="AK34" s="171" t="str">
        <f>IF(ISBLANK(AI34),"-",AI34-AJ34)</f>
        <v>-</v>
      </c>
      <c r="AL34" s="138"/>
      <c r="AM34" s="138"/>
      <c r="AN34" s="171" t="str">
        <f>IF(ISBLANK(AL34),"-",AL34-AM34)</f>
        <v>-</v>
      </c>
      <c r="AO34" s="138"/>
      <c r="AP34" s="138"/>
      <c r="AQ34" s="171" t="str">
        <f>IF(ISBLANK(AO34),"-",AO34-AP34)</f>
        <v>-</v>
      </c>
      <c r="AR34" s="138"/>
      <c r="AS34" s="138"/>
      <c r="AT34" s="171" t="str">
        <f>IF(ISBLANK(AR34),"-",AR34-AS34)</f>
        <v>-</v>
      </c>
      <c r="AU34" s="138"/>
      <c r="AV34" s="138"/>
      <c r="AW34" s="171" t="str">
        <f>IF(ISBLANK(AU34),"-",AU34-AV34)</f>
        <v>-</v>
      </c>
    </row>
    <row r="35" spans="1:49" x14ac:dyDescent="0.25">
      <c r="A35" s="15" t="s">
        <v>253</v>
      </c>
      <c r="B35" s="138"/>
      <c r="C35" s="138"/>
      <c r="D35" s="176" t="str">
        <f>IF(ISBLANK(B35),"-",B35-C35)</f>
        <v>-</v>
      </c>
      <c r="E35" s="137">
        <v>-0.14899999999999999</v>
      </c>
      <c r="F35" s="137">
        <v>0.13100000000000001</v>
      </c>
      <c r="G35" s="176">
        <f>IF(ISBLANK(E35),"-",E35-F35)</f>
        <v>-0.28000000000000003</v>
      </c>
      <c r="H35" s="137">
        <v>0.152</v>
      </c>
      <c r="I35" s="137">
        <v>-6.0999999999999999E-2</v>
      </c>
      <c r="J35" s="176">
        <f>IF(ISBLANK(H35),"-",H35-I35)</f>
        <v>0.21299999999999999</v>
      </c>
      <c r="K35" s="138"/>
      <c r="L35" s="138"/>
      <c r="M35" s="176" t="str">
        <f>IF(ISBLANK(K35),"-",K35-L35)</f>
        <v>-</v>
      </c>
      <c r="N35" s="138"/>
      <c r="O35" s="138"/>
      <c r="P35" s="176" t="str">
        <f>IF(ISBLANK(N35),"-",N35-O35)</f>
        <v>-</v>
      </c>
      <c r="Q35" s="139">
        <v>-0.06</v>
      </c>
      <c r="R35" s="139">
        <v>-0.1</v>
      </c>
      <c r="S35" s="176">
        <f>IF(ISBLANK(Q35),"-",Q35-R35)</f>
        <v>4.0000000000000008E-2</v>
      </c>
      <c r="T35" s="137">
        <v>0.11899999999999999</v>
      </c>
      <c r="U35" s="137">
        <v>2.1999999999999999E-2</v>
      </c>
      <c r="V35" s="176">
        <f>IF(ISBLANK(T35),"-",T35-U35)</f>
        <v>9.7000000000000003E-2</v>
      </c>
      <c r="W35" s="137">
        <v>3.2000000000000001E-2</v>
      </c>
      <c r="X35" s="137">
        <v>-7.0999999999999994E-2</v>
      </c>
      <c r="Y35" s="176">
        <f>IF(ISBLANK(W35),"-",W35-X35)</f>
        <v>0.10299999999999999</v>
      </c>
      <c r="Z35" s="137">
        <v>-8.7999999999999995E-2</v>
      </c>
      <c r="AA35" s="137">
        <v>6.9000000000000006E-2</v>
      </c>
      <c r="AB35" s="176">
        <f>IF(ISBLANK(Z35),"-",Z35-AA35)</f>
        <v>-0.157</v>
      </c>
      <c r="AC35" s="137">
        <v>6.3E-2</v>
      </c>
      <c r="AD35" s="137">
        <v>1.7000000000000001E-2</v>
      </c>
      <c r="AE35" s="176">
        <f>IF(ISBLANK(AC35),"-",AC35-AD35)</f>
        <v>4.5999999999999999E-2</v>
      </c>
      <c r="AF35" s="137">
        <v>7.0000000000000001E-3</v>
      </c>
      <c r="AG35" s="137">
        <v>5.1999999999999998E-2</v>
      </c>
      <c r="AH35" s="176">
        <f>IF(ISBLANK(AF35),"-",AF35-AG35)</f>
        <v>-4.4999999999999998E-2</v>
      </c>
      <c r="AI35" s="137">
        <v>4.2000000000000003E-2</v>
      </c>
      <c r="AJ35" s="137">
        <v>5.8000000000000003E-2</v>
      </c>
      <c r="AK35" s="176">
        <f>IF(ISBLANK(AI35),"-",AI35-AJ35)</f>
        <v>-1.6E-2</v>
      </c>
      <c r="AL35" s="137">
        <v>4.3999999999999997E-2</v>
      </c>
      <c r="AM35" s="139">
        <v>-3.9E-2</v>
      </c>
      <c r="AN35" s="176">
        <f>IF(ISBLANK(AL35),"-",AL35-AM35)</f>
        <v>8.299999999999999E-2</v>
      </c>
      <c r="AO35" s="137">
        <v>0.104</v>
      </c>
      <c r="AP35" s="137">
        <v>-6.4000000000000001E-2</v>
      </c>
      <c r="AQ35" s="176">
        <f>IF(ISBLANK(AO35),"-",AO35-AP35)</f>
        <v>0.16799999999999998</v>
      </c>
      <c r="AR35" s="137">
        <v>-6.5000000000000002E-2</v>
      </c>
      <c r="AS35" s="137">
        <v>5.7000000000000002E-2</v>
      </c>
      <c r="AT35" s="176">
        <f>IF(ISBLANK(AR35),"-",AR35-AS35)</f>
        <v>-0.122</v>
      </c>
      <c r="AU35" s="138"/>
      <c r="AV35" s="138"/>
      <c r="AW35" s="176" t="str">
        <f>IF(ISBLANK(AU35),"-",AU35-AV35)</f>
        <v>-</v>
      </c>
    </row>
    <row r="36" spans="1:49" x14ac:dyDescent="0.25">
      <c r="A36" s="22" t="s">
        <v>293</v>
      </c>
      <c r="B36" s="177"/>
      <c r="C36" s="177"/>
      <c r="D36" s="80" t="str">
        <f>IF(ISBLANK(B36),"-",B36-C36)</f>
        <v>-</v>
      </c>
      <c r="E36" s="177"/>
      <c r="F36" s="177"/>
      <c r="G36" s="80" t="str">
        <f>IF(ISBLANK(E36),"-",E36-F36)</f>
        <v>-</v>
      </c>
      <c r="H36" s="180">
        <v>0.01</v>
      </c>
      <c r="I36" s="179">
        <v>1.4E-2</v>
      </c>
      <c r="J36" s="80">
        <f>IF(ISBLANK(H36),"-",H36-I36)</f>
        <v>-4.0000000000000001E-3</v>
      </c>
      <c r="K36" s="177"/>
      <c r="L36" s="177"/>
      <c r="M36" s="80" t="str">
        <f>IF(ISBLANK(K36),"-",K36-L36)</f>
        <v>-</v>
      </c>
      <c r="N36" s="179">
        <v>1E-3</v>
      </c>
      <c r="O36" s="179">
        <v>4.0000000000000001E-3</v>
      </c>
      <c r="P36" s="80">
        <f>IF(ISBLANK(N36),"-",N36-O36)</f>
        <v>-3.0000000000000001E-3</v>
      </c>
      <c r="Q36" s="177"/>
      <c r="R36" s="177"/>
      <c r="S36" s="80" t="str">
        <f>IF(ISBLANK(Q36),"-",Q36-R36)</f>
        <v>-</v>
      </c>
      <c r="T36" s="177"/>
      <c r="U36" s="177"/>
      <c r="V36" s="80" t="str">
        <f>IF(ISBLANK(T36),"-",T36-U36)</f>
        <v>-</v>
      </c>
      <c r="W36" s="177"/>
      <c r="X36" s="177"/>
      <c r="Y36" s="80" t="str">
        <f>IF(ISBLANK(W36),"-",W36-X36)</f>
        <v>-</v>
      </c>
      <c r="Z36" s="177"/>
      <c r="AA36" s="177"/>
      <c r="AB36" s="80" t="str">
        <f>IF(ISBLANK(Z36),"-",Z36-AA36)</f>
        <v>-</v>
      </c>
      <c r="AC36" s="177"/>
      <c r="AD36" s="177"/>
      <c r="AE36" s="80" t="str">
        <f>IF(ISBLANK(AC36),"-",AC36-AD36)</f>
        <v>-</v>
      </c>
      <c r="AF36" s="177"/>
      <c r="AG36" s="177"/>
      <c r="AH36" s="80" t="str">
        <f>IF(ISBLANK(AF36),"-",AF36-AG36)</f>
        <v>-</v>
      </c>
      <c r="AI36" s="177"/>
      <c r="AJ36" s="177"/>
      <c r="AK36" s="80" t="str">
        <f>IF(ISBLANK(AI36),"-",AI36-AJ36)</f>
        <v>-</v>
      </c>
      <c r="AL36" s="177"/>
      <c r="AM36" s="177"/>
      <c r="AN36" s="80" t="str">
        <f>IF(ISBLANK(AL36),"-",AL36-AM36)</f>
        <v>-</v>
      </c>
      <c r="AO36" s="177"/>
      <c r="AP36" s="177"/>
      <c r="AQ36" s="80" t="str">
        <f>IF(ISBLANK(AO36),"-",AO36-AP36)</f>
        <v>-</v>
      </c>
      <c r="AR36" s="177"/>
      <c r="AS36" s="177"/>
      <c r="AT36" s="80" t="str">
        <f>IF(ISBLANK(AR36),"-",AR36-AS36)</f>
        <v>-</v>
      </c>
      <c r="AU36" s="177"/>
      <c r="AV36" s="177"/>
      <c r="AW36" s="80" t="str">
        <f>IF(ISBLANK(AU36),"-",AU36-AV36)</f>
        <v>-</v>
      </c>
    </row>
    <row r="37" spans="1:49" x14ac:dyDescent="0.25">
      <c r="A37" s="22" t="s">
        <v>254</v>
      </c>
      <c r="B37" s="177"/>
      <c r="C37" s="177"/>
      <c r="D37" s="178" t="str">
        <f>IF(ISBLANK(B37),"-",B37-C37)</f>
        <v>-</v>
      </c>
      <c r="E37" s="177"/>
      <c r="F37" s="177"/>
      <c r="G37" s="178" t="str">
        <f>IF(ISBLANK(E37),"-",E37-F37)</f>
        <v>-</v>
      </c>
      <c r="H37" s="177"/>
      <c r="I37" s="177"/>
      <c r="J37" s="178" t="str">
        <f>IF(ISBLANK(H37),"-",H37-I37)</f>
        <v>-</v>
      </c>
      <c r="K37" s="177"/>
      <c r="L37" s="177"/>
      <c r="M37" s="178" t="str">
        <f>IF(ISBLANK(K37),"-",K37-L37)</f>
        <v>-</v>
      </c>
      <c r="N37" s="177"/>
      <c r="O37" s="177"/>
      <c r="P37" s="178" t="str">
        <f>IF(ISBLANK(N37),"-",N37-O37)</f>
        <v>-</v>
      </c>
      <c r="Q37" s="180">
        <v>0.03</v>
      </c>
      <c r="R37" s="179">
        <v>-3.0000000000000001E-3</v>
      </c>
      <c r="S37" s="178">
        <f>IF(ISBLANK(Q37),"-",Q37-R37)</f>
        <v>3.3000000000000002E-2</v>
      </c>
      <c r="T37" s="177"/>
      <c r="U37" s="177"/>
      <c r="V37" s="178" t="str">
        <f>IF(ISBLANK(T37),"-",T37-U37)</f>
        <v>-</v>
      </c>
      <c r="W37" s="180">
        <v>0</v>
      </c>
      <c r="X37" s="179">
        <v>8.9999999999999993E-3</v>
      </c>
      <c r="Y37" s="178">
        <f>IF(ISBLANK(W37),"-",W37-X37)</f>
        <v>-8.9999999999999993E-3</v>
      </c>
      <c r="Z37" s="177"/>
      <c r="AA37" s="177"/>
      <c r="AB37" s="178" t="str">
        <f>IF(ISBLANK(Z37),"-",Z37-AA37)</f>
        <v>-</v>
      </c>
      <c r="AC37" s="179">
        <v>5.0000000000000001E-3</v>
      </c>
      <c r="AD37" s="180">
        <v>0.02</v>
      </c>
      <c r="AE37" s="178">
        <f>IF(ISBLANK(AC37),"-",AC37-AD37)</f>
        <v>-1.4999999999999999E-2</v>
      </c>
      <c r="AF37" s="177"/>
      <c r="AG37" s="177"/>
      <c r="AH37" s="178" t="str">
        <f>IF(ISBLANK(AF37),"-",AF37-AG37)</f>
        <v>-</v>
      </c>
      <c r="AI37" s="179">
        <v>1.6E-2</v>
      </c>
      <c r="AJ37" s="179">
        <v>1.0999999999999999E-2</v>
      </c>
      <c r="AK37" s="178">
        <f>IF(ISBLANK(AI37),"-",AI37-AJ37)</f>
        <v>5.000000000000001E-3</v>
      </c>
      <c r="AL37" s="177"/>
      <c r="AM37" s="177"/>
      <c r="AN37" s="178" t="str">
        <f>IF(ISBLANK(AL37),"-",AL37-AM37)</f>
        <v>-</v>
      </c>
      <c r="AO37" s="179">
        <v>1E-3</v>
      </c>
      <c r="AP37" s="180">
        <v>-0.02</v>
      </c>
      <c r="AQ37" s="178">
        <f>IF(ISBLANK(AO37),"-",AO37-AP37)</f>
        <v>2.1000000000000001E-2</v>
      </c>
      <c r="AR37" s="177"/>
      <c r="AS37" s="177"/>
      <c r="AT37" s="178" t="str">
        <f>IF(ISBLANK(AR37),"-",AR37-AS37)</f>
        <v>-</v>
      </c>
      <c r="AU37" s="177"/>
      <c r="AV37" s="177"/>
      <c r="AW37" s="178" t="str">
        <f>IF(ISBLANK(AU37),"-",AU37-AV37)</f>
        <v>-</v>
      </c>
    </row>
    <row r="38" spans="1:49" x14ac:dyDescent="0.25">
      <c r="A38" s="2" t="s">
        <v>83</v>
      </c>
      <c r="B38" s="371" t="str">
        <f>IF(AND(D39="-",D40="-",D41="-",D42="-"),
    "",
    IF(SUM(IF(D39="-", 0, IF(D39&lt;0, -2, IF(D39&gt;0, 2, 0))),
            IF(D40="-", 0, IF(D40&lt;0, -2, IF(D40&gt;0, 2, 0))),
            IF(D41="-", 0, IF(D41&lt;0, -2, IF(D41&gt;0, 2, 0))),
            IF(D42="-", 0, IF(D42&lt;0, -2, IF(D42&gt;0, 2, 0)))) / 6 &gt; 0.1,
        "BULLISH",
        IF(SUM(IF(D39="-", 0, IF(D39&lt;0, -2, IF(D39&gt;0, 2, 0))),
                IF(D40="-", 0, IF(D40&lt;0, -2, IF(D40&gt;0, 2, 0))),
                IF(D41="-", 0, IF(D41&lt;0, -2, IF(D41&gt;0, 2, 0))),
                IF(D42="-", 0, IF(D42&lt;0, -2, IF(D42&gt;0, 2, 0)))) / 6 &lt; -0.1,
            "BEARISH",
            IF(SUM(IF(D39="-", 0, IF(D39&lt;0, -2, IF(D39&gt;0, 2, 0))),
                    IF(D40="-", 0, IF(D40&lt;0, -2, IF(D40&gt;0, 2, 0))),
                    IF(D41="-", 0, IF(D41&lt;0, -2, IF(D41&gt;0, 2, 0))),
                    IF(D42="-", 0, IF(D42&lt;0, -2, IF(D42&gt;0, 2, 0)))) / 6 &gt; -0.1,
                "NEUTRO",
                "NEUTRO"
            )
        )
    )
)</f>
        <v/>
      </c>
      <c r="C38" s="372"/>
      <c r="D38" s="373"/>
      <c r="E38" s="371" t="str">
        <f>IF(AND(G39="-",G40="-",G41="-",G42="-"),
    "",
    IF(SUM(IF(G39="-", 0, IF(G39&lt;0, -2, IF(G39&gt;0, 2, 0))),
            IF(G40="-", 0, IF(G40&lt;0, -2, IF(G40&gt;0, 2, 0))),
            IF(G41="-", 0, IF(G41&lt;0, -2, IF(G41&gt;0, 2, 0))),
            IF(G42="-", 0, IF(G42&lt;0, -2, IF(G42&gt;0, 2, 0)))) / 6 &gt; 0.1,
        "BULLISH",
        IF(SUM(IF(G39="-", 0, IF(G39&lt;0, -2, IF(G39&gt;0, 2, 0))),
                IF(G40="-", 0, IF(G40&lt;0, -2, IF(G40&gt;0, 2, 0))),
                IF(G41="-", 0, IF(G41&lt;0, -2, IF(G41&gt;0, 2, 0))),
                IF(G42="-", 0, IF(G42&lt;0, -2, IF(G42&gt;0, 2, 0)))) / 6 &lt; -0.1,
            "BEARISH",
            IF(SUM(IF(G39="-", 0, IF(G39&lt;0, -2, IF(G39&gt;0, 2, 0))),
                    IF(G40="-", 0, IF(G40&lt;0, -2, IF(G40&gt;0, 2, 0))),
                    IF(G41="-", 0, IF(G41&lt;0, -2, IF(G41&gt;0, 2, 0))),
                    IF(G42="-", 0, IF(G42&lt;0, -2, IF(G42&gt;0, 2, 0)))) / 6 &gt; -0.1,
                "NEUTRO",
                "NEUTRO"
            )
        )
    )
)</f>
        <v/>
      </c>
      <c r="F38" s="372"/>
      <c r="G38" s="373"/>
      <c r="H38" s="371" t="str">
        <f>IF(AND(J39="-",J40="-",J41="-",J42="-"),
    "",
    IF(SUM(IF(J39="-", 0, IF(J39&lt;0, -2, IF(J39&gt;0, 2, 0))),
            IF(J40="-", 0, IF(J40&lt;0, -2, IF(J40&gt;0, 2, 0))),
            IF(J41="-", 0, IF(J41&lt;0, -2, IF(J41&gt;0, 2, 0))),
            IF(J42="-", 0, IF(J42&lt;0, -2, IF(J42&gt;0, 2, 0)))) / 6 &gt; 0.1,
        "BULLISH",
        IF(SUM(IF(J39="-", 0, IF(J39&lt;0, -2, IF(J39&gt;0, 2, 0))),
                IF(J40="-", 0, IF(J40&lt;0, -2, IF(J40&gt;0, 2, 0))),
                IF(J41="-", 0, IF(J41&lt;0, -2, IF(J41&gt;0, 2, 0))),
                IF(J42="-", 0, IF(J42&lt;0, -2, IF(J42&gt;0, 2, 0)))) / 6 &lt; -0.1,
            "BEARISH",
            IF(SUM(IF(J39="-", 0, IF(J39&lt;0, -2, IF(J39&gt;0, 2, 0))),
                    IF(J40="-", 0, IF(J40&lt;0, -2, IF(J40&gt;0, 2, 0))),
                    IF(J41="-", 0, IF(J41&lt;0, -2, IF(J41&gt;0, 2, 0))),
                    IF(J42="-", 0, IF(J42&lt;0, -2, IF(J42&gt;0, 2, 0)))) / 6 &gt; -0.1,
                "NEUTRO",
                "NEUTRO"
            )
        )
    )
)</f>
        <v/>
      </c>
      <c r="I38" s="372"/>
      <c r="J38" s="373"/>
      <c r="K38" s="371" t="str">
        <f>IF(AND(M39="-",M40="-",M41="-",M42="-"),
    "",
    IF(SUM(IF(M39="-", 0, IF(M39&lt;0, -2, IF(M39&gt;0, 2, 0))),
            IF(M40="-", 0, IF(M40&lt;0, -2, IF(M40&gt;0, 2, 0))),
            IF(M41="-", 0, IF(M41&lt;0, -2, IF(M41&gt;0, 2, 0))),
            IF(M42="-", 0, IF(M42&lt;0, -2, IF(M42&gt;0, 2, 0)))) / 6 &gt; 0.1,
        "BULLISH",
        IF(SUM(IF(M39="-", 0, IF(M39&lt;0, -2, IF(M39&gt;0, 2, 0))),
                IF(M40="-", 0, IF(M40&lt;0, -2, IF(M40&gt;0, 2, 0))),
                IF(M41="-", 0, IF(M41&lt;0, -2, IF(M41&gt;0, 2, 0))),
                IF(M42="-", 0, IF(M42&lt;0, -2, IF(M42&gt;0, 2, 0)))) / 6 &lt; -0.1,
            "BEARISH",
            IF(SUM(IF(M39="-", 0, IF(M39&lt;0, -2, IF(M39&gt;0, 2, 0))),
                    IF(M40="-", 0, IF(M40&lt;0, -2, IF(M40&gt;0, 2, 0))),
                    IF(M41="-", 0, IF(M41&lt;0, -2, IF(M41&gt;0, 2, 0))),
                    IF(M42="-", 0, IF(M42&lt;0, -2, IF(M42&gt;0, 2, 0)))) / 6 &gt; -0.1,
                "NEUTRO",
                "NEUTRO"
            )
        )
    )
)</f>
        <v/>
      </c>
      <c r="L38" s="372"/>
      <c r="M38" s="373"/>
      <c r="N38" s="371" t="str">
        <f>IF(AND(P39="-",P40="-",P41="-",P42="-"),
    "",
    IF(SUM(IF(P39="-", 0, IF(P39&lt;0, -2, IF(P39&gt;0, 2, 0))),
            IF(P40="-", 0, IF(P40&lt;0, -2, IF(P40&gt;0, 2, 0))),
            IF(P41="-", 0, IF(P41&lt;0, -2, IF(P41&gt;0, 2, 0))),
            IF(P42="-", 0, IF(P42&lt;0, -2, IF(P42&gt;0, 2, 0)))) / 6 &gt; 0.1,
        "BULLISH",
        IF(SUM(IF(P39="-", 0, IF(P39&lt;0, -2, IF(P39&gt;0, 2, 0))),
                IF(P40="-", 0, IF(P40&lt;0, -2, IF(P40&gt;0, 2, 0))),
                IF(P41="-", 0, IF(P41&lt;0, -2, IF(P41&gt;0, 2, 0))),
                IF(P42="-", 0, IF(P42&lt;0, -2, IF(P42&gt;0, 2, 0)))) / 6 &lt; -0.1,
            "BEARISH",
            IF(SUM(IF(P39="-", 0, IF(P39&lt;0, -2, IF(P39&gt;0, 2, 0))),
                    IF(P40="-", 0, IF(P40&lt;0, -2, IF(P40&gt;0, 2, 0))),
                    IF(P41="-", 0, IF(P41&lt;0, -2, IF(P41&gt;0, 2, 0))),
                    IF(P42="-", 0, IF(P42&lt;0, -2, IF(P42&gt;0, 2, 0)))) / 6 &gt; -0.1,
                "NEUTRO",
                "NEUTRO"
            )
        )
    )
)</f>
        <v/>
      </c>
      <c r="O38" s="372"/>
      <c r="P38" s="373"/>
      <c r="Q38" s="371" t="str">
        <f>IF(AND(S39="-",S40="-",S41="-",S42="-"),
    "",
    IF(SUM(IF(S39="-", 0, IF(S39&lt;0, -2, IF(S39&gt;0, 2, 0))),
            IF(S40="-", 0, IF(S40&lt;0, -2, IF(S40&gt;0, 2, 0))),
            IF(S41="-", 0, IF(S41&lt;0, -2, IF(S41&gt;0, 2, 0))),
            IF(S42="-", 0, IF(S42&lt;0, -2, IF(S42&gt;0, 2, 0)))) / 6 &gt; 0.1,
        "BULLISH",
        IF(SUM(IF(S39="-", 0, IF(S39&lt;0, -2, IF(S39&gt;0, 2, 0))),
                IF(S40="-", 0, IF(S40&lt;0, -2, IF(S40&gt;0, 2, 0))),
                IF(S41="-", 0, IF(S41&lt;0, -2, IF(S41&gt;0, 2, 0))),
                IF(S42="-", 0, IF(S42&lt;0, -2, IF(S42&gt;0, 2, 0)))) / 6 &lt; -0.1,
            "BEARISH",
            IF(SUM(IF(S39="-", 0, IF(S39&lt;0, -2, IF(S39&gt;0, 2, 0))),
                    IF(S40="-", 0, IF(S40&lt;0, -2, IF(S40&gt;0, 2, 0))),
                    IF(S41="-", 0, IF(S41&lt;0, -2, IF(S41&gt;0, 2, 0))),
                    IF(S42="-", 0, IF(S42&lt;0, -2, IF(S42&gt;0, 2, 0)))) / 6 &gt; -0.1,
                "NEUTRO",
                "NEUTRO"
            )
        )
    )
)</f>
        <v/>
      </c>
      <c r="R38" s="372"/>
      <c r="S38" s="373"/>
      <c r="T38" s="371" t="str">
        <f>IF(AND(V39="-",V40="-",V41="-",V42="-"),
    "",
    IF(SUM(IF(V39="-", 0, IF(V39&lt;0, -2, IF(V39&gt;0, 2, 0))),
            IF(V40="-", 0, IF(V40&lt;0, -2, IF(V40&gt;0, 2, 0))),
            IF(V41="-", 0, IF(V41&lt;0, -2, IF(V41&gt;0, 2, 0))),
            IF(V42="-", 0, IF(V42&lt;0, -2, IF(V42&gt;0, 2, 0)))) / 6 &gt; 0.1,
        "BULLISH",
        IF(SUM(IF(V39="-", 0, IF(V39&lt;0, -2, IF(V39&gt;0, 2, 0))),
                IF(V40="-", 0, IF(V40&lt;0, -2, IF(V40&gt;0, 2, 0))),
                IF(V41="-", 0, IF(V41&lt;0, -2, IF(V41&gt;0, 2, 0))),
                IF(V42="-", 0, IF(V42&lt;0, -2, IF(V42&gt;0, 2, 0)))) / 6 &lt; -0.1,
            "BEARISH",
            IF(SUM(IF(V39="-", 0, IF(V39&lt;0, -2, IF(V39&gt;0, 2, 0))),
                    IF(V40="-", 0, IF(V40&lt;0, -2, IF(V40&gt;0, 2, 0))),
                    IF(V41="-", 0, IF(V41&lt;0, -2, IF(V41&gt;0, 2, 0))),
                    IF(V42="-", 0, IF(V42&lt;0, -2, IF(V42&gt;0, 2, 0)))) / 6 &gt; -0.1,
                "NEUTRO",
                "NEUTRO"
            )
        )
    )
)</f>
        <v/>
      </c>
      <c r="U38" s="372"/>
      <c r="V38" s="373"/>
      <c r="W38" s="352" t="str">
        <f>IF(AND(Y39="-",Y40="-",Y41="-",Y42="-"),
    "",
    IF(SUM(IF(Y39="-", 0, IF(Y39&lt;0, -2, IF(Y39&gt;0, 2, 0))),
            IF(Y40="-", 0, IF(Y40&lt;0, -2, IF(Y40&gt;0, 2, 0))),
            IF(Y41="-", 0, IF(Y41&lt;0, -2, IF(Y41&gt;0, 2, 0))),
            IF(Y42="-", 0, IF(Y42&lt;0, -2, IF(Y42&gt;0, 2, 0)))) / 6 &gt; 0.1,
        "BULLISH",
        IF(SUM(IF(Y39="-", 0, IF(Y39&lt;0, -2, IF(Y39&gt;0, 2, 0))),
                IF(Y40="-", 0, IF(Y40&lt;0, -2, IF(Y40&gt;0, 2, 0))),
                IF(Y41="-", 0, IF(Y41&lt;0, -2, IF(Y41&gt;0, 2, 0))),
                IF(Y42="-", 0, IF(Y42&lt;0, -2, IF(Y42&gt;0, 2, 0)))) / 6 &lt; -0.1,
            "BEARISH",
            IF(SUM(IF(Y39="-", 0, IF(Y39&lt;0, -2, IF(Y39&gt;0, 2, 0))),
                    IF(Y40="-", 0, IF(Y40&lt;0, -2, IF(Y40&gt;0, 2, 0))),
                    IF(Y41="-", 0, IF(Y41&lt;0, -2, IF(Y41&gt;0, 2, 0))),
                    IF(Y42="-", 0, IF(Y42&lt;0, -2, IF(Y42&gt;0, 2, 0)))) / 6 &gt; -0.1,
                "NEUTRO",
                "NEUTRO"
            )
        )
    )
)</f>
        <v/>
      </c>
      <c r="X38" s="353"/>
      <c r="Y38" s="354"/>
      <c r="Z38" s="352" t="str">
        <f>IF(AND(AB39="-",AB40="-",AB41="-",AB42="-"),
    "",
    IF(SUM(IF(AB39="-", 0, IF(AB39&lt;0, -2, IF(AB39&gt;0, 2, 0))),
            IF(AB40="-", 0, IF(AB40&lt;0, -2, IF(AB40&gt;0, 2, 0))),
            IF(AB41="-", 0, IF(AB41&lt;0, -2, IF(AB41&gt;0, 2, 0))),
            IF(AB42="-", 0, IF(AB42&lt;0, -2, IF(AB42&gt;0, 2, 0)))) / 6 &gt; 0.1,
        "BULLISH",
        IF(SUM(IF(AB39="-", 0, IF(AB39&lt;0, -2, IF(AB39&gt;0, 2, 0))),
                IF(AB40="-", 0, IF(AB40&lt;0, -2, IF(AB40&gt;0, 2, 0))),
                IF(AB41="-", 0, IF(AB41&lt;0, -2, IF(AB41&gt;0, 2, 0))),
                IF(AB42="-", 0, IF(AB42&lt;0, -2, IF(AB42&gt;0, 2, 0)))) / 6 &lt; -0.1,
            "BEARISH",
            IF(SUM(IF(AB39="-", 0, IF(AB39&lt;0, -2, IF(AB39&gt;0, 2, 0))),
                    IF(AB40="-", 0, IF(AB40&lt;0, -2, IF(AB40&gt;0, 2, 0))),
                    IF(AB41="-", 0, IF(AB41&lt;0, -2, IF(AB41&gt;0, 2, 0))),
                    IF(AB42="-", 0, IF(AB42&lt;0, -2, IF(AB42&gt;0, 2, 0)))) / 6 &gt; -0.1,
                "NEUTRO",
                "NEUTRO"
            )
        )
    )
)</f>
        <v/>
      </c>
      <c r="AA38" s="353"/>
      <c r="AB38" s="354"/>
      <c r="AC38" s="352" t="str">
        <f>IF(AND(AE39="-",AE40="-",AE41="-",AE42="-"),
    "",
    IF(SUM(IF(AE39="-", 0, IF(AE39&lt;0, -2, IF(AE39&gt;0, 2, 0))),
            IF(AE40="-", 0, IF(AE40&lt;0, -2, IF(AE40&gt;0, 2, 0))),
            IF(AE41="-", 0, IF(AE41&lt;0, -2, IF(AE41&gt;0, 2, 0))),
            IF(AE42="-", 0, IF(AE42&lt;0, -2, IF(AE42&gt;0, 2, 0)))) / 6 &gt; 0.1,
        "BULLISH",
        IF(SUM(IF(AE39="-", 0, IF(AE39&lt;0, -2, IF(AE39&gt;0, 2, 0))),
                IF(AE40="-", 0, IF(AE40&lt;0, -2, IF(AE40&gt;0, 2, 0))),
                IF(AE41="-", 0, IF(AE41&lt;0, -2, IF(AE41&gt;0, 2, 0))),
                IF(AE42="-", 0, IF(AE42&lt;0, -2, IF(AE42&gt;0, 2, 0)))) / 6 &lt; -0.1,
            "BEARISH",
            IF(SUM(IF(AE39="-", 0, IF(AE39&lt;0, -2, IF(AE39&gt;0, 2, 0))),
                    IF(AE40="-", 0, IF(AE40&lt;0, -2, IF(AE40&gt;0, 2, 0))),
                    IF(AE41="-", 0, IF(AE41&lt;0, -2, IF(AE41&gt;0, 2, 0))),
                    IF(AE42="-", 0, IF(AE42&lt;0, -2, IF(AE42&gt;0, 2, 0)))) / 6 &gt; -0.1,
                "NEUTRO",
                "NEUTRO"
            )
        )
    )
)</f>
        <v/>
      </c>
      <c r="AD38" s="353"/>
      <c r="AE38" s="354"/>
      <c r="AF38" s="352" t="str">
        <f>IF(AND(AH39="-",AH40="-",AH41="-",AH42="-"),
    "",
    IF(SUM(IF(AH39="-", 0, IF(AH39&lt;0, -2, IF(AH39&gt;0, 2, 0))),
            IF(AH40="-", 0, IF(AH40&lt;0, -2, IF(AH40&gt;0, 2, 0))),
            IF(AH41="-", 0, IF(AH41&lt;0, -2, IF(AH41&gt;0, 2, 0))),
            IF(AH42="-", 0, IF(AH42&lt;0, -2, IF(AH42&gt;0, 2, 0)))) / 6 &gt; 0.1,
        "BULLISH",
        IF(SUM(IF(AH39="-", 0, IF(AH39&lt;0, -2, IF(AH39&gt;0, 2, 0))),
                IF(AH40="-", 0, IF(AH40&lt;0, -2, IF(AH40&gt;0, 2, 0))),
                IF(AH41="-", 0, IF(AH41&lt;0, -2, IF(AH41&gt;0, 2, 0))),
                IF(AH42="-", 0, IF(AH42&lt;0, -2, IF(AH42&gt;0, 2, 0)))) / 6 &lt; -0.1,
            "BEARISH",
            IF(SUM(IF(AH39="-", 0, IF(AH39&lt;0, -2, IF(AH39&gt;0, 2, 0))),
                    IF(AH40="-", 0, IF(AH40&lt;0, -2, IF(AH40&gt;0, 2, 0))),
                    IF(AH41="-", 0, IF(AH41&lt;0, -2, IF(AH41&gt;0, 2, 0))),
                    IF(AH42="-", 0, IF(AH42&lt;0, -2, IF(AH42&gt;0, 2, 0)))) / 6 &gt; -0.1,
                "NEUTRO",
                "NEUTRO"
            )
        )
    )
)</f>
        <v/>
      </c>
      <c r="AG38" s="353"/>
      <c r="AH38" s="354"/>
      <c r="AI38" s="352" t="str">
        <f>IF(AND(AK39="-",AK40="-",AK41="-",AK42="-"),
    "",
    IF(SUM(IF(AK39="-", 0, IF(AK39&lt;0, -2, IF(AK39&gt;0, 2, 0))),
            IF(AK40="-", 0, IF(AK40&lt;0, -2, IF(AK40&gt;0, 2, 0))),
            IF(AK41="-", 0, IF(AK41&lt;0, -2, IF(AK41&gt;0, 2, 0))),
            IF(AK42="-", 0, IF(AK42&lt;0, -2, IF(AK42&gt;0, 2, 0)))) / 6 &gt; 0.1,
        "BULLISH",
        IF(SUM(IF(AK39="-", 0, IF(AK39&lt;0, -2, IF(AK39&gt;0, 2, 0))),
                IF(AK40="-", 0, IF(AK40&lt;0, -2, IF(AK40&gt;0, 2, 0))),
                IF(AK41="-", 0, IF(AK41&lt;0, -2, IF(AK41&gt;0, 2, 0))),
                IF(AK42="-", 0, IF(AK42&lt;0, -2, IF(AK42&gt;0, 2, 0)))) / 6 &lt; -0.1,
            "BEARISH",
            IF(SUM(IF(AK39="-", 0, IF(AK39&lt;0, -2, IF(AK39&gt;0, 2, 0))),
                    IF(AK40="-", 0, IF(AK40&lt;0, -2, IF(AK40&gt;0, 2, 0))),
                    IF(AK41="-", 0, IF(AK41&lt;0, -2, IF(AK41&gt;0, 2, 0))),
                    IF(AK42="-", 0, IF(AK42&lt;0, -2, IF(AK42&gt;0, 2, 0)))) / 6 &gt; -0.1,
                "NEUTRO",
                "NEUTRO"
            )
        )
    )
)</f>
        <v/>
      </c>
      <c r="AJ38" s="353"/>
      <c r="AK38" s="354"/>
      <c r="AL38" s="352" t="str">
        <f>IF(AND(AN39="-",AN40="-",AN41="-",AN42="-"),
    "",
    IF(SUM(IF(AN39="-", 0, IF(AN39&lt;0, -2, IF(AN39&gt;0, 2, 0))),
            IF(AN40="-", 0, IF(AN40&lt;0, -2, IF(AN40&gt;0, 2, 0))),
            IF(AN41="-", 0, IF(AN41&lt;0, -2, IF(AN41&gt;0, 2, 0))),
            IF(AN42="-", 0, IF(AN42&lt;0, -2, IF(AN42&gt;0, 2, 0)))) / 6 &gt; 0.1,
        "BULLISH",
        IF(SUM(IF(AN39="-", 0, IF(AN39&lt;0, -2, IF(AN39&gt;0, 2, 0))),
                IF(AN40="-", 0, IF(AN40&lt;0, -2, IF(AN40&gt;0, 2, 0))),
                IF(AN41="-", 0, IF(AN41&lt;0, -2, IF(AN41&gt;0, 2, 0))),
                IF(AN42="-", 0, IF(AN42&lt;0, -2, IF(AN42&gt;0, 2, 0)))) / 6 &lt; -0.1,
            "BEARISH",
            IF(SUM(IF(AN39="-", 0, IF(AN39&lt;0, -2, IF(AN39&gt;0, 2, 0))),
                    IF(AN40="-", 0, IF(AN40&lt;0, -2, IF(AN40&gt;0, 2, 0))),
                    IF(AN41="-", 0, IF(AN41&lt;0, -2, IF(AN41&gt;0, 2, 0))),
                    IF(AN42="-", 0, IF(AN42&lt;0, -2, IF(AN42&gt;0, 2, 0)))) / 6 &gt; -0.1,
                "NEUTRO",
                "NEUTRO"
            )
        )
    )
)</f>
        <v/>
      </c>
      <c r="AM38" s="353"/>
      <c r="AN38" s="354"/>
      <c r="AO38" s="352" t="str">
        <f>IF(AND(AQ39="-",AQ40="-",AQ41="-",AQ42="-"),
    "",
    IF(SUM(IF(AQ39="-", 0, IF(AQ39&lt;0, -2, IF(AQ39&gt;0, 2, 0))),
            IF(AQ40="-", 0, IF(AQ40&lt;0, -2, IF(AQ40&gt;0, 2, 0))),
            IF(AQ41="-", 0, IF(AQ41&lt;0, -2, IF(AQ41&gt;0, 2, 0))),
            IF(AQ42="-", 0, IF(AQ42&lt;0, -2, IF(AQ42&gt;0, 2, 0)))) / 6 &gt; 0.1,
        "BULLISH",
        IF(SUM(IF(AQ39="-", 0, IF(AQ39&lt;0, -2, IF(AQ39&gt;0, 2, 0))),
                IF(AQ40="-", 0, IF(AQ40&lt;0, -2, IF(AQ40&gt;0, 2, 0))),
                IF(AQ41="-", 0, IF(AQ41&lt;0, -2, IF(AQ41&gt;0, 2, 0))),
                IF(AQ42="-", 0, IF(AQ42&lt;0, -2, IF(AQ42&gt;0, 2, 0)))) / 6 &lt; -0.1,
            "BEARISH",
            IF(SUM(IF(AQ39="-", 0, IF(AQ39&lt;0, -2, IF(AQ39&gt;0, 2, 0))),
                    IF(AQ40="-", 0, IF(AQ40&lt;0, -2, IF(AQ40&gt;0, 2, 0))),
                    IF(AQ41="-", 0, IF(AQ41&lt;0, -2, IF(AQ41&gt;0, 2, 0))),
                    IF(AQ42="-", 0, IF(AQ42&lt;0, -2, IF(AQ42&gt;0, 2, 0)))) / 6 &gt; -0.1,
                "NEUTRO",
                "NEUTRO"
            )
        )
    )
)</f>
        <v/>
      </c>
      <c r="AP38" s="353"/>
      <c r="AQ38" s="354"/>
      <c r="AR38" s="352" t="str">
        <f>IF(AND(AT39="-",AT40="-",AT41="-",AT42="-"),
    "",
    IF(SUM(IF(AT39="-", 0, IF(AT39&lt;0, -2, IF(AT39&gt;0, 2, 0))),
            IF(AT40="-", 0, IF(AT40&lt;0, -2, IF(AT40&gt;0, 2, 0))),
            IF(AT41="-", 0, IF(AT41&lt;0, -2, IF(AT41&gt;0, 2, 0))),
            IF(AT42="-", 0, IF(AT42&lt;0, -2, IF(AT42&gt;0, 2, 0)))) / 6 &gt; 0.1,
        "BULLISH",
        IF(SUM(IF(AT39="-", 0, IF(AT39&lt;0, -2, IF(AT39&gt;0, 2, 0))),
                IF(AT40="-", 0, IF(AT40&lt;0, -2, IF(AT40&gt;0, 2, 0))),
                IF(AT41="-", 0, IF(AT41&lt;0, -2, IF(AT41&gt;0, 2, 0))),
                IF(AT42="-", 0, IF(AT42&lt;0, -2, IF(AT42&gt;0, 2, 0)))) / 6 &lt; -0.1,
            "BEARISH",
            IF(SUM(IF(AT39="-", 0, IF(AT39&lt;0, -2, IF(AT39&gt;0, 2, 0))),
                    IF(AT40="-", 0, IF(AT40&lt;0, -2, IF(AT40&gt;0, 2, 0))),
                    IF(AT41="-", 0, IF(AT41&lt;0, -2, IF(AT41&gt;0, 2, 0))),
                    IF(AT42="-", 0, IF(AT42&lt;0, -2, IF(AT42&gt;0, 2, 0)))) / 6 &gt; -0.1,
                "NEUTRO",
                "NEUTRO"
            )
        )
    )
)</f>
        <v/>
      </c>
      <c r="AS38" s="353"/>
      <c r="AT38" s="354"/>
      <c r="AU38" s="352" t="str">
        <f>IF(AND(AW39="-",AW40="-",AW41="-",AW42="-"),
    "",
    IF(SUM(IF(AW39="-", 0, IF(AW39&lt;0, -2, IF(AW39&gt;0, 2, 0))),
            IF(AW40="-", 0, IF(AW40&lt;0, -2, IF(AW40&gt;0, 2, 0))),
            IF(AW41="-", 0, IF(AW41&lt;0, -2, IF(AW41&gt;0, 2, 0))),
            IF(AW42="-", 0, IF(AW42&lt;0, -2, IF(AW42&gt;0, 2, 0)))) / 6 &gt; 0.1,
        "BULLISH",
        IF(SUM(IF(AW39="-", 0, IF(AW39&lt;0, -2, IF(AW39&gt;0, 2, 0))),
                IF(AW40="-", 0, IF(AW40&lt;0, -2, IF(AW40&gt;0, 2, 0))),
                IF(AW41="-", 0, IF(AW41&lt;0, -2, IF(AW41&gt;0, 2, 0))),
                IF(AW42="-", 0, IF(AW42&lt;0, -2, IF(AW42&gt;0, 2, 0)))) / 6 &lt; -0.1,
            "BEARISH",
            IF(SUM(IF(AW39="-", 0, IF(AW39&lt;0, -2, IF(AW39&gt;0, 2, 0))),
                    IF(AW40="-", 0, IF(AW40&lt;0, -2, IF(AW40&gt;0, 2, 0))),
                    IF(AW41="-", 0, IF(AW41&lt;0, -2, IF(AW41&gt;0, 2, 0))),
                    IF(AW42="-", 0, IF(AW42&lt;0, -2, IF(AW42&gt;0, 2, 0)))) / 6 &gt; -0.1,
                "NEUTRO",
                "NEUTRO"
            )
        )
    )
)</f>
        <v/>
      </c>
      <c r="AV38" s="353"/>
      <c r="AW38" s="354"/>
    </row>
    <row r="39" spans="1:49" x14ac:dyDescent="0.25">
      <c r="A39" s="26" t="s">
        <v>255</v>
      </c>
      <c r="B39" s="135"/>
      <c r="C39" s="135"/>
      <c r="D39" s="181" t="str">
        <f>IF(ISBLANK(B39),"-",B39-C39)</f>
        <v>-</v>
      </c>
      <c r="E39" s="135"/>
      <c r="F39" s="135"/>
      <c r="G39" s="181" t="str">
        <f>IF(ISBLANK(E39),"-",E39-F39)</f>
        <v>-</v>
      </c>
      <c r="H39" s="135"/>
      <c r="I39" s="135"/>
      <c r="J39" s="181" t="str">
        <f>IF(ISBLANK(H39),"-",H39-I39)</f>
        <v>-</v>
      </c>
      <c r="K39" s="135"/>
      <c r="L39" s="135"/>
      <c r="M39" s="181" t="str">
        <f>IF(ISBLANK(K39),"-",K39-L39)</f>
        <v>-</v>
      </c>
      <c r="N39" s="135"/>
      <c r="O39" s="135"/>
      <c r="P39" s="181" t="str">
        <f>IF(ISBLANK(N39),"-",N39-O39)</f>
        <v>-</v>
      </c>
      <c r="Q39" s="135"/>
      <c r="R39" s="135"/>
      <c r="S39" s="181" t="str">
        <f>IF(ISBLANK(Q39),"-",Q39-R39)</f>
        <v>-</v>
      </c>
      <c r="T39" s="135"/>
      <c r="U39" s="135">
        <v>8.5380000000000003</v>
      </c>
      <c r="V39" s="181" t="str">
        <f>IF(ISBLANK(T39),"-",T39-U39)</f>
        <v>-</v>
      </c>
      <c r="W39" s="135"/>
      <c r="X39" s="135"/>
      <c r="Y39" s="181" t="str">
        <f>IF(ISBLANK(W39),"-",W39-X39)</f>
        <v>-</v>
      </c>
      <c r="Z39" s="135"/>
      <c r="AA39" s="135"/>
      <c r="AB39" s="181" t="str">
        <f>IF(ISBLANK(Z39),"-",Z39-AA39)</f>
        <v>-</v>
      </c>
      <c r="AC39" s="135"/>
      <c r="AD39" s="135"/>
      <c r="AE39" s="181" t="str">
        <f>IF(ISBLANK(AC39),"-",AC39-AD39)</f>
        <v>-</v>
      </c>
      <c r="AF39" s="135"/>
      <c r="AG39" s="135"/>
      <c r="AH39" s="181" t="str">
        <f>IF(ISBLANK(AF39),"-",AF39-AG39)</f>
        <v>-</v>
      </c>
      <c r="AI39" s="135"/>
      <c r="AJ39" s="135"/>
      <c r="AK39" s="181" t="str">
        <f>IF(ISBLANK(AI39),"-",AI39-AJ39)</f>
        <v>-</v>
      </c>
      <c r="AL39" s="135"/>
      <c r="AM39" s="135"/>
      <c r="AN39" s="181" t="str">
        <f>IF(ISBLANK(AL39),"-",AL39-AM39)</f>
        <v>-</v>
      </c>
      <c r="AO39" s="135"/>
      <c r="AP39" s="135"/>
      <c r="AQ39" s="181" t="str">
        <f>IF(ISBLANK(AO39),"-",AO39-AP39)</f>
        <v>-</v>
      </c>
      <c r="AR39" s="135"/>
      <c r="AS39" s="135"/>
      <c r="AT39" s="181" t="str">
        <f>IF(ISBLANK(AR39),"-",AR39-AS39)</f>
        <v>-</v>
      </c>
      <c r="AU39" s="135"/>
      <c r="AV39" s="135"/>
      <c r="AW39" s="181" t="str">
        <f>IF(ISBLANK(AU39),"-",AU39-AV39)</f>
        <v>-</v>
      </c>
    </row>
    <row r="40" spans="1:49" x14ac:dyDescent="0.25">
      <c r="A40" s="15" t="s">
        <v>256</v>
      </c>
      <c r="B40" s="138"/>
      <c r="C40" s="138"/>
      <c r="D40" s="25" t="str">
        <f>IF(ISBLANK(B40),"-",B40-C40)</f>
        <v>-</v>
      </c>
      <c r="E40" s="138"/>
      <c r="F40" s="138"/>
      <c r="G40" s="25" t="str">
        <f>IF(ISBLANK(E40),"-",E40-F40)</f>
        <v>-</v>
      </c>
      <c r="H40" s="138"/>
      <c r="I40" s="138"/>
      <c r="J40" s="25" t="str">
        <f>IF(ISBLANK(H40),"-",H40-I40)</f>
        <v>-</v>
      </c>
      <c r="K40" s="138"/>
      <c r="L40" s="138"/>
      <c r="M40" s="25" t="str">
        <f>IF(ISBLANK(K40),"-",K40-L40)</f>
        <v>-</v>
      </c>
      <c r="N40" s="138"/>
      <c r="O40" s="138"/>
      <c r="P40" s="25" t="str">
        <f>IF(ISBLANK(N40),"-",N40-O40)</f>
        <v>-</v>
      </c>
      <c r="Q40" s="138"/>
      <c r="R40" s="138"/>
      <c r="S40" s="25" t="str">
        <f>IF(ISBLANK(Q40),"-",Q40-R40)</f>
        <v>-</v>
      </c>
      <c r="T40" s="138"/>
      <c r="U40" s="138"/>
      <c r="V40" s="25" t="str">
        <f>IF(ISBLANK(T40),"-",T40-U40)</f>
        <v>-</v>
      </c>
      <c r="W40" s="138"/>
      <c r="X40" s="138"/>
      <c r="Y40" s="25" t="str">
        <f>IF(ISBLANK(W40),"-",W40-X40)</f>
        <v>-</v>
      </c>
      <c r="Z40" s="138"/>
      <c r="AA40" s="138"/>
      <c r="AB40" s="25" t="str">
        <f>IF(ISBLANK(Z40),"-",Z40-AA40)</f>
        <v>-</v>
      </c>
      <c r="AC40" s="138"/>
      <c r="AD40" s="138"/>
      <c r="AE40" s="25" t="str">
        <f>IF(ISBLANK(AC40),"-",AC40-AD40)</f>
        <v>-</v>
      </c>
      <c r="AF40" s="138"/>
      <c r="AG40" s="138"/>
      <c r="AH40" s="25" t="str">
        <f>IF(ISBLANK(AF40),"-",AF40-AG40)</f>
        <v>-</v>
      </c>
      <c r="AI40" s="138"/>
      <c r="AJ40" s="138"/>
      <c r="AK40" s="25" t="str">
        <f>IF(ISBLANK(AI40),"-",AI40-AJ40)</f>
        <v>-</v>
      </c>
      <c r="AL40" s="138"/>
      <c r="AM40" s="138"/>
      <c r="AN40" s="25" t="str">
        <f>IF(ISBLANK(AL40),"-",AL40-AM40)</f>
        <v>-</v>
      </c>
      <c r="AO40" s="138"/>
      <c r="AP40" s="138"/>
      <c r="AQ40" s="25" t="str">
        <f>IF(ISBLANK(AO40),"-",AO40-AP40)</f>
        <v>-</v>
      </c>
      <c r="AR40" s="138"/>
      <c r="AS40" s="138"/>
      <c r="AT40" s="25" t="str">
        <f>IF(ISBLANK(AR40),"-",AR40-AS40)</f>
        <v>-</v>
      </c>
      <c r="AU40" s="138"/>
      <c r="AV40" s="138"/>
      <c r="AW40" s="25" t="str">
        <f>IF(ISBLANK(AU40),"-",AU40-AV40)</f>
        <v>-</v>
      </c>
    </row>
    <row r="41" spans="1:49" x14ac:dyDescent="0.25">
      <c r="A41" s="15" t="s">
        <v>257</v>
      </c>
      <c r="B41" s="138"/>
      <c r="C41" s="138"/>
      <c r="D41" s="3" t="str">
        <f>IF(ISBLANK(B41),"-",B41-C41)</f>
        <v>-</v>
      </c>
      <c r="E41" s="138"/>
      <c r="F41" s="138"/>
      <c r="G41" s="3" t="str">
        <f>IF(ISBLANK(E41),"-",E41-F41)</f>
        <v>-</v>
      </c>
      <c r="H41" s="138"/>
      <c r="I41" s="138"/>
      <c r="J41" s="3" t="str">
        <f>IF(ISBLANK(H41),"-",H41-I41)</f>
        <v>-</v>
      </c>
      <c r="K41" s="138"/>
      <c r="L41" s="138"/>
      <c r="M41" s="3" t="str">
        <f>IF(ISBLANK(K41),"-",K41-L41)</f>
        <v>-</v>
      </c>
      <c r="N41" s="138"/>
      <c r="O41" s="138"/>
      <c r="P41" s="3" t="str">
        <f>IF(ISBLANK(N41),"-",N41-O41)</f>
        <v>-</v>
      </c>
      <c r="Q41" s="138"/>
      <c r="R41" s="138"/>
      <c r="S41" s="3" t="str">
        <f>IF(ISBLANK(Q41),"-",Q41-R41)</f>
        <v>-</v>
      </c>
      <c r="T41" s="138"/>
      <c r="U41" s="138">
        <v>88089</v>
      </c>
      <c r="V41" s="3" t="str">
        <f>IF(ISBLANK(T41),"-",T41-U41)</f>
        <v>-</v>
      </c>
      <c r="W41" s="138"/>
      <c r="X41" s="138"/>
      <c r="Y41" s="3" t="str">
        <f>IF(ISBLANK(W41),"-",W41-X41)</f>
        <v>-</v>
      </c>
      <c r="Z41" s="138"/>
      <c r="AA41" s="138"/>
      <c r="AB41" s="3" t="str">
        <f>IF(ISBLANK(Z41),"-",Z41-AA41)</f>
        <v>-</v>
      </c>
      <c r="AC41" s="138"/>
      <c r="AD41" s="138"/>
      <c r="AE41" s="3" t="str">
        <f>IF(ISBLANK(AC41),"-",AC41-AD41)</f>
        <v>-</v>
      </c>
      <c r="AF41" s="138"/>
      <c r="AG41" s="138"/>
      <c r="AH41" s="3" t="str">
        <f>IF(ISBLANK(AF41),"-",AF41-AG41)</f>
        <v>-</v>
      </c>
      <c r="AI41" s="138"/>
      <c r="AJ41" s="138"/>
      <c r="AK41" s="3" t="str">
        <f>IF(ISBLANK(AI41),"-",AI41-AJ41)</f>
        <v>-</v>
      </c>
      <c r="AL41" s="138"/>
      <c r="AM41" s="138"/>
      <c r="AN41" s="3" t="str">
        <f>IF(ISBLANK(AL41),"-",AL41-AM41)</f>
        <v>-</v>
      </c>
      <c r="AO41" s="138"/>
      <c r="AP41" s="138"/>
      <c r="AQ41" s="3" t="str">
        <f>IF(ISBLANK(AO41),"-",AO41-AP41)</f>
        <v>-</v>
      </c>
      <c r="AR41" s="138"/>
      <c r="AS41" s="138"/>
      <c r="AT41" s="3" t="str">
        <f>IF(ISBLANK(AR41),"-",AR41-AS41)</f>
        <v>-</v>
      </c>
      <c r="AU41" s="138"/>
      <c r="AV41" s="138"/>
      <c r="AW41" s="3" t="str">
        <f>IF(ISBLANK(AU41),"-",AU41-AV41)</f>
        <v>-</v>
      </c>
    </row>
    <row r="42" spans="1:49" x14ac:dyDescent="0.25">
      <c r="A42" s="28" t="s">
        <v>258</v>
      </c>
      <c r="B42" s="182"/>
      <c r="C42" s="182"/>
      <c r="D42" s="183" t="str">
        <f>IF(ISBLANK(B42),"-",B42-C42)</f>
        <v>-</v>
      </c>
      <c r="E42" s="182"/>
      <c r="F42" s="182"/>
      <c r="G42" s="183" t="str">
        <f>IF(ISBLANK(E42),"-",E42-F42)</f>
        <v>-</v>
      </c>
      <c r="H42" s="182"/>
      <c r="I42" s="182"/>
      <c r="J42" s="183" t="str">
        <f>IF(ISBLANK(H42),"-",H42-I42)</f>
        <v>-</v>
      </c>
      <c r="K42" s="182"/>
      <c r="L42" s="182"/>
      <c r="M42" s="183" t="str">
        <f>IF(ISBLANK(K42),"-",K42-L42)</f>
        <v>-</v>
      </c>
      <c r="N42" s="182"/>
      <c r="O42" s="182"/>
      <c r="P42" s="183" t="str">
        <f>IF(ISBLANK(N42),"-",N42-O42)</f>
        <v>-</v>
      </c>
      <c r="Q42" s="182"/>
      <c r="R42" s="182"/>
      <c r="S42" s="183" t="str">
        <f>IF(ISBLANK(Q42),"-",Q42-R42)</f>
        <v>-</v>
      </c>
      <c r="T42" s="182"/>
      <c r="U42" s="182"/>
      <c r="V42" s="183" t="str">
        <f>IF(ISBLANK(T42),"-",T42-U42)</f>
        <v>-</v>
      </c>
      <c r="W42" s="182"/>
      <c r="X42" s="182"/>
      <c r="Y42" s="183" t="str">
        <f>IF(ISBLANK(W42),"-",W42-X42)</f>
        <v>-</v>
      </c>
      <c r="Z42" s="182"/>
      <c r="AA42" s="182"/>
      <c r="AB42" s="183" t="str">
        <f>IF(ISBLANK(Z42),"-",Z42-AA42)</f>
        <v>-</v>
      </c>
      <c r="AC42" s="182"/>
      <c r="AD42" s="182"/>
      <c r="AE42" s="183" t="str">
        <f>IF(ISBLANK(AC42),"-",AC42-AD42)</f>
        <v>-</v>
      </c>
      <c r="AF42" s="182"/>
      <c r="AG42" s="182"/>
      <c r="AH42" s="183" t="str">
        <f>IF(ISBLANK(AF42),"-",AF42-AG42)</f>
        <v>-</v>
      </c>
      <c r="AI42" s="182"/>
      <c r="AJ42" s="182"/>
      <c r="AK42" s="183" t="str">
        <f>IF(ISBLANK(AI42),"-",AI42-AJ42)</f>
        <v>-</v>
      </c>
      <c r="AL42" s="182"/>
      <c r="AM42" s="182"/>
      <c r="AN42" s="183" t="str">
        <f>IF(ISBLANK(AL42),"-",AL42-AM42)</f>
        <v>-</v>
      </c>
      <c r="AO42" s="182"/>
      <c r="AP42" s="182"/>
      <c r="AQ42" s="183" t="str">
        <f>IF(ISBLANK(AO42),"-",AO42-AP42)</f>
        <v>-</v>
      </c>
      <c r="AR42" s="182"/>
      <c r="AS42" s="182"/>
      <c r="AT42" s="183" t="str">
        <f>IF(ISBLANK(AR42),"-",AR42-AS42)</f>
        <v>-</v>
      </c>
      <c r="AU42" s="182"/>
      <c r="AV42" s="182"/>
      <c r="AW42" s="183" t="str">
        <f>IF(ISBLANK(AU42),"-",AU42-AV42)</f>
        <v>-</v>
      </c>
    </row>
  </sheetData>
  <mergeCells count="128">
    <mergeCell ref="B2:D2"/>
    <mergeCell ref="B10:D10"/>
    <mergeCell ref="B12:D12"/>
    <mergeCell ref="B17:D17"/>
    <mergeCell ref="B21:D21"/>
    <mergeCell ref="B33:D33"/>
    <mergeCell ref="B38:D38"/>
    <mergeCell ref="B1:C1"/>
    <mergeCell ref="E1:F1"/>
    <mergeCell ref="E2:G2"/>
    <mergeCell ref="E10:G10"/>
    <mergeCell ref="E12:G12"/>
    <mergeCell ref="E17:G17"/>
    <mergeCell ref="E21:G21"/>
    <mergeCell ref="E33:G33"/>
    <mergeCell ref="E38:G38"/>
    <mergeCell ref="N33:P33"/>
    <mergeCell ref="N38:P38"/>
    <mergeCell ref="W1:X1"/>
    <mergeCell ref="T2:V2"/>
    <mergeCell ref="T10:V10"/>
    <mergeCell ref="T12:V12"/>
    <mergeCell ref="T17:V17"/>
    <mergeCell ref="Q1:R1"/>
    <mergeCell ref="T1:U1"/>
    <mergeCell ref="T21:V21"/>
    <mergeCell ref="T33:V33"/>
    <mergeCell ref="AU38:AW38"/>
    <mergeCell ref="Z33:AB33"/>
    <mergeCell ref="AC33:AE33"/>
    <mergeCell ref="AF33:AH33"/>
    <mergeCell ref="AI33:AK33"/>
    <mergeCell ref="AL33:AN33"/>
    <mergeCell ref="AO33:AQ33"/>
    <mergeCell ref="AU33:AW33"/>
    <mergeCell ref="AR17:AT17"/>
    <mergeCell ref="AU17:AW17"/>
    <mergeCell ref="Z21:AB21"/>
    <mergeCell ref="AC21:AE21"/>
    <mergeCell ref="AF21:AH21"/>
    <mergeCell ref="AI21:AK21"/>
    <mergeCell ref="AL21:AN21"/>
    <mergeCell ref="AU21:AW21"/>
    <mergeCell ref="Z17:AB17"/>
    <mergeCell ref="AC17:AE17"/>
    <mergeCell ref="AF17:AH17"/>
    <mergeCell ref="AI17:AK17"/>
    <mergeCell ref="AL17:AN17"/>
    <mergeCell ref="AO17:AQ17"/>
    <mergeCell ref="AO21:AQ21"/>
    <mergeCell ref="AR21:AT21"/>
    <mergeCell ref="AU10:AW10"/>
    <mergeCell ref="Z12:AB12"/>
    <mergeCell ref="AC12:AE12"/>
    <mergeCell ref="AF12:AH12"/>
    <mergeCell ref="AI12:AK12"/>
    <mergeCell ref="AL12:AN12"/>
    <mergeCell ref="AO12:AQ12"/>
    <mergeCell ref="AR12:AT12"/>
    <mergeCell ref="AU12:AW12"/>
    <mergeCell ref="Z10:AB10"/>
    <mergeCell ref="AC10:AE10"/>
    <mergeCell ref="AF10:AH10"/>
    <mergeCell ref="AI10:AK10"/>
    <mergeCell ref="AL10:AN10"/>
    <mergeCell ref="AO10:AQ10"/>
    <mergeCell ref="AR10:AT10"/>
    <mergeCell ref="AU1:AV1"/>
    <mergeCell ref="Z2:AB2"/>
    <mergeCell ref="AC2:AE2"/>
    <mergeCell ref="AF2:AH2"/>
    <mergeCell ref="AI2:AK2"/>
    <mergeCell ref="AL2:AN2"/>
    <mergeCell ref="AO2:AQ2"/>
    <mergeCell ref="AR2:AT2"/>
    <mergeCell ref="AU2:AW2"/>
    <mergeCell ref="Z1:AA1"/>
    <mergeCell ref="AC1:AD1"/>
    <mergeCell ref="AF1:AG1"/>
    <mergeCell ref="AI1:AJ1"/>
    <mergeCell ref="AL1:AM1"/>
    <mergeCell ref="AO1:AP1"/>
    <mergeCell ref="AR1:AS1"/>
    <mergeCell ref="Z38:AB38"/>
    <mergeCell ref="AC38:AE38"/>
    <mergeCell ref="AF38:AH38"/>
    <mergeCell ref="AI38:AK38"/>
    <mergeCell ref="AL38:AN38"/>
    <mergeCell ref="AO38:AQ38"/>
    <mergeCell ref="AR38:AT38"/>
    <mergeCell ref="Q2:S2"/>
    <mergeCell ref="AR33:AT33"/>
    <mergeCell ref="Q10:S10"/>
    <mergeCell ref="Q12:S12"/>
    <mergeCell ref="Q17:S17"/>
    <mergeCell ref="Q21:S21"/>
    <mergeCell ref="Q33:S33"/>
    <mergeCell ref="W38:Y38"/>
    <mergeCell ref="W2:Y2"/>
    <mergeCell ref="W10:Y10"/>
    <mergeCell ref="W12:Y12"/>
    <mergeCell ref="W17:Y17"/>
    <mergeCell ref="W21:Y21"/>
    <mergeCell ref="W33:Y33"/>
    <mergeCell ref="T38:V38"/>
    <mergeCell ref="Q38:S38"/>
    <mergeCell ref="N1:O1"/>
    <mergeCell ref="N2:P2"/>
    <mergeCell ref="N10:P10"/>
    <mergeCell ref="H1:I1"/>
    <mergeCell ref="H2:J2"/>
    <mergeCell ref="H10:J10"/>
    <mergeCell ref="H12:J12"/>
    <mergeCell ref="H17:J17"/>
    <mergeCell ref="H21:J21"/>
    <mergeCell ref="K1:L1"/>
    <mergeCell ref="N12:P12"/>
    <mergeCell ref="N17:P17"/>
    <mergeCell ref="N21:P21"/>
    <mergeCell ref="H33:J33"/>
    <mergeCell ref="H38:J38"/>
    <mergeCell ref="K2:M2"/>
    <mergeCell ref="K10:M10"/>
    <mergeCell ref="K12:M12"/>
    <mergeCell ref="K17:M17"/>
    <mergeCell ref="K21:M21"/>
    <mergeCell ref="K33:M33"/>
    <mergeCell ref="K38:M38"/>
  </mergeCells>
  <conditionalFormatting sqref="A2">
    <cfRule type="containsBlanks" dxfId="2172" priority="1444">
      <formula>LEN(TRIM(A2))=0</formula>
    </cfRule>
    <cfRule type="containsText" dxfId="2171" priority="1445" operator="containsText" text="NEUTRO">
      <formula>NOT(ISERROR(SEARCH("NEUTRO",A2)))</formula>
    </cfRule>
    <cfRule type="containsText" dxfId="2170" priority="1446" operator="containsText" text="BULLISH">
      <formula>NOT(ISERROR(SEARCH("BULLISH",A2)))</formula>
    </cfRule>
    <cfRule type="containsText" dxfId="2169" priority="1447" operator="containsText" text="BEARISH">
      <formula>NOT(ISERROR(SEARCH("BEARISH",A2)))</formula>
    </cfRule>
  </conditionalFormatting>
  <conditionalFormatting sqref="A10">
    <cfRule type="containsBlanks" dxfId="2168" priority="1440">
      <formula>LEN(TRIM(A10))=0</formula>
    </cfRule>
    <cfRule type="containsText" dxfId="2167" priority="1441" operator="containsText" text="NEUTRO">
      <formula>NOT(ISERROR(SEARCH("NEUTRO",A10)))</formula>
    </cfRule>
    <cfRule type="containsText" dxfId="2166" priority="1442" operator="containsText" text="BULLISH">
      <formula>NOT(ISERROR(SEARCH("BULLISH",A10)))</formula>
    </cfRule>
    <cfRule type="containsText" dxfId="2165" priority="1443" operator="containsText" text="BEARISH">
      <formula>NOT(ISERROR(SEARCH("BEARISH",A10)))</formula>
    </cfRule>
  </conditionalFormatting>
  <conditionalFormatting sqref="A12">
    <cfRule type="containsBlanks" dxfId="2164" priority="1436">
      <formula>LEN(TRIM(A12))=0</formula>
    </cfRule>
    <cfRule type="containsText" dxfId="2163" priority="1437" operator="containsText" text="NEUTRO">
      <formula>NOT(ISERROR(SEARCH("NEUTRO",A12)))</formula>
    </cfRule>
    <cfRule type="containsText" dxfId="2162" priority="1438" operator="containsText" text="BULLISH">
      <formula>NOT(ISERROR(SEARCH("BULLISH",A12)))</formula>
    </cfRule>
    <cfRule type="containsText" dxfId="2161" priority="1439" operator="containsText" text="BEARISH">
      <formula>NOT(ISERROR(SEARCH("BEARISH",A12)))</formula>
    </cfRule>
  </conditionalFormatting>
  <conditionalFormatting sqref="A17">
    <cfRule type="containsBlanks" dxfId="2160" priority="1432">
      <formula>LEN(TRIM(A17))=0</formula>
    </cfRule>
    <cfRule type="containsText" dxfId="2159" priority="1433" operator="containsText" text="NEUTRO">
      <formula>NOT(ISERROR(SEARCH("NEUTRO",A17)))</formula>
    </cfRule>
    <cfRule type="containsText" dxfId="2158" priority="1434" operator="containsText" text="BULLISH">
      <formula>NOT(ISERROR(SEARCH("BULLISH",A17)))</formula>
    </cfRule>
    <cfRule type="containsText" dxfId="2157" priority="1435" operator="containsText" text="BEARISH">
      <formula>NOT(ISERROR(SEARCH("BEARISH",A17)))</formula>
    </cfRule>
  </conditionalFormatting>
  <conditionalFormatting sqref="A21">
    <cfRule type="containsBlanks" dxfId="2156" priority="1428">
      <formula>LEN(TRIM(A21))=0</formula>
    </cfRule>
    <cfRule type="containsText" dxfId="2155" priority="1429" operator="containsText" text="NEUTRO">
      <formula>NOT(ISERROR(SEARCH("NEUTRO",A21)))</formula>
    </cfRule>
    <cfRule type="containsText" dxfId="2154" priority="1430" operator="containsText" text="BULLISH">
      <formula>NOT(ISERROR(SEARCH("BULLISH",A21)))</formula>
    </cfRule>
    <cfRule type="containsText" dxfId="2153" priority="1431" operator="containsText" text="BEARISH">
      <formula>NOT(ISERROR(SEARCH("BEARISH",A21)))</formula>
    </cfRule>
  </conditionalFormatting>
  <conditionalFormatting sqref="A33">
    <cfRule type="containsBlanks" dxfId="2152" priority="1424">
      <formula>LEN(TRIM(A33))=0</formula>
    </cfRule>
    <cfRule type="containsText" dxfId="2151" priority="1425" operator="containsText" text="NEUTRO">
      <formula>NOT(ISERROR(SEARCH("NEUTRO",A33)))</formula>
    </cfRule>
    <cfRule type="containsText" dxfId="2150" priority="1426" operator="containsText" text="BULLISH">
      <formula>NOT(ISERROR(SEARCH("BULLISH",A33)))</formula>
    </cfRule>
    <cfRule type="containsText" dxfId="2149" priority="1427" operator="containsText" text="BEARISH">
      <formula>NOT(ISERROR(SEARCH("BEARISH",A33)))</formula>
    </cfRule>
  </conditionalFormatting>
  <conditionalFormatting sqref="A38">
    <cfRule type="containsBlanks" dxfId="2148" priority="1420">
      <formula>LEN(TRIM(A38))=0</formula>
    </cfRule>
    <cfRule type="containsText" dxfId="2147" priority="1421" operator="containsText" text="NEUTRO">
      <formula>NOT(ISERROR(SEARCH("NEUTRO",A38)))</formula>
    </cfRule>
    <cfRule type="containsText" dxfId="2146" priority="1422" operator="containsText" text="BULLISH">
      <formula>NOT(ISERROR(SEARCH("BULLISH",A38)))</formula>
    </cfRule>
    <cfRule type="containsText" dxfId="2145" priority="1423" operator="containsText" text="BEARISH">
      <formula>NOT(ISERROR(SEARCH("BEARISH",A38)))</formula>
    </cfRule>
  </conditionalFormatting>
  <conditionalFormatting sqref="AU38">
    <cfRule type="containsText" dxfId="2144" priority="1366" operator="containsText" text="NEUTRO">
      <formula>NOT(ISERROR(SEARCH("NEUTRO",AU38)))</formula>
    </cfRule>
    <cfRule type="containsText" dxfId="2143" priority="1367" operator="containsText" text="BULLISH">
      <formula>NOT(ISERROR(SEARCH("BULLISH",AU38)))</formula>
    </cfRule>
    <cfRule type="containsText" dxfId="2142" priority="1368" operator="containsText" text="BEARISH">
      <formula>NOT(ISERROR(SEARCH("BEARISH",AU38)))</formula>
    </cfRule>
    <cfRule type="containsBlanks" dxfId="2141" priority="1369">
      <formula>LEN(TRIM(AU38))=0</formula>
    </cfRule>
  </conditionalFormatting>
  <conditionalFormatting sqref="AU10:AW10 AU12:AW12 AU17:AW17 AU21:AW21 AU33:AW33 AU38:AW38 B10:S10 B12:S12 B17:S17 B21:S21 B33:S33 B38:S38">
    <cfRule type="containsText" dxfId="2140" priority="1416" operator="containsText" text="NEUTRO">
      <formula>NOT(ISERROR(SEARCH("NEUTRO",B10)))</formula>
    </cfRule>
  </conditionalFormatting>
  <conditionalFormatting sqref="AU2:AW2 AU10:AW10 AU12:AW12 AU17:AW17 AU21:AW21 AU33:AW33 AU38:AW38 B2:S2 B10:S10 B12:S12 B17:S17 B21:S21 B33:S33 B38:S38">
    <cfRule type="containsText" dxfId="2139" priority="1417" operator="containsText" text="BULLISH">
      <formula>NOT(ISERROR(SEARCH("BULLISH",B2)))</formula>
    </cfRule>
  </conditionalFormatting>
  <conditionalFormatting sqref="AU2:AW2 AU10:AW10 AU12:AW12 AU17:AW17 AU21:AW21 AU33:AW33 AU38:AW38 B2:S2 B10:S10 B12:S12 B17:S17 B21:S21 B33:S33 B38:S38">
    <cfRule type="containsText" dxfId="2138" priority="1418" operator="containsText" text="BEARISH">
      <formula>NOT(ISERROR(SEARCH("BEARISH",B2)))</formula>
    </cfRule>
    <cfRule type="containsBlanks" dxfId="2137" priority="1419">
      <formula>LEN(TRIM(B2))=0</formula>
    </cfRule>
  </conditionalFormatting>
  <conditionalFormatting sqref="AW6:AW9">
    <cfRule type="cellIs" dxfId="2136" priority="1413" operator="equal">
      <formula>"-"</formula>
    </cfRule>
    <cfRule type="cellIs" dxfId="2135" priority="1414" operator="lessThan">
      <formula>0</formula>
    </cfRule>
    <cfRule type="cellIs" dxfId="2134" priority="1415" operator="greaterThan">
      <formula>0</formula>
    </cfRule>
  </conditionalFormatting>
  <conditionalFormatting sqref="AW13">
    <cfRule type="cellIs" dxfId="2133" priority="1411" operator="lessThan">
      <formula>0</formula>
    </cfRule>
    <cfRule type="cellIs" dxfId="2132" priority="1412" operator="greaterThan">
      <formula>0</formula>
    </cfRule>
  </conditionalFormatting>
  <conditionalFormatting sqref="AW15:AW16">
    <cfRule type="cellIs" dxfId="2131" priority="1409" operator="lessThan">
      <formula>0</formula>
    </cfRule>
    <cfRule type="cellIs" dxfId="2130" priority="1410" operator="greaterThan">
      <formula>0</formula>
    </cfRule>
  </conditionalFormatting>
  <conditionalFormatting sqref="AW14">
    <cfRule type="cellIs" dxfId="2129" priority="1407" operator="lessThan">
      <formula>0</formula>
    </cfRule>
    <cfRule type="cellIs" dxfId="2128" priority="1408" operator="greaterThan">
      <formula>0</formula>
    </cfRule>
  </conditionalFormatting>
  <conditionalFormatting sqref="AW20">
    <cfRule type="cellIs" dxfId="2127" priority="1400" operator="equal">
      <formula>"-"</formula>
    </cfRule>
    <cfRule type="cellIs" dxfId="2126" priority="1401" operator="lessThan">
      <formula>0</formula>
    </cfRule>
    <cfRule type="cellIs" dxfId="2125" priority="1402" operator="greaterThan">
      <formula>0</formula>
    </cfRule>
  </conditionalFormatting>
  <conditionalFormatting sqref="AW27:AW32">
    <cfRule type="cellIs" dxfId="2124" priority="1398" operator="lessThan">
      <formula>0</formula>
    </cfRule>
    <cfRule type="cellIs" dxfId="2123" priority="1399" operator="greaterThan">
      <formula>0</formula>
    </cfRule>
  </conditionalFormatting>
  <conditionalFormatting sqref="AW27:AW32">
    <cfRule type="cellIs" dxfId="2122" priority="1397" operator="equal">
      <formula>"-"</formula>
    </cfRule>
  </conditionalFormatting>
  <conditionalFormatting sqref="AW36">
    <cfRule type="cellIs" dxfId="2121" priority="1395" operator="lessThan">
      <formula>0</formula>
    </cfRule>
    <cfRule type="cellIs" dxfId="2120" priority="1396" operator="greaterThan">
      <formula>0</formula>
    </cfRule>
  </conditionalFormatting>
  <conditionalFormatting sqref="AW36">
    <cfRule type="cellIs" dxfId="2119" priority="1394" operator="equal">
      <formula>"-"</formula>
    </cfRule>
  </conditionalFormatting>
  <conditionalFormatting sqref="AW37">
    <cfRule type="cellIs" dxfId="2118" priority="1392" operator="lessThan">
      <formula>0</formula>
    </cfRule>
    <cfRule type="cellIs" dxfId="2117" priority="1393" operator="greaterThan">
      <formula>0</formula>
    </cfRule>
  </conditionalFormatting>
  <conditionalFormatting sqref="AW37">
    <cfRule type="cellIs" dxfId="2116" priority="1391" operator="equal">
      <formula>"-"</formula>
    </cfRule>
  </conditionalFormatting>
  <conditionalFormatting sqref="AW11">
    <cfRule type="cellIs" dxfId="2115" priority="1388" operator="equal">
      <formula>"-"</formula>
    </cfRule>
    <cfRule type="cellIs" dxfId="2114" priority="1389" operator="lessThan">
      <formula>0</formula>
    </cfRule>
    <cfRule type="cellIs" dxfId="2113" priority="1390" operator="greaterThan">
      <formula>0</formula>
    </cfRule>
  </conditionalFormatting>
  <conditionalFormatting sqref="AW3:AW5">
    <cfRule type="cellIs" dxfId="2112" priority="1385" operator="equal">
      <formula>"-"</formula>
    </cfRule>
    <cfRule type="cellIs" dxfId="2111" priority="1386" operator="lessThan">
      <formula>0</formula>
    </cfRule>
    <cfRule type="cellIs" dxfId="2110" priority="1387" operator="greaterThan">
      <formula>0</formula>
    </cfRule>
  </conditionalFormatting>
  <conditionalFormatting sqref="AW22:AW26">
    <cfRule type="cellIs" dxfId="2109" priority="1383" operator="lessThan">
      <formula>0</formula>
    </cfRule>
    <cfRule type="cellIs" dxfId="2108" priority="1384" operator="greaterThan">
      <formula>0</formula>
    </cfRule>
  </conditionalFormatting>
  <conditionalFormatting sqref="AW22:AW26">
    <cfRule type="cellIs" dxfId="2107" priority="1382" operator="equal">
      <formula>"-"</formula>
    </cfRule>
  </conditionalFormatting>
  <conditionalFormatting sqref="AW39:AW42">
    <cfRule type="cellIs" dxfId="2106" priority="1379" operator="equal">
      <formula>"-"</formula>
    </cfRule>
    <cfRule type="cellIs" dxfId="2105" priority="1380" operator="lessThan">
      <formula>0</formula>
    </cfRule>
    <cfRule type="cellIs" dxfId="2104" priority="1381" operator="greaterThan">
      <formula>0</formula>
    </cfRule>
  </conditionalFormatting>
  <conditionalFormatting sqref="AW34:AW35">
    <cfRule type="cellIs" dxfId="2103" priority="1377" operator="lessThan">
      <formula>0</formula>
    </cfRule>
    <cfRule type="cellIs" dxfId="2102" priority="1378" operator="greaterThan">
      <formula>0</formula>
    </cfRule>
  </conditionalFormatting>
  <conditionalFormatting sqref="AW34:AW35">
    <cfRule type="cellIs" dxfId="2101" priority="1376" operator="equal">
      <formula>"-"</formula>
    </cfRule>
  </conditionalFormatting>
  <conditionalFormatting sqref="AW13:AW15">
    <cfRule type="cellIs" dxfId="2100" priority="1406" operator="equal">
      <formula>"-"</formula>
    </cfRule>
  </conditionalFormatting>
  <conditionalFormatting sqref="AW18:AW19">
    <cfRule type="cellIs" dxfId="2099" priority="1403" operator="equal">
      <formula>"-"</formula>
    </cfRule>
  </conditionalFormatting>
  <conditionalFormatting sqref="AW18:AW20">
    <cfRule type="cellIs" dxfId="2098" priority="1404" operator="lessThan">
      <formula>0</formula>
    </cfRule>
    <cfRule type="cellIs" dxfId="2097" priority="1405" operator="greaterThan">
      <formula>0</formula>
    </cfRule>
  </conditionalFormatting>
  <conditionalFormatting sqref="AU2">
    <cfRule type="containsText" dxfId="2096" priority="1374" operator="containsText" text="NEUTRO">
      <formula>NOT(ISERROR(SEARCH("NEUTRO",AU2)))</formula>
    </cfRule>
  </conditionalFormatting>
  <conditionalFormatting sqref="AU17">
    <cfRule type="containsText" dxfId="2095" priority="1370" operator="containsText" text="NEUTRO">
      <formula>NOT(ISERROR(SEARCH("NEUTRO",AU17)))</formula>
    </cfRule>
    <cfRule type="containsText" dxfId="2094" priority="1371" operator="containsText" text="BULLISH">
      <formula>NOT(ISERROR(SEARCH("BULLISH",AU17)))</formula>
    </cfRule>
    <cfRule type="containsText" dxfId="2093" priority="1372" operator="containsText" text="BEARISH">
      <formula>NOT(ISERROR(SEARCH("BEARISH",AU17)))</formula>
    </cfRule>
    <cfRule type="containsBlanks" dxfId="2092" priority="1373">
      <formula>LEN(TRIM(AU17))=0</formula>
    </cfRule>
  </conditionalFormatting>
  <conditionalFormatting sqref="AT6:AT9">
    <cfRule type="cellIs" dxfId="2091" priority="1363" operator="equal">
      <formula>"-"</formula>
    </cfRule>
    <cfRule type="cellIs" dxfId="2090" priority="1364" operator="lessThan">
      <formula>0</formula>
    </cfRule>
    <cfRule type="cellIs" dxfId="2089" priority="1365" operator="greaterThan">
      <formula>0</formula>
    </cfRule>
  </conditionalFormatting>
  <conditionalFormatting sqref="AT13">
    <cfRule type="cellIs" dxfId="2088" priority="1361" operator="lessThan">
      <formula>0</formula>
    </cfRule>
    <cfRule type="cellIs" dxfId="2087" priority="1362" operator="greaterThan">
      <formula>0</formula>
    </cfRule>
  </conditionalFormatting>
  <conditionalFormatting sqref="AT15:AT16">
    <cfRule type="cellIs" dxfId="2086" priority="1359" operator="lessThan">
      <formula>0</formula>
    </cfRule>
    <cfRule type="cellIs" dxfId="2085" priority="1360" operator="greaterThan">
      <formula>0</formula>
    </cfRule>
  </conditionalFormatting>
  <conditionalFormatting sqref="AT14">
    <cfRule type="cellIs" dxfId="2084" priority="1357" operator="lessThan">
      <formula>0</formula>
    </cfRule>
    <cfRule type="cellIs" dxfId="2083" priority="1358" operator="greaterThan">
      <formula>0</formula>
    </cfRule>
  </conditionalFormatting>
  <conditionalFormatting sqref="AT20">
    <cfRule type="cellIs" dxfId="2082" priority="1350" operator="equal">
      <formula>"-"</formula>
    </cfRule>
    <cfRule type="cellIs" dxfId="2081" priority="1351" operator="lessThan">
      <formula>0</formula>
    </cfRule>
    <cfRule type="cellIs" dxfId="2080" priority="1352" operator="greaterThan">
      <formula>0</formula>
    </cfRule>
  </conditionalFormatting>
  <conditionalFormatting sqref="AT27:AT32">
    <cfRule type="cellIs" dxfId="2079" priority="1348" operator="lessThan">
      <formula>0</formula>
    </cfRule>
    <cfRule type="cellIs" dxfId="2078" priority="1349" operator="greaterThan">
      <formula>0</formula>
    </cfRule>
  </conditionalFormatting>
  <conditionalFormatting sqref="AT27:AT32">
    <cfRule type="cellIs" dxfId="2077" priority="1347" operator="equal">
      <formula>"-"</formula>
    </cfRule>
  </conditionalFormatting>
  <conditionalFormatting sqref="AT36">
    <cfRule type="cellIs" dxfId="2076" priority="1345" operator="lessThan">
      <formula>0</formula>
    </cfRule>
    <cfRule type="cellIs" dxfId="2075" priority="1346" operator="greaterThan">
      <formula>0</formula>
    </cfRule>
  </conditionalFormatting>
  <conditionalFormatting sqref="AT36">
    <cfRule type="cellIs" dxfId="2074" priority="1344" operator="equal">
      <formula>"-"</formula>
    </cfRule>
  </conditionalFormatting>
  <conditionalFormatting sqref="AT37">
    <cfRule type="cellIs" dxfId="2073" priority="1342" operator="lessThan">
      <formula>0</formula>
    </cfRule>
    <cfRule type="cellIs" dxfId="2072" priority="1343" operator="greaterThan">
      <formula>0</formula>
    </cfRule>
  </conditionalFormatting>
  <conditionalFormatting sqref="AT37">
    <cfRule type="cellIs" dxfId="2071" priority="1341" operator="equal">
      <formula>"-"</formula>
    </cfRule>
  </conditionalFormatting>
  <conditionalFormatting sqref="AT11">
    <cfRule type="cellIs" dxfId="2070" priority="1338" operator="equal">
      <formula>"-"</formula>
    </cfRule>
    <cfRule type="cellIs" dxfId="2069" priority="1339" operator="lessThan">
      <formula>0</formula>
    </cfRule>
    <cfRule type="cellIs" dxfId="2068" priority="1340" operator="greaterThan">
      <formula>0</formula>
    </cfRule>
  </conditionalFormatting>
  <conditionalFormatting sqref="AT3:AT5">
    <cfRule type="cellIs" dxfId="2067" priority="1335" operator="equal">
      <formula>"-"</formula>
    </cfRule>
    <cfRule type="cellIs" dxfId="2066" priority="1336" operator="lessThan">
      <formula>0</formula>
    </cfRule>
    <cfRule type="cellIs" dxfId="2065" priority="1337" operator="greaterThan">
      <formula>0</formula>
    </cfRule>
  </conditionalFormatting>
  <conditionalFormatting sqref="AT22:AT26">
    <cfRule type="cellIs" dxfId="2064" priority="1333" operator="lessThan">
      <formula>0</formula>
    </cfRule>
    <cfRule type="cellIs" dxfId="2063" priority="1334" operator="greaterThan">
      <formula>0</formula>
    </cfRule>
  </conditionalFormatting>
  <conditionalFormatting sqref="AT22:AT26">
    <cfRule type="cellIs" dxfId="2062" priority="1332" operator="equal">
      <formula>"-"</formula>
    </cfRule>
  </conditionalFormatting>
  <conditionalFormatting sqref="AT39:AT42">
    <cfRule type="cellIs" dxfId="2061" priority="1329" operator="equal">
      <formula>"-"</formula>
    </cfRule>
    <cfRule type="cellIs" dxfId="2060" priority="1330" operator="lessThan">
      <formula>0</formula>
    </cfRule>
    <cfRule type="cellIs" dxfId="2059" priority="1331" operator="greaterThan">
      <formula>0</formula>
    </cfRule>
  </conditionalFormatting>
  <conditionalFormatting sqref="AT34:AT35">
    <cfRule type="cellIs" dxfId="2058" priority="1327" operator="lessThan">
      <formula>0</formula>
    </cfRule>
    <cfRule type="cellIs" dxfId="2057" priority="1328" operator="greaterThan">
      <formula>0</formula>
    </cfRule>
  </conditionalFormatting>
  <conditionalFormatting sqref="AT34:AT35">
    <cfRule type="cellIs" dxfId="2056" priority="1326" operator="equal">
      <formula>"-"</formula>
    </cfRule>
  </conditionalFormatting>
  <conditionalFormatting sqref="AT13:AT15">
    <cfRule type="cellIs" dxfId="2055" priority="1356" operator="equal">
      <formula>"-"</formula>
    </cfRule>
  </conditionalFormatting>
  <conditionalFormatting sqref="AT18:AT19">
    <cfRule type="cellIs" dxfId="2054" priority="1353" operator="equal">
      <formula>"-"</formula>
    </cfRule>
  </conditionalFormatting>
  <conditionalFormatting sqref="AT18:AT20">
    <cfRule type="cellIs" dxfId="2053" priority="1354" operator="lessThan">
      <formula>0</formula>
    </cfRule>
    <cfRule type="cellIs" dxfId="2052" priority="1355" operator="greaterThan">
      <formula>0</formula>
    </cfRule>
  </conditionalFormatting>
  <conditionalFormatting sqref="AR2:AT2">
    <cfRule type="containsText" dxfId="2051" priority="1322" operator="containsText" text="BULLISH">
      <formula>NOT(ISERROR(SEARCH("BULLISH",AR2)))</formula>
    </cfRule>
  </conditionalFormatting>
  <conditionalFormatting sqref="AR2:AT2">
    <cfRule type="containsText" dxfId="2050" priority="1323" operator="containsText" text="BEARISH">
      <formula>NOT(ISERROR(SEARCH("BEARISH",AR2)))</formula>
    </cfRule>
    <cfRule type="containsBlanks" dxfId="2049" priority="1324">
      <formula>LEN(TRIM(AR2))=0</formula>
    </cfRule>
  </conditionalFormatting>
  <conditionalFormatting sqref="AR2">
    <cfRule type="containsText" dxfId="2048" priority="1321" operator="containsText" text="NEUTRO">
      <formula>NOT(ISERROR(SEARCH("NEUTRO",AR2)))</formula>
    </cfRule>
  </conditionalFormatting>
  <conditionalFormatting sqref="AR10:AT10">
    <cfRule type="containsText" dxfId="2047" priority="1317" operator="containsText" text="NEUTRO">
      <formula>NOT(ISERROR(SEARCH("NEUTRO",AR10)))</formula>
    </cfRule>
  </conditionalFormatting>
  <conditionalFormatting sqref="AR10:AT10">
    <cfRule type="containsText" dxfId="2046" priority="1318" operator="containsText" text="BULLISH">
      <formula>NOT(ISERROR(SEARCH("BULLISH",AR10)))</formula>
    </cfRule>
  </conditionalFormatting>
  <conditionalFormatting sqref="AR10:AT10">
    <cfRule type="containsText" dxfId="2045" priority="1319" operator="containsText" text="BEARISH">
      <formula>NOT(ISERROR(SEARCH("BEARISH",AR10)))</formula>
    </cfRule>
    <cfRule type="containsBlanks" dxfId="2044" priority="1320">
      <formula>LEN(TRIM(AR10))=0</formula>
    </cfRule>
  </conditionalFormatting>
  <conditionalFormatting sqref="AR12:AT12">
    <cfRule type="containsText" dxfId="2043" priority="1313" operator="containsText" text="NEUTRO">
      <formula>NOT(ISERROR(SEARCH("NEUTRO",AR12)))</formula>
    </cfRule>
  </conditionalFormatting>
  <conditionalFormatting sqref="AR12:AT12">
    <cfRule type="containsText" dxfId="2042" priority="1314" operator="containsText" text="BULLISH">
      <formula>NOT(ISERROR(SEARCH("BULLISH",AR12)))</formula>
    </cfRule>
  </conditionalFormatting>
  <conditionalFormatting sqref="AR12:AT12">
    <cfRule type="containsText" dxfId="2041" priority="1315" operator="containsText" text="BEARISH">
      <formula>NOT(ISERROR(SEARCH("BEARISH",AR12)))</formula>
    </cfRule>
    <cfRule type="containsBlanks" dxfId="2040" priority="1316">
      <formula>LEN(TRIM(AR12))=0</formula>
    </cfRule>
  </conditionalFormatting>
  <conditionalFormatting sqref="AR17:AT17">
    <cfRule type="containsText" dxfId="2039" priority="1309" operator="containsText" text="NEUTRO">
      <formula>NOT(ISERROR(SEARCH("NEUTRO",AR17)))</formula>
    </cfRule>
  </conditionalFormatting>
  <conditionalFormatting sqref="AR17:AT17">
    <cfRule type="containsText" dxfId="2038" priority="1310" operator="containsText" text="BULLISH">
      <formula>NOT(ISERROR(SEARCH("BULLISH",AR17)))</formula>
    </cfRule>
  </conditionalFormatting>
  <conditionalFormatting sqref="AR17:AT17">
    <cfRule type="containsText" dxfId="2037" priority="1311" operator="containsText" text="BEARISH">
      <formula>NOT(ISERROR(SEARCH("BEARISH",AR17)))</formula>
    </cfRule>
    <cfRule type="containsBlanks" dxfId="2036" priority="1312">
      <formula>LEN(TRIM(AR17))=0</formula>
    </cfRule>
  </conditionalFormatting>
  <conditionalFormatting sqref="AR17">
    <cfRule type="containsText" dxfId="2035" priority="1305" operator="containsText" text="NEUTRO">
      <formula>NOT(ISERROR(SEARCH("NEUTRO",AR17)))</formula>
    </cfRule>
    <cfRule type="containsText" dxfId="2034" priority="1306" operator="containsText" text="BULLISH">
      <formula>NOT(ISERROR(SEARCH("BULLISH",AR17)))</formula>
    </cfRule>
    <cfRule type="containsText" dxfId="2033" priority="1307" operator="containsText" text="BEARISH">
      <formula>NOT(ISERROR(SEARCH("BEARISH",AR17)))</formula>
    </cfRule>
    <cfRule type="containsBlanks" dxfId="2032" priority="1308">
      <formula>LEN(TRIM(AR17))=0</formula>
    </cfRule>
  </conditionalFormatting>
  <conditionalFormatting sqref="AR21:AT21">
    <cfRule type="containsText" dxfId="2031" priority="1301" operator="containsText" text="NEUTRO">
      <formula>NOT(ISERROR(SEARCH("NEUTRO",AR21)))</formula>
    </cfRule>
  </conditionalFormatting>
  <conditionalFormatting sqref="AR21:AT21">
    <cfRule type="containsText" dxfId="2030" priority="1302" operator="containsText" text="BULLISH">
      <formula>NOT(ISERROR(SEARCH("BULLISH",AR21)))</formula>
    </cfRule>
  </conditionalFormatting>
  <conditionalFormatting sqref="AR21:AT21">
    <cfRule type="containsText" dxfId="2029" priority="1303" operator="containsText" text="BEARISH">
      <formula>NOT(ISERROR(SEARCH("BEARISH",AR21)))</formula>
    </cfRule>
    <cfRule type="containsBlanks" dxfId="2028" priority="1304">
      <formula>LEN(TRIM(AR21))=0</formula>
    </cfRule>
  </conditionalFormatting>
  <conditionalFormatting sqref="AR33:AT33">
    <cfRule type="containsText" dxfId="2027" priority="1297" operator="containsText" text="NEUTRO">
      <formula>NOT(ISERROR(SEARCH("NEUTRO",AR33)))</formula>
    </cfRule>
  </conditionalFormatting>
  <conditionalFormatting sqref="AR33:AT33">
    <cfRule type="containsText" dxfId="2026" priority="1298" operator="containsText" text="BULLISH">
      <formula>NOT(ISERROR(SEARCH("BULLISH",AR33)))</formula>
    </cfRule>
  </conditionalFormatting>
  <conditionalFormatting sqref="AR33:AT33">
    <cfRule type="containsText" dxfId="2025" priority="1299" operator="containsText" text="BEARISH">
      <formula>NOT(ISERROR(SEARCH("BEARISH",AR33)))</formula>
    </cfRule>
    <cfRule type="containsBlanks" dxfId="2024" priority="1300">
      <formula>LEN(TRIM(AR33))=0</formula>
    </cfRule>
  </conditionalFormatting>
  <conditionalFormatting sqref="AR38">
    <cfRule type="containsText" dxfId="2023" priority="1289" operator="containsText" text="NEUTRO">
      <formula>NOT(ISERROR(SEARCH("NEUTRO",AR38)))</formula>
    </cfRule>
    <cfRule type="containsText" dxfId="2022" priority="1290" operator="containsText" text="BULLISH">
      <formula>NOT(ISERROR(SEARCH("BULLISH",AR38)))</formula>
    </cfRule>
    <cfRule type="containsText" dxfId="2021" priority="1291" operator="containsText" text="BEARISH">
      <formula>NOT(ISERROR(SEARCH("BEARISH",AR38)))</formula>
    </cfRule>
    <cfRule type="containsBlanks" dxfId="2020" priority="1292">
      <formula>LEN(TRIM(AR38))=0</formula>
    </cfRule>
  </conditionalFormatting>
  <conditionalFormatting sqref="AR38:AT38">
    <cfRule type="containsText" dxfId="2019" priority="1293" operator="containsText" text="NEUTRO">
      <formula>NOT(ISERROR(SEARCH("NEUTRO",AR38)))</formula>
    </cfRule>
  </conditionalFormatting>
  <conditionalFormatting sqref="AR38:AT38">
    <cfRule type="containsText" dxfId="2018" priority="1294" operator="containsText" text="BULLISH">
      <formula>NOT(ISERROR(SEARCH("BULLISH",AR38)))</formula>
    </cfRule>
  </conditionalFormatting>
  <conditionalFormatting sqref="AR38:AT38">
    <cfRule type="containsText" dxfId="2017" priority="1295" operator="containsText" text="BEARISH">
      <formula>NOT(ISERROR(SEARCH("BEARISH",AR38)))</formula>
    </cfRule>
    <cfRule type="containsBlanks" dxfId="2016" priority="1296">
      <formula>LEN(TRIM(AR38))=0</formula>
    </cfRule>
  </conditionalFormatting>
  <conditionalFormatting sqref="AQ6:AQ9">
    <cfRule type="cellIs" dxfId="2015" priority="1286" operator="equal">
      <formula>"-"</formula>
    </cfRule>
    <cfRule type="cellIs" dxfId="2014" priority="1287" operator="lessThan">
      <formula>0</formula>
    </cfRule>
    <cfRule type="cellIs" dxfId="2013" priority="1288" operator="greaterThan">
      <formula>0</formula>
    </cfRule>
  </conditionalFormatting>
  <conditionalFormatting sqref="AQ13">
    <cfRule type="cellIs" dxfId="2012" priority="1284" operator="lessThan">
      <formula>0</formula>
    </cfRule>
    <cfRule type="cellIs" dxfId="2011" priority="1285" operator="greaterThan">
      <formula>0</formula>
    </cfRule>
  </conditionalFormatting>
  <conditionalFormatting sqref="AQ15:AQ16">
    <cfRule type="cellIs" dxfId="2010" priority="1282" operator="lessThan">
      <formula>0</formula>
    </cfRule>
    <cfRule type="cellIs" dxfId="2009" priority="1283" operator="greaterThan">
      <formula>0</formula>
    </cfRule>
  </conditionalFormatting>
  <conditionalFormatting sqref="AQ14">
    <cfRule type="cellIs" dxfId="2008" priority="1280" operator="lessThan">
      <formula>0</formula>
    </cfRule>
    <cfRule type="cellIs" dxfId="2007" priority="1281" operator="greaterThan">
      <formula>0</formula>
    </cfRule>
  </conditionalFormatting>
  <conditionalFormatting sqref="AQ20">
    <cfRule type="cellIs" dxfId="2006" priority="1273" operator="equal">
      <formula>"-"</formula>
    </cfRule>
    <cfRule type="cellIs" dxfId="2005" priority="1274" operator="lessThan">
      <formula>0</formula>
    </cfRule>
    <cfRule type="cellIs" dxfId="2004" priority="1275" operator="greaterThan">
      <formula>0</formula>
    </cfRule>
  </conditionalFormatting>
  <conditionalFormatting sqref="AQ27:AQ32">
    <cfRule type="cellIs" dxfId="2003" priority="1271" operator="lessThan">
      <formula>0</formula>
    </cfRule>
    <cfRule type="cellIs" dxfId="2002" priority="1272" operator="greaterThan">
      <formula>0</formula>
    </cfRule>
  </conditionalFormatting>
  <conditionalFormatting sqref="AQ27:AQ32">
    <cfRule type="cellIs" dxfId="2001" priority="1270" operator="equal">
      <formula>"-"</formula>
    </cfRule>
  </conditionalFormatting>
  <conditionalFormatting sqref="AQ36">
    <cfRule type="cellIs" dxfId="2000" priority="1268" operator="lessThan">
      <formula>0</formula>
    </cfRule>
    <cfRule type="cellIs" dxfId="1999" priority="1269" operator="greaterThan">
      <formula>0</formula>
    </cfRule>
  </conditionalFormatting>
  <conditionalFormatting sqref="AQ36">
    <cfRule type="cellIs" dxfId="1998" priority="1267" operator="equal">
      <formula>"-"</formula>
    </cfRule>
  </conditionalFormatting>
  <conditionalFormatting sqref="AQ37">
    <cfRule type="cellIs" dxfId="1997" priority="1265" operator="lessThan">
      <formula>0</formula>
    </cfRule>
    <cfRule type="cellIs" dxfId="1996" priority="1266" operator="greaterThan">
      <formula>0</formula>
    </cfRule>
  </conditionalFormatting>
  <conditionalFormatting sqref="AQ37">
    <cfRule type="cellIs" dxfId="1995" priority="1264" operator="equal">
      <formula>"-"</formula>
    </cfRule>
  </conditionalFormatting>
  <conditionalFormatting sqref="AQ11">
    <cfRule type="cellIs" dxfId="1994" priority="1261" operator="equal">
      <formula>"-"</formula>
    </cfRule>
    <cfRule type="cellIs" dxfId="1993" priority="1262" operator="lessThan">
      <formula>0</formula>
    </cfRule>
    <cfRule type="cellIs" dxfId="1992" priority="1263" operator="greaterThan">
      <formula>0</formula>
    </cfRule>
  </conditionalFormatting>
  <conditionalFormatting sqref="AQ3:AQ5">
    <cfRule type="cellIs" dxfId="1991" priority="1258" operator="equal">
      <formula>"-"</formula>
    </cfRule>
    <cfRule type="cellIs" dxfId="1990" priority="1259" operator="lessThan">
      <formula>0</formula>
    </cfRule>
    <cfRule type="cellIs" dxfId="1989" priority="1260" operator="greaterThan">
      <formula>0</formula>
    </cfRule>
  </conditionalFormatting>
  <conditionalFormatting sqref="AQ22:AQ26">
    <cfRule type="cellIs" dxfId="1988" priority="1256" operator="lessThan">
      <formula>0</formula>
    </cfRule>
    <cfRule type="cellIs" dxfId="1987" priority="1257" operator="greaterThan">
      <formula>0</formula>
    </cfRule>
  </conditionalFormatting>
  <conditionalFormatting sqref="AQ22:AQ26">
    <cfRule type="cellIs" dxfId="1986" priority="1255" operator="equal">
      <formula>"-"</formula>
    </cfRule>
  </conditionalFormatting>
  <conditionalFormatting sqref="AQ39:AQ42">
    <cfRule type="cellIs" dxfId="1985" priority="1252" operator="equal">
      <formula>"-"</formula>
    </cfRule>
    <cfRule type="cellIs" dxfId="1984" priority="1253" operator="lessThan">
      <formula>0</formula>
    </cfRule>
    <cfRule type="cellIs" dxfId="1983" priority="1254" operator="greaterThan">
      <formula>0</formula>
    </cfRule>
  </conditionalFormatting>
  <conditionalFormatting sqref="AQ34:AQ35">
    <cfRule type="cellIs" dxfId="1982" priority="1250" operator="lessThan">
      <formula>0</formula>
    </cfRule>
    <cfRule type="cellIs" dxfId="1981" priority="1251" operator="greaterThan">
      <formula>0</formula>
    </cfRule>
  </conditionalFormatting>
  <conditionalFormatting sqref="AQ34:AQ35">
    <cfRule type="cellIs" dxfId="1980" priority="1249" operator="equal">
      <formula>"-"</formula>
    </cfRule>
  </conditionalFormatting>
  <conditionalFormatting sqref="AQ13:AQ15">
    <cfRule type="cellIs" dxfId="1979" priority="1279" operator="equal">
      <formula>"-"</formula>
    </cfRule>
  </conditionalFormatting>
  <conditionalFormatting sqref="AQ18:AQ19">
    <cfRule type="cellIs" dxfId="1978" priority="1276" operator="equal">
      <formula>"-"</formula>
    </cfRule>
  </conditionalFormatting>
  <conditionalFormatting sqref="AQ18:AQ20">
    <cfRule type="cellIs" dxfId="1977" priority="1277" operator="lessThan">
      <formula>0</formula>
    </cfRule>
    <cfRule type="cellIs" dxfId="1976" priority="1278" operator="greaterThan">
      <formula>0</formula>
    </cfRule>
  </conditionalFormatting>
  <conditionalFormatting sqref="AO2:AQ2">
    <cfRule type="containsText" dxfId="1975" priority="1245" operator="containsText" text="BULLISH">
      <formula>NOT(ISERROR(SEARCH("BULLISH",AO2)))</formula>
    </cfRule>
  </conditionalFormatting>
  <conditionalFormatting sqref="AO2:AQ2">
    <cfRule type="containsText" dxfId="1974" priority="1246" operator="containsText" text="BEARISH">
      <formula>NOT(ISERROR(SEARCH("BEARISH",AO2)))</formula>
    </cfRule>
    <cfRule type="containsBlanks" dxfId="1973" priority="1247">
      <formula>LEN(TRIM(AO2))=0</formula>
    </cfRule>
  </conditionalFormatting>
  <conditionalFormatting sqref="AO2">
    <cfRule type="containsText" dxfId="1972" priority="1244" operator="containsText" text="NEUTRO">
      <formula>NOT(ISERROR(SEARCH("NEUTRO",AO2)))</formula>
    </cfRule>
  </conditionalFormatting>
  <conditionalFormatting sqref="AO10:AQ10">
    <cfRule type="containsText" dxfId="1971" priority="1240" operator="containsText" text="NEUTRO">
      <formula>NOT(ISERROR(SEARCH("NEUTRO",AO10)))</formula>
    </cfRule>
  </conditionalFormatting>
  <conditionalFormatting sqref="AO10:AQ10">
    <cfRule type="containsText" dxfId="1970" priority="1241" operator="containsText" text="BULLISH">
      <formula>NOT(ISERROR(SEARCH("BULLISH",AO10)))</formula>
    </cfRule>
  </conditionalFormatting>
  <conditionalFormatting sqref="AO10:AQ10">
    <cfRule type="containsText" dxfId="1969" priority="1242" operator="containsText" text="BEARISH">
      <formula>NOT(ISERROR(SEARCH("BEARISH",AO10)))</formula>
    </cfRule>
    <cfRule type="containsBlanks" dxfId="1968" priority="1243">
      <formula>LEN(TRIM(AO10))=0</formula>
    </cfRule>
  </conditionalFormatting>
  <conditionalFormatting sqref="AO12:AQ12">
    <cfRule type="containsText" dxfId="1967" priority="1236" operator="containsText" text="NEUTRO">
      <formula>NOT(ISERROR(SEARCH("NEUTRO",AO12)))</formula>
    </cfRule>
  </conditionalFormatting>
  <conditionalFormatting sqref="AO12:AQ12">
    <cfRule type="containsText" dxfId="1966" priority="1237" operator="containsText" text="BULLISH">
      <formula>NOT(ISERROR(SEARCH("BULLISH",AO12)))</formula>
    </cfRule>
  </conditionalFormatting>
  <conditionalFormatting sqref="AO12:AQ12">
    <cfRule type="containsText" dxfId="1965" priority="1238" operator="containsText" text="BEARISH">
      <formula>NOT(ISERROR(SEARCH("BEARISH",AO12)))</formula>
    </cfRule>
    <cfRule type="containsBlanks" dxfId="1964" priority="1239">
      <formula>LEN(TRIM(AO12))=0</formula>
    </cfRule>
  </conditionalFormatting>
  <conditionalFormatting sqref="AO17:AQ17">
    <cfRule type="containsText" dxfId="1963" priority="1232" operator="containsText" text="NEUTRO">
      <formula>NOT(ISERROR(SEARCH("NEUTRO",AO17)))</formula>
    </cfRule>
  </conditionalFormatting>
  <conditionalFormatting sqref="AO17:AQ17">
    <cfRule type="containsText" dxfId="1962" priority="1233" operator="containsText" text="BULLISH">
      <formula>NOT(ISERROR(SEARCH("BULLISH",AO17)))</formula>
    </cfRule>
  </conditionalFormatting>
  <conditionalFormatting sqref="AO17:AQ17">
    <cfRule type="containsText" dxfId="1961" priority="1234" operator="containsText" text="BEARISH">
      <formula>NOT(ISERROR(SEARCH("BEARISH",AO17)))</formula>
    </cfRule>
    <cfRule type="containsBlanks" dxfId="1960" priority="1235">
      <formula>LEN(TRIM(AO17))=0</formula>
    </cfRule>
  </conditionalFormatting>
  <conditionalFormatting sqref="AO17">
    <cfRule type="containsText" dxfId="1959" priority="1228" operator="containsText" text="NEUTRO">
      <formula>NOT(ISERROR(SEARCH("NEUTRO",AO17)))</formula>
    </cfRule>
    <cfRule type="containsText" dxfId="1958" priority="1229" operator="containsText" text="BULLISH">
      <formula>NOT(ISERROR(SEARCH("BULLISH",AO17)))</formula>
    </cfRule>
    <cfRule type="containsText" dxfId="1957" priority="1230" operator="containsText" text="BEARISH">
      <formula>NOT(ISERROR(SEARCH("BEARISH",AO17)))</formula>
    </cfRule>
    <cfRule type="containsBlanks" dxfId="1956" priority="1231">
      <formula>LEN(TRIM(AO17))=0</formula>
    </cfRule>
  </conditionalFormatting>
  <conditionalFormatting sqref="AO21:AQ21">
    <cfRule type="containsText" dxfId="1955" priority="1224" operator="containsText" text="NEUTRO">
      <formula>NOT(ISERROR(SEARCH("NEUTRO",AO21)))</formula>
    </cfRule>
  </conditionalFormatting>
  <conditionalFormatting sqref="AO21:AQ21">
    <cfRule type="containsText" dxfId="1954" priority="1225" operator="containsText" text="BULLISH">
      <formula>NOT(ISERROR(SEARCH("BULLISH",AO21)))</formula>
    </cfRule>
  </conditionalFormatting>
  <conditionalFormatting sqref="AO21:AQ21">
    <cfRule type="containsText" dxfId="1953" priority="1226" operator="containsText" text="BEARISH">
      <formula>NOT(ISERROR(SEARCH("BEARISH",AO21)))</formula>
    </cfRule>
    <cfRule type="containsBlanks" dxfId="1952" priority="1227">
      <formula>LEN(TRIM(AO21))=0</formula>
    </cfRule>
  </conditionalFormatting>
  <conditionalFormatting sqref="AO33:AQ33">
    <cfRule type="containsText" dxfId="1951" priority="1220" operator="containsText" text="NEUTRO">
      <formula>NOT(ISERROR(SEARCH("NEUTRO",AO33)))</formula>
    </cfRule>
  </conditionalFormatting>
  <conditionalFormatting sqref="AO33:AQ33">
    <cfRule type="containsText" dxfId="1950" priority="1221" operator="containsText" text="BULLISH">
      <formula>NOT(ISERROR(SEARCH("BULLISH",AO33)))</formula>
    </cfRule>
  </conditionalFormatting>
  <conditionalFormatting sqref="AO33:AQ33">
    <cfRule type="containsText" dxfId="1949" priority="1222" operator="containsText" text="BEARISH">
      <formula>NOT(ISERROR(SEARCH("BEARISH",AO33)))</formula>
    </cfRule>
    <cfRule type="containsBlanks" dxfId="1948" priority="1223">
      <formula>LEN(TRIM(AO33))=0</formula>
    </cfRule>
  </conditionalFormatting>
  <conditionalFormatting sqref="AO38">
    <cfRule type="containsText" dxfId="1947" priority="1212" operator="containsText" text="NEUTRO">
      <formula>NOT(ISERROR(SEARCH("NEUTRO",AO38)))</formula>
    </cfRule>
    <cfRule type="containsText" dxfId="1946" priority="1213" operator="containsText" text="BULLISH">
      <formula>NOT(ISERROR(SEARCH("BULLISH",AO38)))</formula>
    </cfRule>
    <cfRule type="containsText" dxfId="1945" priority="1214" operator="containsText" text="BEARISH">
      <formula>NOT(ISERROR(SEARCH("BEARISH",AO38)))</formula>
    </cfRule>
    <cfRule type="containsBlanks" dxfId="1944" priority="1215">
      <formula>LEN(TRIM(AO38))=0</formula>
    </cfRule>
  </conditionalFormatting>
  <conditionalFormatting sqref="AO38:AQ38">
    <cfRule type="containsText" dxfId="1943" priority="1216" operator="containsText" text="NEUTRO">
      <formula>NOT(ISERROR(SEARCH("NEUTRO",AO38)))</formula>
    </cfRule>
  </conditionalFormatting>
  <conditionalFormatting sqref="AO38:AQ38">
    <cfRule type="containsText" dxfId="1942" priority="1217" operator="containsText" text="BULLISH">
      <formula>NOT(ISERROR(SEARCH("BULLISH",AO38)))</formula>
    </cfRule>
  </conditionalFormatting>
  <conditionalFormatting sqref="AO38:AQ38">
    <cfRule type="containsText" dxfId="1941" priority="1218" operator="containsText" text="BEARISH">
      <formula>NOT(ISERROR(SEARCH("BEARISH",AO38)))</formula>
    </cfRule>
    <cfRule type="containsBlanks" dxfId="1940" priority="1219">
      <formula>LEN(TRIM(AO38))=0</formula>
    </cfRule>
  </conditionalFormatting>
  <conditionalFormatting sqref="AN6:AN9">
    <cfRule type="cellIs" dxfId="1939" priority="1209" operator="equal">
      <formula>"-"</formula>
    </cfRule>
    <cfRule type="cellIs" dxfId="1938" priority="1210" operator="lessThan">
      <formula>0</formula>
    </cfRule>
    <cfRule type="cellIs" dxfId="1937" priority="1211" operator="greaterThan">
      <formula>0</formula>
    </cfRule>
  </conditionalFormatting>
  <conditionalFormatting sqref="AN13">
    <cfRule type="cellIs" dxfId="1936" priority="1207" operator="lessThan">
      <formula>0</formula>
    </cfRule>
    <cfRule type="cellIs" dxfId="1935" priority="1208" operator="greaterThan">
      <formula>0</formula>
    </cfRule>
  </conditionalFormatting>
  <conditionalFormatting sqref="AN15:AN16">
    <cfRule type="cellIs" dxfId="1934" priority="1205" operator="lessThan">
      <formula>0</formula>
    </cfRule>
    <cfRule type="cellIs" dxfId="1933" priority="1206" operator="greaterThan">
      <formula>0</formula>
    </cfRule>
  </conditionalFormatting>
  <conditionalFormatting sqref="AN14">
    <cfRule type="cellIs" dxfId="1932" priority="1203" operator="lessThan">
      <formula>0</formula>
    </cfRule>
    <cfRule type="cellIs" dxfId="1931" priority="1204" operator="greaterThan">
      <formula>0</formula>
    </cfRule>
  </conditionalFormatting>
  <conditionalFormatting sqref="AN20">
    <cfRule type="cellIs" dxfId="1930" priority="1196" operator="equal">
      <formula>"-"</formula>
    </cfRule>
    <cfRule type="cellIs" dxfId="1929" priority="1197" operator="lessThan">
      <formula>0</formula>
    </cfRule>
    <cfRule type="cellIs" dxfId="1928" priority="1198" operator="greaterThan">
      <formula>0</formula>
    </cfRule>
  </conditionalFormatting>
  <conditionalFormatting sqref="AN27:AN32">
    <cfRule type="cellIs" dxfId="1927" priority="1194" operator="lessThan">
      <formula>0</formula>
    </cfRule>
    <cfRule type="cellIs" dxfId="1926" priority="1195" operator="greaterThan">
      <formula>0</formula>
    </cfRule>
  </conditionalFormatting>
  <conditionalFormatting sqref="AN27:AN32">
    <cfRule type="cellIs" dxfId="1925" priority="1193" operator="equal">
      <formula>"-"</formula>
    </cfRule>
  </conditionalFormatting>
  <conditionalFormatting sqref="AN36">
    <cfRule type="cellIs" dxfId="1924" priority="1191" operator="lessThan">
      <formula>0</formula>
    </cfRule>
    <cfRule type="cellIs" dxfId="1923" priority="1192" operator="greaterThan">
      <formula>0</formula>
    </cfRule>
  </conditionalFormatting>
  <conditionalFormatting sqref="AN36">
    <cfRule type="cellIs" dxfId="1922" priority="1190" operator="equal">
      <formula>"-"</formula>
    </cfRule>
  </conditionalFormatting>
  <conditionalFormatting sqref="AN37">
    <cfRule type="cellIs" dxfId="1921" priority="1188" operator="lessThan">
      <formula>0</formula>
    </cfRule>
    <cfRule type="cellIs" dxfId="1920" priority="1189" operator="greaterThan">
      <formula>0</formula>
    </cfRule>
  </conditionalFormatting>
  <conditionalFormatting sqref="AN37">
    <cfRule type="cellIs" dxfId="1919" priority="1187" operator="equal">
      <formula>"-"</formula>
    </cfRule>
  </conditionalFormatting>
  <conditionalFormatting sqref="AN11">
    <cfRule type="cellIs" dxfId="1918" priority="1184" operator="equal">
      <formula>"-"</formula>
    </cfRule>
    <cfRule type="cellIs" dxfId="1917" priority="1185" operator="lessThan">
      <formula>0</formula>
    </cfRule>
    <cfRule type="cellIs" dxfId="1916" priority="1186" operator="greaterThan">
      <formula>0</formula>
    </cfRule>
  </conditionalFormatting>
  <conditionalFormatting sqref="AN3:AN5">
    <cfRule type="cellIs" dxfId="1915" priority="1181" operator="equal">
      <formula>"-"</formula>
    </cfRule>
    <cfRule type="cellIs" dxfId="1914" priority="1182" operator="lessThan">
      <formula>0</formula>
    </cfRule>
    <cfRule type="cellIs" dxfId="1913" priority="1183" operator="greaterThan">
      <formula>0</formula>
    </cfRule>
  </conditionalFormatting>
  <conditionalFormatting sqref="AN22:AN26">
    <cfRule type="cellIs" dxfId="1912" priority="1179" operator="lessThan">
      <formula>0</formula>
    </cfRule>
    <cfRule type="cellIs" dxfId="1911" priority="1180" operator="greaterThan">
      <formula>0</formula>
    </cfRule>
  </conditionalFormatting>
  <conditionalFormatting sqref="AN22:AN26">
    <cfRule type="cellIs" dxfId="1910" priority="1178" operator="equal">
      <formula>"-"</formula>
    </cfRule>
  </conditionalFormatting>
  <conditionalFormatting sqref="AN39:AN42">
    <cfRule type="cellIs" dxfId="1909" priority="1175" operator="equal">
      <formula>"-"</formula>
    </cfRule>
    <cfRule type="cellIs" dxfId="1908" priority="1176" operator="lessThan">
      <formula>0</formula>
    </cfRule>
    <cfRule type="cellIs" dxfId="1907" priority="1177" operator="greaterThan">
      <formula>0</formula>
    </cfRule>
  </conditionalFormatting>
  <conditionalFormatting sqref="AN34:AN35">
    <cfRule type="cellIs" dxfId="1906" priority="1173" operator="lessThan">
      <formula>0</formula>
    </cfRule>
    <cfRule type="cellIs" dxfId="1905" priority="1174" operator="greaterThan">
      <formula>0</formula>
    </cfRule>
  </conditionalFormatting>
  <conditionalFormatting sqref="AN34:AN35">
    <cfRule type="cellIs" dxfId="1904" priority="1172" operator="equal">
      <formula>"-"</formula>
    </cfRule>
  </conditionalFormatting>
  <conditionalFormatting sqref="AN13:AN15">
    <cfRule type="cellIs" dxfId="1903" priority="1202" operator="equal">
      <formula>"-"</formula>
    </cfRule>
  </conditionalFormatting>
  <conditionalFormatting sqref="AN18:AN19">
    <cfRule type="cellIs" dxfId="1902" priority="1199" operator="equal">
      <formula>"-"</formula>
    </cfRule>
  </conditionalFormatting>
  <conditionalFormatting sqref="AN18:AN20">
    <cfRule type="cellIs" dxfId="1901" priority="1200" operator="lessThan">
      <formula>0</formula>
    </cfRule>
    <cfRule type="cellIs" dxfId="1900" priority="1201" operator="greaterThan">
      <formula>0</formula>
    </cfRule>
  </conditionalFormatting>
  <conditionalFormatting sqref="AL2:AN2">
    <cfRule type="containsText" dxfId="1899" priority="1168" operator="containsText" text="BULLISH">
      <formula>NOT(ISERROR(SEARCH("BULLISH",AL2)))</formula>
    </cfRule>
  </conditionalFormatting>
  <conditionalFormatting sqref="AL2:AN2">
    <cfRule type="containsText" dxfId="1898" priority="1169" operator="containsText" text="BEARISH">
      <formula>NOT(ISERROR(SEARCH("BEARISH",AL2)))</formula>
    </cfRule>
    <cfRule type="containsBlanks" dxfId="1897" priority="1170">
      <formula>LEN(TRIM(AL2))=0</formula>
    </cfRule>
  </conditionalFormatting>
  <conditionalFormatting sqref="AL2">
    <cfRule type="containsText" dxfId="1896" priority="1167" operator="containsText" text="NEUTRO">
      <formula>NOT(ISERROR(SEARCH("NEUTRO",AL2)))</formula>
    </cfRule>
  </conditionalFormatting>
  <conditionalFormatting sqref="AL10:AN10">
    <cfRule type="containsText" dxfId="1895" priority="1163" operator="containsText" text="NEUTRO">
      <formula>NOT(ISERROR(SEARCH("NEUTRO",AL10)))</formula>
    </cfRule>
  </conditionalFormatting>
  <conditionalFormatting sqref="AL10:AN10">
    <cfRule type="containsText" dxfId="1894" priority="1164" operator="containsText" text="BULLISH">
      <formula>NOT(ISERROR(SEARCH("BULLISH",AL10)))</formula>
    </cfRule>
  </conditionalFormatting>
  <conditionalFormatting sqref="AL10:AN10">
    <cfRule type="containsText" dxfId="1893" priority="1165" operator="containsText" text="BEARISH">
      <formula>NOT(ISERROR(SEARCH("BEARISH",AL10)))</formula>
    </cfRule>
    <cfRule type="containsBlanks" dxfId="1892" priority="1166">
      <formula>LEN(TRIM(AL10))=0</formula>
    </cfRule>
  </conditionalFormatting>
  <conditionalFormatting sqref="AL12:AN12">
    <cfRule type="containsText" dxfId="1891" priority="1159" operator="containsText" text="NEUTRO">
      <formula>NOT(ISERROR(SEARCH("NEUTRO",AL12)))</formula>
    </cfRule>
  </conditionalFormatting>
  <conditionalFormatting sqref="AL12:AN12">
    <cfRule type="containsText" dxfId="1890" priority="1160" operator="containsText" text="BULLISH">
      <formula>NOT(ISERROR(SEARCH("BULLISH",AL12)))</formula>
    </cfRule>
  </conditionalFormatting>
  <conditionalFormatting sqref="AL12:AN12">
    <cfRule type="containsText" dxfId="1889" priority="1161" operator="containsText" text="BEARISH">
      <formula>NOT(ISERROR(SEARCH("BEARISH",AL12)))</formula>
    </cfRule>
    <cfRule type="containsBlanks" dxfId="1888" priority="1162">
      <formula>LEN(TRIM(AL12))=0</formula>
    </cfRule>
  </conditionalFormatting>
  <conditionalFormatting sqref="AL17:AN17">
    <cfRule type="containsText" dxfId="1887" priority="1155" operator="containsText" text="NEUTRO">
      <formula>NOT(ISERROR(SEARCH("NEUTRO",AL17)))</formula>
    </cfRule>
  </conditionalFormatting>
  <conditionalFormatting sqref="AL17:AN17">
    <cfRule type="containsText" dxfId="1886" priority="1156" operator="containsText" text="BULLISH">
      <formula>NOT(ISERROR(SEARCH("BULLISH",AL17)))</formula>
    </cfRule>
  </conditionalFormatting>
  <conditionalFormatting sqref="AL17:AN17">
    <cfRule type="containsText" dxfId="1885" priority="1157" operator="containsText" text="BEARISH">
      <formula>NOT(ISERROR(SEARCH("BEARISH",AL17)))</formula>
    </cfRule>
    <cfRule type="containsBlanks" dxfId="1884" priority="1158">
      <formula>LEN(TRIM(AL17))=0</formula>
    </cfRule>
  </conditionalFormatting>
  <conditionalFormatting sqref="AL17">
    <cfRule type="containsText" dxfId="1883" priority="1151" operator="containsText" text="NEUTRO">
      <formula>NOT(ISERROR(SEARCH("NEUTRO",AL17)))</formula>
    </cfRule>
    <cfRule type="containsText" dxfId="1882" priority="1152" operator="containsText" text="BULLISH">
      <formula>NOT(ISERROR(SEARCH("BULLISH",AL17)))</formula>
    </cfRule>
    <cfRule type="containsText" dxfId="1881" priority="1153" operator="containsText" text="BEARISH">
      <formula>NOT(ISERROR(SEARCH("BEARISH",AL17)))</formula>
    </cfRule>
    <cfRule type="containsBlanks" dxfId="1880" priority="1154">
      <formula>LEN(TRIM(AL17))=0</formula>
    </cfRule>
  </conditionalFormatting>
  <conditionalFormatting sqref="AL21:AN21">
    <cfRule type="containsText" dxfId="1879" priority="1147" operator="containsText" text="NEUTRO">
      <formula>NOT(ISERROR(SEARCH("NEUTRO",AL21)))</formula>
    </cfRule>
  </conditionalFormatting>
  <conditionalFormatting sqref="AL21:AN21">
    <cfRule type="containsText" dxfId="1878" priority="1148" operator="containsText" text="BULLISH">
      <formula>NOT(ISERROR(SEARCH("BULLISH",AL21)))</formula>
    </cfRule>
  </conditionalFormatting>
  <conditionalFormatting sqref="AL21:AN21">
    <cfRule type="containsText" dxfId="1877" priority="1149" operator="containsText" text="BEARISH">
      <formula>NOT(ISERROR(SEARCH("BEARISH",AL21)))</formula>
    </cfRule>
    <cfRule type="containsBlanks" dxfId="1876" priority="1150">
      <formula>LEN(TRIM(AL21))=0</formula>
    </cfRule>
  </conditionalFormatting>
  <conditionalFormatting sqref="AL33:AN33">
    <cfRule type="containsText" dxfId="1875" priority="1143" operator="containsText" text="NEUTRO">
      <formula>NOT(ISERROR(SEARCH("NEUTRO",AL33)))</formula>
    </cfRule>
  </conditionalFormatting>
  <conditionalFormatting sqref="AL33:AN33">
    <cfRule type="containsText" dxfId="1874" priority="1144" operator="containsText" text="BULLISH">
      <formula>NOT(ISERROR(SEARCH("BULLISH",AL33)))</formula>
    </cfRule>
  </conditionalFormatting>
  <conditionalFormatting sqref="AL33:AN33">
    <cfRule type="containsText" dxfId="1873" priority="1145" operator="containsText" text="BEARISH">
      <formula>NOT(ISERROR(SEARCH("BEARISH",AL33)))</formula>
    </cfRule>
    <cfRule type="containsBlanks" dxfId="1872" priority="1146">
      <formula>LEN(TRIM(AL33))=0</formula>
    </cfRule>
  </conditionalFormatting>
  <conditionalFormatting sqref="AL38">
    <cfRule type="containsText" dxfId="1871" priority="1135" operator="containsText" text="NEUTRO">
      <formula>NOT(ISERROR(SEARCH("NEUTRO",AL38)))</formula>
    </cfRule>
    <cfRule type="containsText" dxfId="1870" priority="1136" operator="containsText" text="BULLISH">
      <formula>NOT(ISERROR(SEARCH("BULLISH",AL38)))</formula>
    </cfRule>
    <cfRule type="containsText" dxfId="1869" priority="1137" operator="containsText" text="BEARISH">
      <formula>NOT(ISERROR(SEARCH("BEARISH",AL38)))</formula>
    </cfRule>
    <cfRule type="containsBlanks" dxfId="1868" priority="1138">
      <formula>LEN(TRIM(AL38))=0</formula>
    </cfRule>
  </conditionalFormatting>
  <conditionalFormatting sqref="AL38:AN38">
    <cfRule type="containsText" dxfId="1867" priority="1139" operator="containsText" text="NEUTRO">
      <formula>NOT(ISERROR(SEARCH("NEUTRO",AL38)))</formula>
    </cfRule>
  </conditionalFormatting>
  <conditionalFormatting sqref="AL38:AN38">
    <cfRule type="containsText" dxfId="1866" priority="1140" operator="containsText" text="BULLISH">
      <formula>NOT(ISERROR(SEARCH("BULLISH",AL38)))</formula>
    </cfRule>
  </conditionalFormatting>
  <conditionalFormatting sqref="AL38:AN38">
    <cfRule type="containsText" dxfId="1865" priority="1141" operator="containsText" text="BEARISH">
      <formula>NOT(ISERROR(SEARCH("BEARISH",AL38)))</formula>
    </cfRule>
    <cfRule type="containsBlanks" dxfId="1864" priority="1142">
      <formula>LEN(TRIM(AL38))=0</formula>
    </cfRule>
  </conditionalFormatting>
  <conditionalFormatting sqref="AK6:AK9">
    <cfRule type="cellIs" dxfId="1863" priority="1132" operator="equal">
      <formula>"-"</formula>
    </cfRule>
    <cfRule type="cellIs" dxfId="1862" priority="1133" operator="lessThan">
      <formula>0</formula>
    </cfRule>
    <cfRule type="cellIs" dxfId="1861" priority="1134" operator="greaterThan">
      <formula>0</formula>
    </cfRule>
  </conditionalFormatting>
  <conditionalFormatting sqref="AK13">
    <cfRule type="cellIs" dxfId="1860" priority="1130" operator="lessThan">
      <formula>0</formula>
    </cfRule>
    <cfRule type="cellIs" dxfId="1859" priority="1131" operator="greaterThan">
      <formula>0</formula>
    </cfRule>
  </conditionalFormatting>
  <conditionalFormatting sqref="AK15:AK16">
    <cfRule type="cellIs" dxfId="1858" priority="1128" operator="lessThan">
      <formula>0</formula>
    </cfRule>
    <cfRule type="cellIs" dxfId="1857" priority="1129" operator="greaterThan">
      <formula>0</formula>
    </cfRule>
  </conditionalFormatting>
  <conditionalFormatting sqref="AK14">
    <cfRule type="cellIs" dxfId="1856" priority="1126" operator="lessThan">
      <formula>0</formula>
    </cfRule>
    <cfRule type="cellIs" dxfId="1855" priority="1127" operator="greaterThan">
      <formula>0</formula>
    </cfRule>
  </conditionalFormatting>
  <conditionalFormatting sqref="AK20">
    <cfRule type="cellIs" dxfId="1854" priority="1119" operator="equal">
      <formula>"-"</formula>
    </cfRule>
    <cfRule type="cellIs" dxfId="1853" priority="1120" operator="lessThan">
      <formula>0</formula>
    </cfRule>
    <cfRule type="cellIs" dxfId="1852" priority="1121" operator="greaterThan">
      <formula>0</formula>
    </cfRule>
  </conditionalFormatting>
  <conditionalFormatting sqref="AK27:AK32">
    <cfRule type="cellIs" dxfId="1851" priority="1117" operator="lessThan">
      <formula>0</formula>
    </cfRule>
    <cfRule type="cellIs" dxfId="1850" priority="1118" operator="greaterThan">
      <formula>0</formula>
    </cfRule>
  </conditionalFormatting>
  <conditionalFormatting sqref="AK27:AK32">
    <cfRule type="cellIs" dxfId="1849" priority="1116" operator="equal">
      <formula>"-"</formula>
    </cfRule>
  </conditionalFormatting>
  <conditionalFormatting sqref="AK36">
    <cfRule type="cellIs" dxfId="1848" priority="1114" operator="lessThan">
      <formula>0</formula>
    </cfRule>
    <cfRule type="cellIs" dxfId="1847" priority="1115" operator="greaterThan">
      <formula>0</formula>
    </cfRule>
  </conditionalFormatting>
  <conditionalFormatting sqref="AK36">
    <cfRule type="cellIs" dxfId="1846" priority="1113" operator="equal">
      <formula>"-"</formula>
    </cfRule>
  </conditionalFormatting>
  <conditionalFormatting sqref="AK37">
    <cfRule type="cellIs" dxfId="1845" priority="1111" operator="lessThan">
      <formula>0</formula>
    </cfRule>
    <cfRule type="cellIs" dxfId="1844" priority="1112" operator="greaterThan">
      <formula>0</formula>
    </cfRule>
  </conditionalFormatting>
  <conditionalFormatting sqref="AK37">
    <cfRule type="cellIs" dxfId="1843" priority="1110" operator="equal">
      <formula>"-"</formula>
    </cfRule>
  </conditionalFormatting>
  <conditionalFormatting sqref="AK11">
    <cfRule type="cellIs" dxfId="1842" priority="1107" operator="equal">
      <formula>"-"</formula>
    </cfRule>
    <cfRule type="cellIs" dxfId="1841" priority="1108" operator="lessThan">
      <formula>0</formula>
    </cfRule>
    <cfRule type="cellIs" dxfId="1840" priority="1109" operator="greaterThan">
      <formula>0</formula>
    </cfRule>
  </conditionalFormatting>
  <conditionalFormatting sqref="AK3:AK5">
    <cfRule type="cellIs" dxfId="1839" priority="1104" operator="equal">
      <formula>"-"</formula>
    </cfRule>
    <cfRule type="cellIs" dxfId="1838" priority="1105" operator="lessThan">
      <formula>0</formula>
    </cfRule>
    <cfRule type="cellIs" dxfId="1837" priority="1106" operator="greaterThan">
      <formula>0</formula>
    </cfRule>
  </conditionalFormatting>
  <conditionalFormatting sqref="AK22:AK26">
    <cfRule type="cellIs" dxfId="1836" priority="1102" operator="lessThan">
      <formula>0</formula>
    </cfRule>
    <cfRule type="cellIs" dxfId="1835" priority="1103" operator="greaterThan">
      <formula>0</formula>
    </cfRule>
  </conditionalFormatting>
  <conditionalFormatting sqref="AK22:AK26">
    <cfRule type="cellIs" dxfId="1834" priority="1101" operator="equal">
      <formula>"-"</formula>
    </cfRule>
  </conditionalFormatting>
  <conditionalFormatting sqref="AK39:AK42">
    <cfRule type="cellIs" dxfId="1833" priority="1098" operator="equal">
      <formula>"-"</formula>
    </cfRule>
    <cfRule type="cellIs" dxfId="1832" priority="1099" operator="lessThan">
      <formula>0</formula>
    </cfRule>
    <cfRule type="cellIs" dxfId="1831" priority="1100" operator="greaterThan">
      <formula>0</formula>
    </cfRule>
  </conditionalFormatting>
  <conditionalFormatting sqref="AK34:AK35">
    <cfRule type="cellIs" dxfId="1830" priority="1096" operator="lessThan">
      <formula>0</formula>
    </cfRule>
    <cfRule type="cellIs" dxfId="1829" priority="1097" operator="greaterThan">
      <formula>0</formula>
    </cfRule>
  </conditionalFormatting>
  <conditionalFormatting sqref="AK34:AK35">
    <cfRule type="cellIs" dxfId="1828" priority="1095" operator="equal">
      <formula>"-"</formula>
    </cfRule>
  </conditionalFormatting>
  <conditionalFormatting sqref="AK13:AK15">
    <cfRule type="cellIs" dxfId="1827" priority="1125" operator="equal">
      <formula>"-"</formula>
    </cfRule>
  </conditionalFormatting>
  <conditionalFormatting sqref="AK18:AK19">
    <cfRule type="cellIs" dxfId="1826" priority="1122" operator="equal">
      <formula>"-"</formula>
    </cfRule>
  </conditionalFormatting>
  <conditionalFormatting sqref="AK18:AK20">
    <cfRule type="cellIs" dxfId="1825" priority="1123" operator="lessThan">
      <formula>0</formula>
    </cfRule>
    <cfRule type="cellIs" dxfId="1824" priority="1124" operator="greaterThan">
      <formula>0</formula>
    </cfRule>
  </conditionalFormatting>
  <conditionalFormatting sqref="AI2:AK2">
    <cfRule type="containsText" dxfId="1823" priority="1091" operator="containsText" text="BULLISH">
      <formula>NOT(ISERROR(SEARCH("BULLISH",AI2)))</formula>
    </cfRule>
  </conditionalFormatting>
  <conditionalFormatting sqref="AI2:AK2">
    <cfRule type="containsText" dxfId="1822" priority="1092" operator="containsText" text="BEARISH">
      <formula>NOT(ISERROR(SEARCH("BEARISH",AI2)))</formula>
    </cfRule>
    <cfRule type="containsBlanks" dxfId="1821" priority="1093">
      <formula>LEN(TRIM(AI2))=0</formula>
    </cfRule>
  </conditionalFormatting>
  <conditionalFormatting sqref="AI2">
    <cfRule type="containsText" dxfId="1820" priority="1090" operator="containsText" text="NEUTRO">
      <formula>NOT(ISERROR(SEARCH("NEUTRO",AI2)))</formula>
    </cfRule>
  </conditionalFormatting>
  <conditionalFormatting sqref="AI10:AK10">
    <cfRule type="containsText" dxfId="1819" priority="1086" operator="containsText" text="NEUTRO">
      <formula>NOT(ISERROR(SEARCH("NEUTRO",AI10)))</formula>
    </cfRule>
  </conditionalFormatting>
  <conditionalFormatting sqref="AI10:AK10">
    <cfRule type="containsText" dxfId="1818" priority="1087" operator="containsText" text="BULLISH">
      <formula>NOT(ISERROR(SEARCH("BULLISH",AI10)))</formula>
    </cfRule>
  </conditionalFormatting>
  <conditionalFormatting sqref="AI10:AK10">
    <cfRule type="containsText" dxfId="1817" priority="1088" operator="containsText" text="BEARISH">
      <formula>NOT(ISERROR(SEARCH("BEARISH",AI10)))</formula>
    </cfRule>
    <cfRule type="containsBlanks" dxfId="1816" priority="1089">
      <formula>LEN(TRIM(AI10))=0</formula>
    </cfRule>
  </conditionalFormatting>
  <conditionalFormatting sqref="AI12:AK12">
    <cfRule type="containsText" dxfId="1815" priority="1082" operator="containsText" text="NEUTRO">
      <formula>NOT(ISERROR(SEARCH("NEUTRO",AI12)))</formula>
    </cfRule>
  </conditionalFormatting>
  <conditionalFormatting sqref="AI12:AK12">
    <cfRule type="containsText" dxfId="1814" priority="1083" operator="containsText" text="BULLISH">
      <formula>NOT(ISERROR(SEARCH("BULLISH",AI12)))</formula>
    </cfRule>
  </conditionalFormatting>
  <conditionalFormatting sqref="AI12:AK12">
    <cfRule type="containsText" dxfId="1813" priority="1084" operator="containsText" text="BEARISH">
      <formula>NOT(ISERROR(SEARCH("BEARISH",AI12)))</formula>
    </cfRule>
    <cfRule type="containsBlanks" dxfId="1812" priority="1085">
      <formula>LEN(TRIM(AI12))=0</formula>
    </cfRule>
  </conditionalFormatting>
  <conditionalFormatting sqref="AI17:AK17">
    <cfRule type="containsText" dxfId="1811" priority="1078" operator="containsText" text="NEUTRO">
      <formula>NOT(ISERROR(SEARCH("NEUTRO",AI17)))</formula>
    </cfRule>
  </conditionalFormatting>
  <conditionalFormatting sqref="AI17:AK17">
    <cfRule type="containsText" dxfId="1810" priority="1079" operator="containsText" text="BULLISH">
      <formula>NOT(ISERROR(SEARCH("BULLISH",AI17)))</formula>
    </cfRule>
  </conditionalFormatting>
  <conditionalFormatting sqref="AI17:AK17">
    <cfRule type="containsText" dxfId="1809" priority="1080" operator="containsText" text="BEARISH">
      <formula>NOT(ISERROR(SEARCH("BEARISH",AI17)))</formula>
    </cfRule>
    <cfRule type="containsBlanks" dxfId="1808" priority="1081">
      <formula>LEN(TRIM(AI17))=0</formula>
    </cfRule>
  </conditionalFormatting>
  <conditionalFormatting sqref="AI17">
    <cfRule type="containsText" dxfId="1807" priority="1074" operator="containsText" text="NEUTRO">
      <formula>NOT(ISERROR(SEARCH("NEUTRO",AI17)))</formula>
    </cfRule>
    <cfRule type="containsText" dxfId="1806" priority="1075" operator="containsText" text="BULLISH">
      <formula>NOT(ISERROR(SEARCH("BULLISH",AI17)))</formula>
    </cfRule>
    <cfRule type="containsText" dxfId="1805" priority="1076" operator="containsText" text="BEARISH">
      <formula>NOT(ISERROR(SEARCH("BEARISH",AI17)))</formula>
    </cfRule>
    <cfRule type="containsBlanks" dxfId="1804" priority="1077">
      <formula>LEN(TRIM(AI17))=0</formula>
    </cfRule>
  </conditionalFormatting>
  <conditionalFormatting sqref="AI21:AK21">
    <cfRule type="containsText" dxfId="1803" priority="1070" operator="containsText" text="NEUTRO">
      <formula>NOT(ISERROR(SEARCH("NEUTRO",AI21)))</formula>
    </cfRule>
  </conditionalFormatting>
  <conditionalFormatting sqref="AI21:AK21">
    <cfRule type="containsText" dxfId="1802" priority="1071" operator="containsText" text="BULLISH">
      <formula>NOT(ISERROR(SEARCH("BULLISH",AI21)))</formula>
    </cfRule>
  </conditionalFormatting>
  <conditionalFormatting sqref="AI21:AK21">
    <cfRule type="containsText" dxfId="1801" priority="1072" operator="containsText" text="BEARISH">
      <formula>NOT(ISERROR(SEARCH("BEARISH",AI21)))</formula>
    </cfRule>
    <cfRule type="containsBlanks" dxfId="1800" priority="1073">
      <formula>LEN(TRIM(AI21))=0</formula>
    </cfRule>
  </conditionalFormatting>
  <conditionalFormatting sqref="AI33:AK33">
    <cfRule type="containsText" dxfId="1799" priority="1066" operator="containsText" text="NEUTRO">
      <formula>NOT(ISERROR(SEARCH("NEUTRO",AI33)))</formula>
    </cfRule>
  </conditionalFormatting>
  <conditionalFormatting sqref="AI33:AK33">
    <cfRule type="containsText" dxfId="1798" priority="1067" operator="containsText" text="BULLISH">
      <formula>NOT(ISERROR(SEARCH("BULLISH",AI33)))</formula>
    </cfRule>
  </conditionalFormatting>
  <conditionalFormatting sqref="AI33:AK33">
    <cfRule type="containsText" dxfId="1797" priority="1068" operator="containsText" text="BEARISH">
      <formula>NOT(ISERROR(SEARCH("BEARISH",AI33)))</formula>
    </cfRule>
    <cfRule type="containsBlanks" dxfId="1796" priority="1069">
      <formula>LEN(TRIM(AI33))=0</formula>
    </cfRule>
  </conditionalFormatting>
  <conditionalFormatting sqref="AI38">
    <cfRule type="containsText" dxfId="1795" priority="1058" operator="containsText" text="NEUTRO">
      <formula>NOT(ISERROR(SEARCH("NEUTRO",AI38)))</formula>
    </cfRule>
    <cfRule type="containsText" dxfId="1794" priority="1059" operator="containsText" text="BULLISH">
      <formula>NOT(ISERROR(SEARCH("BULLISH",AI38)))</formula>
    </cfRule>
    <cfRule type="containsText" dxfId="1793" priority="1060" operator="containsText" text="BEARISH">
      <formula>NOT(ISERROR(SEARCH("BEARISH",AI38)))</formula>
    </cfRule>
    <cfRule type="containsBlanks" dxfId="1792" priority="1061">
      <formula>LEN(TRIM(AI38))=0</formula>
    </cfRule>
  </conditionalFormatting>
  <conditionalFormatting sqref="AI38:AK38">
    <cfRule type="containsText" dxfId="1791" priority="1062" operator="containsText" text="NEUTRO">
      <formula>NOT(ISERROR(SEARCH("NEUTRO",AI38)))</formula>
    </cfRule>
  </conditionalFormatting>
  <conditionalFormatting sqref="AI38:AK38">
    <cfRule type="containsText" dxfId="1790" priority="1063" operator="containsText" text="BULLISH">
      <formula>NOT(ISERROR(SEARCH("BULLISH",AI38)))</formula>
    </cfRule>
  </conditionalFormatting>
  <conditionalFormatting sqref="AI38:AK38">
    <cfRule type="containsText" dxfId="1789" priority="1064" operator="containsText" text="BEARISH">
      <formula>NOT(ISERROR(SEARCH("BEARISH",AI38)))</formula>
    </cfRule>
    <cfRule type="containsBlanks" dxfId="1788" priority="1065">
      <formula>LEN(TRIM(AI38))=0</formula>
    </cfRule>
  </conditionalFormatting>
  <conditionalFormatting sqref="AH6:AH9">
    <cfRule type="cellIs" dxfId="1787" priority="1055" operator="equal">
      <formula>"-"</formula>
    </cfRule>
    <cfRule type="cellIs" dxfId="1786" priority="1056" operator="lessThan">
      <formula>0</formula>
    </cfRule>
    <cfRule type="cellIs" dxfId="1785" priority="1057" operator="greaterThan">
      <formula>0</formula>
    </cfRule>
  </conditionalFormatting>
  <conditionalFormatting sqref="AH13">
    <cfRule type="cellIs" dxfId="1784" priority="1053" operator="lessThan">
      <formula>0</formula>
    </cfRule>
    <cfRule type="cellIs" dxfId="1783" priority="1054" operator="greaterThan">
      <formula>0</formula>
    </cfRule>
  </conditionalFormatting>
  <conditionalFormatting sqref="AH15:AH16">
    <cfRule type="cellIs" dxfId="1782" priority="1051" operator="lessThan">
      <formula>0</formula>
    </cfRule>
    <cfRule type="cellIs" dxfId="1781" priority="1052" operator="greaterThan">
      <formula>0</formula>
    </cfRule>
  </conditionalFormatting>
  <conditionalFormatting sqref="AH14">
    <cfRule type="cellIs" dxfId="1780" priority="1049" operator="lessThan">
      <formula>0</formula>
    </cfRule>
    <cfRule type="cellIs" dxfId="1779" priority="1050" operator="greaterThan">
      <formula>0</formula>
    </cfRule>
  </conditionalFormatting>
  <conditionalFormatting sqref="AH20">
    <cfRule type="cellIs" dxfId="1778" priority="1042" operator="equal">
      <formula>"-"</formula>
    </cfRule>
    <cfRule type="cellIs" dxfId="1777" priority="1043" operator="lessThan">
      <formula>0</formula>
    </cfRule>
    <cfRule type="cellIs" dxfId="1776" priority="1044" operator="greaterThan">
      <formula>0</formula>
    </cfRule>
  </conditionalFormatting>
  <conditionalFormatting sqref="AH27:AH32">
    <cfRule type="cellIs" dxfId="1775" priority="1040" operator="lessThan">
      <formula>0</formula>
    </cfRule>
    <cfRule type="cellIs" dxfId="1774" priority="1041" operator="greaterThan">
      <formula>0</formula>
    </cfRule>
  </conditionalFormatting>
  <conditionalFormatting sqref="AH27:AH32">
    <cfRule type="cellIs" dxfId="1773" priority="1039" operator="equal">
      <formula>"-"</formula>
    </cfRule>
  </conditionalFormatting>
  <conditionalFormatting sqref="AH36">
    <cfRule type="cellIs" dxfId="1772" priority="1037" operator="lessThan">
      <formula>0</formula>
    </cfRule>
    <cfRule type="cellIs" dxfId="1771" priority="1038" operator="greaterThan">
      <formula>0</formula>
    </cfRule>
  </conditionalFormatting>
  <conditionalFormatting sqref="AH36">
    <cfRule type="cellIs" dxfId="1770" priority="1036" operator="equal">
      <formula>"-"</formula>
    </cfRule>
  </conditionalFormatting>
  <conditionalFormatting sqref="AH37">
    <cfRule type="cellIs" dxfId="1769" priority="1034" operator="lessThan">
      <formula>0</formula>
    </cfRule>
    <cfRule type="cellIs" dxfId="1768" priority="1035" operator="greaterThan">
      <formula>0</formula>
    </cfRule>
  </conditionalFormatting>
  <conditionalFormatting sqref="AH37">
    <cfRule type="cellIs" dxfId="1767" priority="1033" operator="equal">
      <formula>"-"</formula>
    </cfRule>
  </conditionalFormatting>
  <conditionalFormatting sqref="AH11">
    <cfRule type="cellIs" dxfId="1766" priority="1030" operator="equal">
      <formula>"-"</formula>
    </cfRule>
    <cfRule type="cellIs" dxfId="1765" priority="1031" operator="lessThan">
      <formula>0</formula>
    </cfRule>
    <cfRule type="cellIs" dxfId="1764" priority="1032" operator="greaterThan">
      <formula>0</formula>
    </cfRule>
  </conditionalFormatting>
  <conditionalFormatting sqref="AH3:AH5">
    <cfRule type="cellIs" dxfId="1763" priority="1027" operator="equal">
      <formula>"-"</formula>
    </cfRule>
    <cfRule type="cellIs" dxfId="1762" priority="1028" operator="lessThan">
      <formula>0</formula>
    </cfRule>
    <cfRule type="cellIs" dxfId="1761" priority="1029" operator="greaterThan">
      <formula>0</formula>
    </cfRule>
  </conditionalFormatting>
  <conditionalFormatting sqref="AH22:AH26">
    <cfRule type="cellIs" dxfId="1760" priority="1025" operator="lessThan">
      <formula>0</formula>
    </cfRule>
    <cfRule type="cellIs" dxfId="1759" priority="1026" operator="greaterThan">
      <formula>0</formula>
    </cfRule>
  </conditionalFormatting>
  <conditionalFormatting sqref="AH22:AH26">
    <cfRule type="cellIs" dxfId="1758" priority="1024" operator="equal">
      <formula>"-"</formula>
    </cfRule>
  </conditionalFormatting>
  <conditionalFormatting sqref="AH39:AH42">
    <cfRule type="cellIs" dxfId="1757" priority="1021" operator="equal">
      <formula>"-"</formula>
    </cfRule>
    <cfRule type="cellIs" dxfId="1756" priority="1022" operator="lessThan">
      <formula>0</formula>
    </cfRule>
    <cfRule type="cellIs" dxfId="1755" priority="1023" operator="greaterThan">
      <formula>0</formula>
    </cfRule>
  </conditionalFormatting>
  <conditionalFormatting sqref="AH34:AH35">
    <cfRule type="cellIs" dxfId="1754" priority="1019" operator="lessThan">
      <formula>0</formula>
    </cfRule>
    <cfRule type="cellIs" dxfId="1753" priority="1020" operator="greaterThan">
      <formula>0</formula>
    </cfRule>
  </conditionalFormatting>
  <conditionalFormatting sqref="AH34:AH35">
    <cfRule type="cellIs" dxfId="1752" priority="1018" operator="equal">
      <formula>"-"</formula>
    </cfRule>
  </conditionalFormatting>
  <conditionalFormatting sqref="AH13:AH15">
    <cfRule type="cellIs" dxfId="1751" priority="1048" operator="equal">
      <formula>"-"</formula>
    </cfRule>
  </conditionalFormatting>
  <conditionalFormatting sqref="AH18:AH19">
    <cfRule type="cellIs" dxfId="1750" priority="1045" operator="equal">
      <formula>"-"</formula>
    </cfRule>
  </conditionalFormatting>
  <conditionalFormatting sqref="AH18:AH20">
    <cfRule type="cellIs" dxfId="1749" priority="1046" operator="lessThan">
      <formula>0</formula>
    </cfRule>
    <cfRule type="cellIs" dxfId="1748" priority="1047" operator="greaterThan">
      <formula>0</formula>
    </cfRule>
  </conditionalFormatting>
  <conditionalFormatting sqref="AF2:AH2">
    <cfRule type="containsText" dxfId="1747" priority="1014" operator="containsText" text="BULLISH">
      <formula>NOT(ISERROR(SEARCH("BULLISH",AF2)))</formula>
    </cfRule>
  </conditionalFormatting>
  <conditionalFormatting sqref="AF2:AH2">
    <cfRule type="containsText" dxfId="1746" priority="1015" operator="containsText" text="BEARISH">
      <formula>NOT(ISERROR(SEARCH("BEARISH",AF2)))</formula>
    </cfRule>
    <cfRule type="containsBlanks" dxfId="1745" priority="1016">
      <formula>LEN(TRIM(AF2))=0</formula>
    </cfRule>
  </conditionalFormatting>
  <conditionalFormatting sqref="AF2">
    <cfRule type="containsText" dxfId="1744" priority="1013" operator="containsText" text="NEUTRO">
      <formula>NOT(ISERROR(SEARCH("NEUTRO",AF2)))</formula>
    </cfRule>
  </conditionalFormatting>
  <conditionalFormatting sqref="AF10:AH10">
    <cfRule type="containsText" dxfId="1743" priority="1009" operator="containsText" text="NEUTRO">
      <formula>NOT(ISERROR(SEARCH("NEUTRO",AF10)))</formula>
    </cfRule>
  </conditionalFormatting>
  <conditionalFormatting sqref="AF10:AH10">
    <cfRule type="containsText" dxfId="1742" priority="1010" operator="containsText" text="BULLISH">
      <formula>NOT(ISERROR(SEARCH("BULLISH",AF10)))</formula>
    </cfRule>
  </conditionalFormatting>
  <conditionalFormatting sqref="AF10:AH10">
    <cfRule type="containsText" dxfId="1741" priority="1011" operator="containsText" text="BEARISH">
      <formula>NOT(ISERROR(SEARCH("BEARISH",AF10)))</formula>
    </cfRule>
    <cfRule type="containsBlanks" dxfId="1740" priority="1012">
      <formula>LEN(TRIM(AF10))=0</formula>
    </cfRule>
  </conditionalFormatting>
  <conditionalFormatting sqref="AF12:AH12">
    <cfRule type="containsText" dxfId="1739" priority="1005" operator="containsText" text="NEUTRO">
      <formula>NOT(ISERROR(SEARCH("NEUTRO",AF12)))</formula>
    </cfRule>
  </conditionalFormatting>
  <conditionalFormatting sqref="AF12:AH12">
    <cfRule type="containsText" dxfId="1738" priority="1006" operator="containsText" text="BULLISH">
      <formula>NOT(ISERROR(SEARCH("BULLISH",AF12)))</formula>
    </cfRule>
  </conditionalFormatting>
  <conditionalFormatting sqref="AF12:AH12">
    <cfRule type="containsText" dxfId="1737" priority="1007" operator="containsText" text="BEARISH">
      <formula>NOT(ISERROR(SEARCH("BEARISH",AF12)))</formula>
    </cfRule>
    <cfRule type="containsBlanks" dxfId="1736" priority="1008">
      <formula>LEN(TRIM(AF12))=0</formula>
    </cfRule>
  </conditionalFormatting>
  <conditionalFormatting sqref="AF17:AH17">
    <cfRule type="containsText" dxfId="1735" priority="1001" operator="containsText" text="NEUTRO">
      <formula>NOT(ISERROR(SEARCH("NEUTRO",AF17)))</formula>
    </cfRule>
  </conditionalFormatting>
  <conditionalFormatting sqref="AF17:AH17">
    <cfRule type="containsText" dxfId="1734" priority="1002" operator="containsText" text="BULLISH">
      <formula>NOT(ISERROR(SEARCH("BULLISH",AF17)))</formula>
    </cfRule>
  </conditionalFormatting>
  <conditionalFormatting sqref="AF17:AH17">
    <cfRule type="containsText" dxfId="1733" priority="1003" operator="containsText" text="BEARISH">
      <formula>NOT(ISERROR(SEARCH("BEARISH",AF17)))</formula>
    </cfRule>
    <cfRule type="containsBlanks" dxfId="1732" priority="1004">
      <formula>LEN(TRIM(AF17))=0</formula>
    </cfRule>
  </conditionalFormatting>
  <conditionalFormatting sqref="AF17">
    <cfRule type="containsText" dxfId="1731" priority="997" operator="containsText" text="NEUTRO">
      <formula>NOT(ISERROR(SEARCH("NEUTRO",AF17)))</formula>
    </cfRule>
    <cfRule type="containsText" dxfId="1730" priority="998" operator="containsText" text="BULLISH">
      <formula>NOT(ISERROR(SEARCH("BULLISH",AF17)))</formula>
    </cfRule>
    <cfRule type="containsText" dxfId="1729" priority="999" operator="containsText" text="BEARISH">
      <formula>NOT(ISERROR(SEARCH("BEARISH",AF17)))</formula>
    </cfRule>
    <cfRule type="containsBlanks" dxfId="1728" priority="1000">
      <formula>LEN(TRIM(AF17))=0</formula>
    </cfRule>
  </conditionalFormatting>
  <conditionalFormatting sqref="AF21:AH21">
    <cfRule type="containsText" dxfId="1727" priority="993" operator="containsText" text="NEUTRO">
      <formula>NOT(ISERROR(SEARCH("NEUTRO",AF21)))</formula>
    </cfRule>
  </conditionalFormatting>
  <conditionalFormatting sqref="AF21:AH21">
    <cfRule type="containsText" dxfId="1726" priority="994" operator="containsText" text="BULLISH">
      <formula>NOT(ISERROR(SEARCH("BULLISH",AF21)))</formula>
    </cfRule>
  </conditionalFormatting>
  <conditionalFormatting sqref="AF21:AH21">
    <cfRule type="containsText" dxfId="1725" priority="995" operator="containsText" text="BEARISH">
      <formula>NOT(ISERROR(SEARCH("BEARISH",AF21)))</formula>
    </cfRule>
    <cfRule type="containsBlanks" dxfId="1724" priority="996">
      <formula>LEN(TRIM(AF21))=0</formula>
    </cfRule>
  </conditionalFormatting>
  <conditionalFormatting sqref="AF33:AH33">
    <cfRule type="containsText" dxfId="1723" priority="989" operator="containsText" text="NEUTRO">
      <formula>NOT(ISERROR(SEARCH("NEUTRO",AF33)))</formula>
    </cfRule>
  </conditionalFormatting>
  <conditionalFormatting sqref="AF33:AH33">
    <cfRule type="containsText" dxfId="1722" priority="990" operator="containsText" text="BULLISH">
      <formula>NOT(ISERROR(SEARCH("BULLISH",AF33)))</formula>
    </cfRule>
  </conditionalFormatting>
  <conditionalFormatting sqref="AF33:AH33">
    <cfRule type="containsText" dxfId="1721" priority="991" operator="containsText" text="BEARISH">
      <formula>NOT(ISERROR(SEARCH("BEARISH",AF33)))</formula>
    </cfRule>
    <cfRule type="containsBlanks" dxfId="1720" priority="992">
      <formula>LEN(TRIM(AF33))=0</formula>
    </cfRule>
  </conditionalFormatting>
  <conditionalFormatting sqref="AF38">
    <cfRule type="containsText" dxfId="1719" priority="981" operator="containsText" text="NEUTRO">
      <formula>NOT(ISERROR(SEARCH("NEUTRO",AF38)))</formula>
    </cfRule>
    <cfRule type="containsText" dxfId="1718" priority="982" operator="containsText" text="BULLISH">
      <formula>NOT(ISERROR(SEARCH("BULLISH",AF38)))</formula>
    </cfRule>
    <cfRule type="containsText" dxfId="1717" priority="983" operator="containsText" text="BEARISH">
      <formula>NOT(ISERROR(SEARCH("BEARISH",AF38)))</formula>
    </cfRule>
    <cfRule type="containsBlanks" dxfId="1716" priority="984">
      <formula>LEN(TRIM(AF38))=0</formula>
    </cfRule>
  </conditionalFormatting>
  <conditionalFormatting sqref="AF38:AH38">
    <cfRule type="containsText" dxfId="1715" priority="985" operator="containsText" text="NEUTRO">
      <formula>NOT(ISERROR(SEARCH("NEUTRO",AF38)))</formula>
    </cfRule>
  </conditionalFormatting>
  <conditionalFormatting sqref="AF38:AH38">
    <cfRule type="containsText" dxfId="1714" priority="986" operator="containsText" text="BULLISH">
      <formula>NOT(ISERROR(SEARCH("BULLISH",AF38)))</formula>
    </cfRule>
  </conditionalFormatting>
  <conditionalFormatting sqref="AF38:AH38">
    <cfRule type="containsText" dxfId="1713" priority="987" operator="containsText" text="BEARISH">
      <formula>NOT(ISERROR(SEARCH("BEARISH",AF38)))</formula>
    </cfRule>
    <cfRule type="containsBlanks" dxfId="1712" priority="988">
      <formula>LEN(TRIM(AF38))=0</formula>
    </cfRule>
  </conditionalFormatting>
  <conditionalFormatting sqref="AE6:AE9">
    <cfRule type="cellIs" dxfId="1711" priority="978" operator="equal">
      <formula>"-"</formula>
    </cfRule>
    <cfRule type="cellIs" dxfId="1710" priority="979" operator="lessThan">
      <formula>0</formula>
    </cfRule>
    <cfRule type="cellIs" dxfId="1709" priority="980" operator="greaterThan">
      <formula>0</formula>
    </cfRule>
  </conditionalFormatting>
  <conditionalFormatting sqref="AE13">
    <cfRule type="cellIs" dxfId="1708" priority="976" operator="lessThan">
      <formula>0</formula>
    </cfRule>
    <cfRule type="cellIs" dxfId="1707" priority="977" operator="greaterThan">
      <formula>0</formula>
    </cfRule>
  </conditionalFormatting>
  <conditionalFormatting sqref="AE15:AE16">
    <cfRule type="cellIs" dxfId="1706" priority="974" operator="lessThan">
      <formula>0</formula>
    </cfRule>
    <cfRule type="cellIs" dxfId="1705" priority="975" operator="greaterThan">
      <formula>0</formula>
    </cfRule>
  </conditionalFormatting>
  <conditionalFormatting sqref="AE14">
    <cfRule type="cellIs" dxfId="1704" priority="972" operator="lessThan">
      <formula>0</formula>
    </cfRule>
    <cfRule type="cellIs" dxfId="1703" priority="973" operator="greaterThan">
      <formula>0</formula>
    </cfRule>
  </conditionalFormatting>
  <conditionalFormatting sqref="AE20">
    <cfRule type="cellIs" dxfId="1702" priority="965" operator="equal">
      <formula>"-"</formula>
    </cfRule>
    <cfRule type="cellIs" dxfId="1701" priority="966" operator="lessThan">
      <formula>0</formula>
    </cfRule>
    <cfRule type="cellIs" dxfId="1700" priority="967" operator="greaterThan">
      <formula>0</formula>
    </cfRule>
  </conditionalFormatting>
  <conditionalFormatting sqref="AE27:AE32">
    <cfRule type="cellIs" dxfId="1699" priority="963" operator="lessThan">
      <formula>0</formula>
    </cfRule>
    <cfRule type="cellIs" dxfId="1698" priority="964" operator="greaterThan">
      <formula>0</formula>
    </cfRule>
  </conditionalFormatting>
  <conditionalFormatting sqref="AE27:AE32">
    <cfRule type="cellIs" dxfId="1697" priority="962" operator="equal">
      <formula>"-"</formula>
    </cfRule>
  </conditionalFormatting>
  <conditionalFormatting sqref="AE36">
    <cfRule type="cellIs" dxfId="1696" priority="960" operator="lessThan">
      <formula>0</formula>
    </cfRule>
    <cfRule type="cellIs" dxfId="1695" priority="961" operator="greaterThan">
      <formula>0</formula>
    </cfRule>
  </conditionalFormatting>
  <conditionalFormatting sqref="AE36">
    <cfRule type="cellIs" dxfId="1694" priority="959" operator="equal">
      <formula>"-"</formula>
    </cfRule>
  </conditionalFormatting>
  <conditionalFormatting sqref="AE37">
    <cfRule type="cellIs" dxfId="1693" priority="957" operator="lessThan">
      <formula>0</formula>
    </cfRule>
    <cfRule type="cellIs" dxfId="1692" priority="958" operator="greaterThan">
      <formula>0</formula>
    </cfRule>
  </conditionalFormatting>
  <conditionalFormatting sqref="AE37">
    <cfRule type="cellIs" dxfId="1691" priority="956" operator="equal">
      <formula>"-"</formula>
    </cfRule>
  </conditionalFormatting>
  <conditionalFormatting sqref="AE11">
    <cfRule type="cellIs" dxfId="1690" priority="953" operator="equal">
      <formula>"-"</formula>
    </cfRule>
    <cfRule type="cellIs" dxfId="1689" priority="954" operator="lessThan">
      <formula>0</formula>
    </cfRule>
    <cfRule type="cellIs" dxfId="1688" priority="955" operator="greaterThan">
      <formula>0</formula>
    </cfRule>
  </conditionalFormatting>
  <conditionalFormatting sqref="AE3:AE5">
    <cfRule type="cellIs" dxfId="1687" priority="950" operator="equal">
      <formula>"-"</formula>
    </cfRule>
    <cfRule type="cellIs" dxfId="1686" priority="951" operator="lessThan">
      <formula>0</formula>
    </cfRule>
    <cfRule type="cellIs" dxfId="1685" priority="952" operator="greaterThan">
      <formula>0</formula>
    </cfRule>
  </conditionalFormatting>
  <conditionalFormatting sqref="AE22:AE26">
    <cfRule type="cellIs" dxfId="1684" priority="948" operator="lessThan">
      <formula>0</formula>
    </cfRule>
    <cfRule type="cellIs" dxfId="1683" priority="949" operator="greaterThan">
      <formula>0</formula>
    </cfRule>
  </conditionalFormatting>
  <conditionalFormatting sqref="AE22:AE26">
    <cfRule type="cellIs" dxfId="1682" priority="947" operator="equal">
      <formula>"-"</formula>
    </cfRule>
  </conditionalFormatting>
  <conditionalFormatting sqref="AE39:AE42">
    <cfRule type="cellIs" dxfId="1681" priority="944" operator="equal">
      <formula>"-"</formula>
    </cfRule>
    <cfRule type="cellIs" dxfId="1680" priority="945" operator="lessThan">
      <formula>0</formula>
    </cfRule>
    <cfRule type="cellIs" dxfId="1679" priority="946" operator="greaterThan">
      <formula>0</formula>
    </cfRule>
  </conditionalFormatting>
  <conditionalFormatting sqref="AE34:AE35">
    <cfRule type="cellIs" dxfId="1678" priority="942" operator="lessThan">
      <formula>0</formula>
    </cfRule>
    <cfRule type="cellIs" dxfId="1677" priority="943" operator="greaterThan">
      <formula>0</formula>
    </cfRule>
  </conditionalFormatting>
  <conditionalFormatting sqref="AE34:AE35">
    <cfRule type="cellIs" dxfId="1676" priority="941" operator="equal">
      <formula>"-"</formula>
    </cfRule>
  </conditionalFormatting>
  <conditionalFormatting sqref="AE13:AE15">
    <cfRule type="cellIs" dxfId="1675" priority="971" operator="equal">
      <formula>"-"</formula>
    </cfRule>
  </conditionalFormatting>
  <conditionalFormatting sqref="AE18:AE19">
    <cfRule type="cellIs" dxfId="1674" priority="968" operator="equal">
      <formula>"-"</formula>
    </cfRule>
  </conditionalFormatting>
  <conditionalFormatting sqref="AE18:AE20">
    <cfRule type="cellIs" dxfId="1673" priority="969" operator="lessThan">
      <formula>0</formula>
    </cfRule>
    <cfRule type="cellIs" dxfId="1672" priority="970" operator="greaterThan">
      <formula>0</formula>
    </cfRule>
  </conditionalFormatting>
  <conditionalFormatting sqref="AC12:AE12">
    <cfRule type="containsText" dxfId="1671" priority="928" operator="containsText" text="NEUTRO">
      <formula>NOT(ISERROR(SEARCH("NEUTRO",AC12)))</formula>
    </cfRule>
  </conditionalFormatting>
  <conditionalFormatting sqref="AC12:AE12">
    <cfRule type="containsText" dxfId="1670" priority="929" operator="containsText" text="BULLISH">
      <formula>NOT(ISERROR(SEARCH("BULLISH",AC12)))</formula>
    </cfRule>
  </conditionalFormatting>
  <conditionalFormatting sqref="AC12:AE12">
    <cfRule type="containsText" dxfId="1669" priority="930" operator="containsText" text="BEARISH">
      <formula>NOT(ISERROR(SEARCH("BEARISH",AC12)))</formula>
    </cfRule>
    <cfRule type="containsBlanks" dxfId="1668" priority="931">
      <formula>LEN(TRIM(AC12))=0</formula>
    </cfRule>
  </conditionalFormatting>
  <conditionalFormatting sqref="AC10:AE10">
    <cfRule type="containsText" dxfId="1667" priority="932" operator="containsText" text="NEUTRO">
      <formula>NOT(ISERROR(SEARCH("NEUTRO",AC10)))</formula>
    </cfRule>
  </conditionalFormatting>
  <conditionalFormatting sqref="AC10:AE10">
    <cfRule type="containsText" dxfId="1666" priority="933" operator="containsText" text="BULLISH">
      <formula>NOT(ISERROR(SEARCH("BULLISH",AC10)))</formula>
    </cfRule>
  </conditionalFormatting>
  <conditionalFormatting sqref="AC10:AE10">
    <cfRule type="containsText" dxfId="1665" priority="934" operator="containsText" text="BEARISH">
      <formula>NOT(ISERROR(SEARCH("BEARISH",AC10)))</formula>
    </cfRule>
    <cfRule type="containsBlanks" dxfId="1664" priority="935">
      <formula>LEN(TRIM(AC10))=0</formula>
    </cfRule>
  </conditionalFormatting>
  <conditionalFormatting sqref="AC2:AE2">
    <cfRule type="containsText" dxfId="1663" priority="937" operator="containsText" text="BULLISH">
      <formula>NOT(ISERROR(SEARCH("BULLISH",AC2)))</formula>
    </cfRule>
  </conditionalFormatting>
  <conditionalFormatting sqref="AC2:AE2">
    <cfRule type="containsText" dxfId="1662" priority="938" operator="containsText" text="BEARISH">
      <formula>NOT(ISERROR(SEARCH("BEARISH",AC2)))</formula>
    </cfRule>
    <cfRule type="containsBlanks" dxfId="1661" priority="939">
      <formula>LEN(TRIM(AC2))=0</formula>
    </cfRule>
  </conditionalFormatting>
  <conditionalFormatting sqref="AC2">
    <cfRule type="containsText" dxfId="1660" priority="936" operator="containsText" text="NEUTRO">
      <formula>NOT(ISERROR(SEARCH("NEUTRO",AC2)))</formula>
    </cfRule>
  </conditionalFormatting>
  <conditionalFormatting sqref="AC17:AE17">
    <cfRule type="containsText" dxfId="1659" priority="924" operator="containsText" text="NEUTRO">
      <formula>NOT(ISERROR(SEARCH("NEUTRO",AC17)))</formula>
    </cfRule>
  </conditionalFormatting>
  <conditionalFormatting sqref="AC17:AE17">
    <cfRule type="containsText" dxfId="1658" priority="925" operator="containsText" text="BULLISH">
      <formula>NOT(ISERROR(SEARCH("BULLISH",AC17)))</formula>
    </cfRule>
  </conditionalFormatting>
  <conditionalFormatting sqref="AC17:AE17">
    <cfRule type="containsText" dxfId="1657" priority="926" operator="containsText" text="BEARISH">
      <formula>NOT(ISERROR(SEARCH("BEARISH",AC17)))</formula>
    </cfRule>
    <cfRule type="containsBlanks" dxfId="1656" priority="927">
      <formula>LEN(TRIM(AC17))=0</formula>
    </cfRule>
  </conditionalFormatting>
  <conditionalFormatting sqref="AC17">
    <cfRule type="containsText" dxfId="1655" priority="920" operator="containsText" text="NEUTRO">
      <formula>NOT(ISERROR(SEARCH("NEUTRO",AC17)))</formula>
    </cfRule>
    <cfRule type="containsText" dxfId="1654" priority="921" operator="containsText" text="BULLISH">
      <formula>NOT(ISERROR(SEARCH("BULLISH",AC17)))</formula>
    </cfRule>
    <cfRule type="containsText" dxfId="1653" priority="922" operator="containsText" text="BEARISH">
      <formula>NOT(ISERROR(SEARCH("BEARISH",AC17)))</formula>
    </cfRule>
    <cfRule type="containsBlanks" dxfId="1652" priority="923">
      <formula>LEN(TRIM(AC17))=0</formula>
    </cfRule>
  </conditionalFormatting>
  <conditionalFormatting sqref="AC21:AE21">
    <cfRule type="containsText" dxfId="1651" priority="916" operator="containsText" text="NEUTRO">
      <formula>NOT(ISERROR(SEARCH("NEUTRO",AC21)))</formula>
    </cfRule>
  </conditionalFormatting>
  <conditionalFormatting sqref="AC21:AE21">
    <cfRule type="containsText" dxfId="1650" priority="917" operator="containsText" text="BULLISH">
      <formula>NOT(ISERROR(SEARCH("BULLISH",AC21)))</formula>
    </cfRule>
  </conditionalFormatting>
  <conditionalFormatting sqref="AC21:AE21">
    <cfRule type="containsText" dxfId="1649" priority="918" operator="containsText" text="BEARISH">
      <formula>NOT(ISERROR(SEARCH("BEARISH",AC21)))</formula>
    </cfRule>
    <cfRule type="containsBlanks" dxfId="1648" priority="919">
      <formula>LEN(TRIM(AC21))=0</formula>
    </cfRule>
  </conditionalFormatting>
  <conditionalFormatting sqref="AC33:AE33">
    <cfRule type="containsText" dxfId="1647" priority="912" operator="containsText" text="NEUTRO">
      <formula>NOT(ISERROR(SEARCH("NEUTRO",AC33)))</formula>
    </cfRule>
  </conditionalFormatting>
  <conditionalFormatting sqref="AC33:AE33">
    <cfRule type="containsText" dxfId="1646" priority="913" operator="containsText" text="BULLISH">
      <formula>NOT(ISERROR(SEARCH("BULLISH",AC33)))</formula>
    </cfRule>
  </conditionalFormatting>
  <conditionalFormatting sqref="AC33:AE33">
    <cfRule type="containsText" dxfId="1645" priority="914" operator="containsText" text="BEARISH">
      <formula>NOT(ISERROR(SEARCH("BEARISH",AC33)))</formula>
    </cfRule>
    <cfRule type="containsBlanks" dxfId="1644" priority="915">
      <formula>LEN(TRIM(AC33))=0</formula>
    </cfRule>
  </conditionalFormatting>
  <conditionalFormatting sqref="AC38">
    <cfRule type="containsText" dxfId="1643" priority="904" operator="containsText" text="NEUTRO">
      <formula>NOT(ISERROR(SEARCH("NEUTRO",AC38)))</formula>
    </cfRule>
    <cfRule type="containsText" dxfId="1642" priority="905" operator="containsText" text="BULLISH">
      <formula>NOT(ISERROR(SEARCH("BULLISH",AC38)))</formula>
    </cfRule>
    <cfRule type="containsText" dxfId="1641" priority="906" operator="containsText" text="BEARISH">
      <formula>NOT(ISERROR(SEARCH("BEARISH",AC38)))</formula>
    </cfRule>
    <cfRule type="containsBlanks" dxfId="1640" priority="907">
      <formula>LEN(TRIM(AC38))=0</formula>
    </cfRule>
  </conditionalFormatting>
  <conditionalFormatting sqref="AC38:AE38">
    <cfRule type="containsText" dxfId="1639" priority="908" operator="containsText" text="NEUTRO">
      <formula>NOT(ISERROR(SEARCH("NEUTRO",AC38)))</formula>
    </cfRule>
  </conditionalFormatting>
  <conditionalFormatting sqref="AC38:AE38">
    <cfRule type="containsText" dxfId="1638" priority="909" operator="containsText" text="BULLISH">
      <formula>NOT(ISERROR(SEARCH("BULLISH",AC38)))</formula>
    </cfRule>
  </conditionalFormatting>
  <conditionalFormatting sqref="AC38:AE38">
    <cfRule type="containsText" dxfId="1637" priority="910" operator="containsText" text="BEARISH">
      <formula>NOT(ISERROR(SEARCH("BEARISH",AC38)))</formula>
    </cfRule>
    <cfRule type="containsBlanks" dxfId="1636" priority="911">
      <formula>LEN(TRIM(AC38))=0</formula>
    </cfRule>
  </conditionalFormatting>
  <conditionalFormatting sqref="AB6:AB9">
    <cfRule type="cellIs" dxfId="1635" priority="901" operator="equal">
      <formula>"-"</formula>
    </cfRule>
    <cfRule type="cellIs" dxfId="1634" priority="902" operator="lessThan">
      <formula>0</formula>
    </cfRule>
    <cfRule type="cellIs" dxfId="1633" priority="903" operator="greaterThan">
      <formula>0</formula>
    </cfRule>
  </conditionalFormatting>
  <conditionalFormatting sqref="AB13">
    <cfRule type="cellIs" dxfId="1632" priority="899" operator="lessThan">
      <formula>0</formula>
    </cfRule>
    <cfRule type="cellIs" dxfId="1631" priority="900" operator="greaterThan">
      <formula>0</formula>
    </cfRule>
  </conditionalFormatting>
  <conditionalFormatting sqref="AB15:AB16">
    <cfRule type="cellIs" dxfId="1630" priority="897" operator="lessThan">
      <formula>0</formula>
    </cfRule>
    <cfRule type="cellIs" dxfId="1629" priority="898" operator="greaterThan">
      <formula>0</formula>
    </cfRule>
  </conditionalFormatting>
  <conditionalFormatting sqref="AB14">
    <cfRule type="cellIs" dxfId="1628" priority="895" operator="lessThan">
      <formula>0</formula>
    </cfRule>
    <cfRule type="cellIs" dxfId="1627" priority="896" operator="greaterThan">
      <formula>0</formula>
    </cfRule>
  </conditionalFormatting>
  <conditionalFormatting sqref="AB20">
    <cfRule type="cellIs" dxfId="1626" priority="888" operator="equal">
      <formula>"-"</formula>
    </cfRule>
    <cfRule type="cellIs" dxfId="1625" priority="889" operator="lessThan">
      <formula>0</formula>
    </cfRule>
    <cfRule type="cellIs" dxfId="1624" priority="890" operator="greaterThan">
      <formula>0</formula>
    </cfRule>
  </conditionalFormatting>
  <conditionalFormatting sqref="AB27:AB32">
    <cfRule type="cellIs" dxfId="1623" priority="886" operator="lessThan">
      <formula>0</formula>
    </cfRule>
    <cfRule type="cellIs" dxfId="1622" priority="887" operator="greaterThan">
      <formula>0</formula>
    </cfRule>
  </conditionalFormatting>
  <conditionalFormatting sqref="AB27:AB32">
    <cfRule type="cellIs" dxfId="1621" priority="885" operator="equal">
      <formula>"-"</formula>
    </cfRule>
  </conditionalFormatting>
  <conditionalFormatting sqref="AB36">
    <cfRule type="cellIs" dxfId="1620" priority="883" operator="lessThan">
      <formula>0</formula>
    </cfRule>
    <cfRule type="cellIs" dxfId="1619" priority="884" operator="greaterThan">
      <formula>0</formula>
    </cfRule>
  </conditionalFormatting>
  <conditionalFormatting sqref="AB36">
    <cfRule type="cellIs" dxfId="1618" priority="882" operator="equal">
      <formula>"-"</formula>
    </cfRule>
  </conditionalFormatting>
  <conditionalFormatting sqref="AB37">
    <cfRule type="cellIs" dxfId="1617" priority="880" operator="lessThan">
      <formula>0</formula>
    </cfRule>
    <cfRule type="cellIs" dxfId="1616" priority="881" operator="greaterThan">
      <formula>0</formula>
    </cfRule>
  </conditionalFormatting>
  <conditionalFormatting sqref="AB37">
    <cfRule type="cellIs" dxfId="1615" priority="879" operator="equal">
      <formula>"-"</formula>
    </cfRule>
  </conditionalFormatting>
  <conditionalFormatting sqref="AB11">
    <cfRule type="cellIs" dxfId="1614" priority="876" operator="equal">
      <formula>"-"</formula>
    </cfRule>
    <cfRule type="cellIs" dxfId="1613" priority="877" operator="lessThan">
      <formula>0</formula>
    </cfRule>
    <cfRule type="cellIs" dxfId="1612" priority="878" operator="greaterThan">
      <formula>0</formula>
    </cfRule>
  </conditionalFormatting>
  <conditionalFormatting sqref="AB3:AB5">
    <cfRule type="cellIs" dxfId="1611" priority="873" operator="equal">
      <formula>"-"</formula>
    </cfRule>
    <cfRule type="cellIs" dxfId="1610" priority="874" operator="lessThan">
      <formula>0</formula>
    </cfRule>
    <cfRule type="cellIs" dxfId="1609" priority="875" operator="greaterThan">
      <formula>0</formula>
    </cfRule>
  </conditionalFormatting>
  <conditionalFormatting sqref="AB22:AB26">
    <cfRule type="cellIs" dxfId="1608" priority="871" operator="lessThan">
      <formula>0</formula>
    </cfRule>
    <cfRule type="cellIs" dxfId="1607" priority="872" operator="greaterThan">
      <formula>0</formula>
    </cfRule>
  </conditionalFormatting>
  <conditionalFormatting sqref="AB22:AB26">
    <cfRule type="cellIs" dxfId="1606" priority="870" operator="equal">
      <formula>"-"</formula>
    </cfRule>
  </conditionalFormatting>
  <conditionalFormatting sqref="AB39:AB42">
    <cfRule type="cellIs" dxfId="1605" priority="867" operator="equal">
      <formula>"-"</formula>
    </cfRule>
    <cfRule type="cellIs" dxfId="1604" priority="868" operator="lessThan">
      <formula>0</formula>
    </cfRule>
    <cfRule type="cellIs" dxfId="1603" priority="869" operator="greaterThan">
      <formula>0</formula>
    </cfRule>
  </conditionalFormatting>
  <conditionalFormatting sqref="AB34:AB35">
    <cfRule type="cellIs" dxfId="1602" priority="865" operator="lessThan">
      <formula>0</formula>
    </cfRule>
    <cfRule type="cellIs" dxfId="1601" priority="866" operator="greaterThan">
      <formula>0</formula>
    </cfRule>
  </conditionalFormatting>
  <conditionalFormatting sqref="AB34:AB35">
    <cfRule type="cellIs" dxfId="1600" priority="864" operator="equal">
      <formula>"-"</formula>
    </cfRule>
  </conditionalFormatting>
  <conditionalFormatting sqref="AB13:AB15">
    <cfRule type="cellIs" dxfId="1599" priority="894" operator="equal">
      <formula>"-"</formula>
    </cfRule>
  </conditionalFormatting>
  <conditionalFormatting sqref="AB18:AB19">
    <cfRule type="cellIs" dxfId="1598" priority="891" operator="equal">
      <formula>"-"</formula>
    </cfRule>
  </conditionalFormatting>
  <conditionalFormatting sqref="AB18:AB20">
    <cfRule type="cellIs" dxfId="1597" priority="892" operator="lessThan">
      <formula>0</formula>
    </cfRule>
    <cfRule type="cellIs" dxfId="1596" priority="893" operator="greaterThan">
      <formula>0</formula>
    </cfRule>
  </conditionalFormatting>
  <conditionalFormatting sqref="Z12:AB12">
    <cfRule type="containsText" dxfId="1595" priority="851" operator="containsText" text="NEUTRO">
      <formula>NOT(ISERROR(SEARCH("NEUTRO",Z12)))</formula>
    </cfRule>
  </conditionalFormatting>
  <conditionalFormatting sqref="Z12:AB12">
    <cfRule type="containsText" dxfId="1594" priority="852" operator="containsText" text="BULLISH">
      <formula>NOT(ISERROR(SEARCH("BULLISH",Z12)))</formula>
    </cfRule>
  </conditionalFormatting>
  <conditionalFormatting sqref="Z12:AB12">
    <cfRule type="containsText" dxfId="1593" priority="853" operator="containsText" text="BEARISH">
      <formula>NOT(ISERROR(SEARCH("BEARISH",Z12)))</formula>
    </cfRule>
    <cfRule type="containsBlanks" dxfId="1592" priority="854">
      <formula>LEN(TRIM(Z12))=0</formula>
    </cfRule>
  </conditionalFormatting>
  <conditionalFormatting sqref="Z10:AB10">
    <cfRule type="containsText" dxfId="1591" priority="855" operator="containsText" text="NEUTRO">
      <formula>NOT(ISERROR(SEARCH("NEUTRO",Z10)))</formula>
    </cfRule>
  </conditionalFormatting>
  <conditionalFormatting sqref="Z10:AB10">
    <cfRule type="containsText" dxfId="1590" priority="856" operator="containsText" text="BULLISH">
      <formula>NOT(ISERROR(SEARCH("BULLISH",Z10)))</formula>
    </cfRule>
  </conditionalFormatting>
  <conditionalFormatting sqref="Z10:AB10">
    <cfRule type="containsText" dxfId="1589" priority="857" operator="containsText" text="BEARISH">
      <formula>NOT(ISERROR(SEARCH("BEARISH",Z10)))</formula>
    </cfRule>
    <cfRule type="containsBlanks" dxfId="1588" priority="858">
      <formula>LEN(TRIM(Z10))=0</formula>
    </cfRule>
  </conditionalFormatting>
  <conditionalFormatting sqref="Z2:AB2">
    <cfRule type="containsText" dxfId="1587" priority="860" operator="containsText" text="BULLISH">
      <formula>NOT(ISERROR(SEARCH("BULLISH",Z2)))</formula>
    </cfRule>
  </conditionalFormatting>
  <conditionalFormatting sqref="Z2:AB2">
    <cfRule type="containsText" dxfId="1586" priority="861" operator="containsText" text="BEARISH">
      <formula>NOT(ISERROR(SEARCH("BEARISH",Z2)))</formula>
    </cfRule>
    <cfRule type="containsBlanks" dxfId="1585" priority="862">
      <formula>LEN(TRIM(Z2))=0</formula>
    </cfRule>
  </conditionalFormatting>
  <conditionalFormatting sqref="Z2">
    <cfRule type="containsText" dxfId="1584" priority="859" operator="containsText" text="NEUTRO">
      <formula>NOT(ISERROR(SEARCH("NEUTRO",Z2)))</formula>
    </cfRule>
  </conditionalFormatting>
  <conditionalFormatting sqref="Z17:AB17">
    <cfRule type="containsText" dxfId="1583" priority="847" operator="containsText" text="NEUTRO">
      <formula>NOT(ISERROR(SEARCH("NEUTRO",Z17)))</formula>
    </cfRule>
  </conditionalFormatting>
  <conditionalFormatting sqref="Z17:AB17">
    <cfRule type="containsText" dxfId="1582" priority="848" operator="containsText" text="BULLISH">
      <formula>NOT(ISERROR(SEARCH("BULLISH",Z17)))</formula>
    </cfRule>
  </conditionalFormatting>
  <conditionalFormatting sqref="Z17:AB17">
    <cfRule type="containsText" dxfId="1581" priority="849" operator="containsText" text="BEARISH">
      <formula>NOT(ISERROR(SEARCH("BEARISH",Z17)))</formula>
    </cfRule>
    <cfRule type="containsBlanks" dxfId="1580" priority="850">
      <formula>LEN(TRIM(Z17))=0</formula>
    </cfRule>
  </conditionalFormatting>
  <conditionalFormatting sqref="Z17">
    <cfRule type="containsText" dxfId="1579" priority="843" operator="containsText" text="NEUTRO">
      <formula>NOT(ISERROR(SEARCH("NEUTRO",Z17)))</formula>
    </cfRule>
    <cfRule type="containsText" dxfId="1578" priority="844" operator="containsText" text="BULLISH">
      <formula>NOT(ISERROR(SEARCH("BULLISH",Z17)))</formula>
    </cfRule>
    <cfRule type="containsText" dxfId="1577" priority="845" operator="containsText" text="BEARISH">
      <formula>NOT(ISERROR(SEARCH("BEARISH",Z17)))</formula>
    </cfRule>
    <cfRule type="containsBlanks" dxfId="1576" priority="846">
      <formula>LEN(TRIM(Z17))=0</formula>
    </cfRule>
  </conditionalFormatting>
  <conditionalFormatting sqref="Z21:AB21">
    <cfRule type="containsText" dxfId="1575" priority="839" operator="containsText" text="NEUTRO">
      <formula>NOT(ISERROR(SEARCH("NEUTRO",Z21)))</formula>
    </cfRule>
  </conditionalFormatting>
  <conditionalFormatting sqref="Z21:AB21">
    <cfRule type="containsText" dxfId="1574" priority="840" operator="containsText" text="BULLISH">
      <formula>NOT(ISERROR(SEARCH("BULLISH",Z21)))</formula>
    </cfRule>
  </conditionalFormatting>
  <conditionalFormatting sqref="Z21:AB21">
    <cfRule type="containsText" dxfId="1573" priority="841" operator="containsText" text="BEARISH">
      <formula>NOT(ISERROR(SEARCH("BEARISH",Z21)))</formula>
    </cfRule>
    <cfRule type="containsBlanks" dxfId="1572" priority="842">
      <formula>LEN(TRIM(Z21))=0</formula>
    </cfRule>
  </conditionalFormatting>
  <conditionalFormatting sqref="Z33:AB33">
    <cfRule type="containsText" dxfId="1571" priority="835" operator="containsText" text="NEUTRO">
      <formula>NOT(ISERROR(SEARCH("NEUTRO",Z33)))</formula>
    </cfRule>
  </conditionalFormatting>
  <conditionalFormatting sqref="Z33:AB33">
    <cfRule type="containsText" dxfId="1570" priority="836" operator="containsText" text="BULLISH">
      <formula>NOT(ISERROR(SEARCH("BULLISH",Z33)))</formula>
    </cfRule>
  </conditionalFormatting>
  <conditionalFormatting sqref="Z33:AB33">
    <cfRule type="containsText" dxfId="1569" priority="837" operator="containsText" text="BEARISH">
      <formula>NOT(ISERROR(SEARCH("BEARISH",Z33)))</formula>
    </cfRule>
    <cfRule type="containsBlanks" dxfId="1568" priority="838">
      <formula>LEN(TRIM(Z33))=0</formula>
    </cfRule>
  </conditionalFormatting>
  <conditionalFormatting sqref="Z38">
    <cfRule type="containsText" dxfId="1567" priority="827" operator="containsText" text="NEUTRO">
      <formula>NOT(ISERROR(SEARCH("NEUTRO",Z38)))</formula>
    </cfRule>
    <cfRule type="containsText" dxfId="1566" priority="828" operator="containsText" text="BULLISH">
      <formula>NOT(ISERROR(SEARCH("BULLISH",Z38)))</formula>
    </cfRule>
    <cfRule type="containsText" dxfId="1565" priority="829" operator="containsText" text="BEARISH">
      <formula>NOT(ISERROR(SEARCH("BEARISH",Z38)))</formula>
    </cfRule>
    <cfRule type="containsBlanks" dxfId="1564" priority="830">
      <formula>LEN(TRIM(Z38))=0</formula>
    </cfRule>
  </conditionalFormatting>
  <conditionalFormatting sqref="Z38:AB38">
    <cfRule type="containsText" dxfId="1563" priority="831" operator="containsText" text="NEUTRO">
      <formula>NOT(ISERROR(SEARCH("NEUTRO",Z38)))</formula>
    </cfRule>
  </conditionalFormatting>
  <conditionalFormatting sqref="Z38:AB38">
    <cfRule type="containsText" dxfId="1562" priority="832" operator="containsText" text="BULLISH">
      <formula>NOT(ISERROR(SEARCH("BULLISH",Z38)))</formula>
    </cfRule>
  </conditionalFormatting>
  <conditionalFormatting sqref="Z38:AB38">
    <cfRule type="containsText" dxfId="1561" priority="833" operator="containsText" text="BEARISH">
      <formula>NOT(ISERROR(SEARCH("BEARISH",Z38)))</formula>
    </cfRule>
    <cfRule type="containsBlanks" dxfId="1560" priority="834">
      <formula>LEN(TRIM(Z38))=0</formula>
    </cfRule>
  </conditionalFormatting>
  <conditionalFormatting sqref="Y6:Y9">
    <cfRule type="cellIs" dxfId="1559" priority="824" operator="equal">
      <formula>"-"</formula>
    </cfRule>
    <cfRule type="cellIs" dxfId="1558" priority="825" operator="lessThan">
      <formula>0</formula>
    </cfRule>
    <cfRule type="cellIs" dxfId="1557" priority="826" operator="greaterThan">
      <formula>0</formula>
    </cfRule>
  </conditionalFormatting>
  <conditionalFormatting sqref="Y13">
    <cfRule type="cellIs" dxfId="1556" priority="822" operator="lessThan">
      <formula>0</formula>
    </cfRule>
    <cfRule type="cellIs" dxfId="1555" priority="823" operator="greaterThan">
      <formula>0</formula>
    </cfRule>
  </conditionalFormatting>
  <conditionalFormatting sqref="Y15:Y16">
    <cfRule type="cellIs" dxfId="1554" priority="820" operator="lessThan">
      <formula>0</formula>
    </cfRule>
    <cfRule type="cellIs" dxfId="1553" priority="821" operator="greaterThan">
      <formula>0</formula>
    </cfRule>
  </conditionalFormatting>
  <conditionalFormatting sqref="Y14">
    <cfRule type="cellIs" dxfId="1552" priority="818" operator="lessThan">
      <formula>0</formula>
    </cfRule>
    <cfRule type="cellIs" dxfId="1551" priority="819" operator="greaterThan">
      <formula>0</formula>
    </cfRule>
  </conditionalFormatting>
  <conditionalFormatting sqref="Y20">
    <cfRule type="cellIs" dxfId="1550" priority="811" operator="equal">
      <formula>"-"</formula>
    </cfRule>
    <cfRule type="cellIs" dxfId="1549" priority="812" operator="lessThan">
      <formula>0</formula>
    </cfRule>
    <cfRule type="cellIs" dxfId="1548" priority="813" operator="greaterThan">
      <formula>0</formula>
    </cfRule>
  </conditionalFormatting>
  <conditionalFormatting sqref="Y27:Y32">
    <cfRule type="cellIs" dxfId="1547" priority="809" operator="lessThan">
      <formula>0</formula>
    </cfRule>
    <cfRule type="cellIs" dxfId="1546" priority="810" operator="greaterThan">
      <formula>0</formula>
    </cfRule>
  </conditionalFormatting>
  <conditionalFormatting sqref="Y27:Y32">
    <cfRule type="cellIs" dxfId="1545" priority="808" operator="equal">
      <formula>"-"</formula>
    </cfRule>
  </conditionalFormatting>
  <conditionalFormatting sqref="Y22:Y26">
    <cfRule type="cellIs" dxfId="1544" priority="794" operator="lessThan">
      <formula>0</formula>
    </cfRule>
    <cfRule type="cellIs" dxfId="1543" priority="795" operator="greaterThan">
      <formula>0</formula>
    </cfRule>
  </conditionalFormatting>
  <conditionalFormatting sqref="Y11">
    <cfRule type="cellIs" dxfId="1542" priority="799" operator="equal">
      <formula>"-"</formula>
    </cfRule>
    <cfRule type="cellIs" dxfId="1541" priority="800" operator="lessThan">
      <formula>0</formula>
    </cfRule>
    <cfRule type="cellIs" dxfId="1540" priority="801" operator="greaterThan">
      <formula>0</formula>
    </cfRule>
  </conditionalFormatting>
  <conditionalFormatting sqref="Y3:Y5">
    <cfRule type="cellIs" dxfId="1539" priority="796" operator="equal">
      <formula>"-"</formula>
    </cfRule>
    <cfRule type="cellIs" dxfId="1538" priority="797" operator="lessThan">
      <formula>0</formula>
    </cfRule>
    <cfRule type="cellIs" dxfId="1537" priority="798" operator="greaterThan">
      <formula>0</formula>
    </cfRule>
  </conditionalFormatting>
  <conditionalFormatting sqref="Y22:Y26">
    <cfRule type="cellIs" dxfId="1536" priority="793" operator="equal">
      <formula>"-"</formula>
    </cfRule>
  </conditionalFormatting>
  <conditionalFormatting sqref="Y39:Y42">
    <cfRule type="cellIs" dxfId="1535" priority="790" operator="equal">
      <formula>"-"</formula>
    </cfRule>
    <cfRule type="cellIs" dxfId="1534" priority="791" operator="lessThan">
      <formula>0</formula>
    </cfRule>
    <cfRule type="cellIs" dxfId="1533" priority="792" operator="greaterThan">
      <formula>0</formula>
    </cfRule>
  </conditionalFormatting>
  <conditionalFormatting sqref="S18:S20">
    <cfRule type="cellIs" dxfId="1532" priority="417" operator="lessThan">
      <formula>0</formula>
    </cfRule>
    <cfRule type="cellIs" dxfId="1531" priority="418" operator="greaterThan">
      <formula>0</formula>
    </cfRule>
  </conditionalFormatting>
  <conditionalFormatting sqref="S18:S19">
    <cfRule type="cellIs" dxfId="1530" priority="416" operator="equal">
      <formula>"-"</formula>
    </cfRule>
  </conditionalFormatting>
  <conditionalFormatting sqref="Y13:Y15">
    <cfRule type="cellIs" dxfId="1529" priority="817" operator="equal">
      <formula>"-"</formula>
    </cfRule>
  </conditionalFormatting>
  <conditionalFormatting sqref="Y18:Y19">
    <cfRule type="cellIs" dxfId="1528" priority="814" operator="equal">
      <formula>"-"</formula>
    </cfRule>
  </conditionalFormatting>
  <conditionalFormatting sqref="Y18:Y20">
    <cfRule type="cellIs" dxfId="1527" priority="815" operator="lessThan">
      <formula>0</formula>
    </cfRule>
    <cfRule type="cellIs" dxfId="1526" priority="816" operator="greaterThan">
      <formula>0</formula>
    </cfRule>
  </conditionalFormatting>
  <conditionalFormatting sqref="W12:Y12">
    <cfRule type="containsText" dxfId="1525" priority="747" operator="containsText" text="NEUTRO">
      <formula>NOT(ISERROR(SEARCH("NEUTRO",W12)))</formula>
    </cfRule>
  </conditionalFormatting>
  <conditionalFormatting sqref="W12:Y12">
    <cfRule type="containsText" dxfId="1524" priority="748" operator="containsText" text="BULLISH">
      <formula>NOT(ISERROR(SEARCH("BULLISH",W12)))</formula>
    </cfRule>
  </conditionalFormatting>
  <conditionalFormatting sqref="W12:Y12">
    <cfRule type="containsText" dxfId="1523" priority="749" operator="containsText" text="BEARISH">
      <formula>NOT(ISERROR(SEARCH("BEARISH",W12)))</formula>
    </cfRule>
    <cfRule type="containsBlanks" dxfId="1522" priority="750">
      <formula>LEN(TRIM(W12))=0</formula>
    </cfRule>
  </conditionalFormatting>
  <conditionalFormatting sqref="W10:Y10">
    <cfRule type="containsText" dxfId="1521" priority="751" operator="containsText" text="NEUTRO">
      <formula>NOT(ISERROR(SEARCH("NEUTRO",W10)))</formula>
    </cfRule>
  </conditionalFormatting>
  <conditionalFormatting sqref="W10:Y10">
    <cfRule type="containsText" dxfId="1520" priority="752" operator="containsText" text="BULLISH">
      <formula>NOT(ISERROR(SEARCH("BULLISH",W10)))</formula>
    </cfRule>
  </conditionalFormatting>
  <conditionalFormatting sqref="W10:Y10">
    <cfRule type="containsText" dxfId="1519" priority="753" operator="containsText" text="BEARISH">
      <formula>NOT(ISERROR(SEARCH("BEARISH",W10)))</formula>
    </cfRule>
    <cfRule type="containsBlanks" dxfId="1518" priority="754">
      <formula>LEN(TRIM(W10))=0</formula>
    </cfRule>
  </conditionalFormatting>
  <conditionalFormatting sqref="W2:Y2">
    <cfRule type="containsText" dxfId="1517" priority="756" operator="containsText" text="BULLISH">
      <formula>NOT(ISERROR(SEARCH("BULLISH",W2)))</formula>
    </cfRule>
  </conditionalFormatting>
  <conditionalFormatting sqref="W2:Y2">
    <cfRule type="containsText" dxfId="1516" priority="757" operator="containsText" text="BEARISH">
      <formula>NOT(ISERROR(SEARCH("BEARISH",W2)))</formula>
    </cfRule>
    <cfRule type="containsBlanks" dxfId="1515" priority="758">
      <formula>LEN(TRIM(W2))=0</formula>
    </cfRule>
  </conditionalFormatting>
  <conditionalFormatting sqref="W2">
    <cfRule type="containsText" dxfId="1514" priority="755" operator="containsText" text="NEUTRO">
      <formula>NOT(ISERROR(SEARCH("NEUTRO",W2)))</formula>
    </cfRule>
  </conditionalFormatting>
  <conditionalFormatting sqref="W17:Y17">
    <cfRule type="containsText" dxfId="1513" priority="743" operator="containsText" text="NEUTRO">
      <formula>NOT(ISERROR(SEARCH("NEUTRO",W17)))</formula>
    </cfRule>
  </conditionalFormatting>
  <conditionalFormatting sqref="W17:Y17">
    <cfRule type="containsText" dxfId="1512" priority="744" operator="containsText" text="BULLISH">
      <formula>NOT(ISERROR(SEARCH("BULLISH",W17)))</formula>
    </cfRule>
  </conditionalFormatting>
  <conditionalFormatting sqref="W17:Y17">
    <cfRule type="containsText" dxfId="1511" priority="745" operator="containsText" text="BEARISH">
      <formula>NOT(ISERROR(SEARCH("BEARISH",W17)))</formula>
    </cfRule>
    <cfRule type="containsBlanks" dxfId="1510" priority="746">
      <formula>LEN(TRIM(W17))=0</formula>
    </cfRule>
  </conditionalFormatting>
  <conditionalFormatting sqref="W17">
    <cfRule type="containsText" dxfId="1509" priority="739" operator="containsText" text="NEUTRO">
      <formula>NOT(ISERROR(SEARCH("NEUTRO",W17)))</formula>
    </cfRule>
    <cfRule type="containsText" dxfId="1508" priority="740" operator="containsText" text="BULLISH">
      <formula>NOT(ISERROR(SEARCH("BULLISH",W17)))</formula>
    </cfRule>
    <cfRule type="containsText" dxfId="1507" priority="741" operator="containsText" text="BEARISH">
      <formula>NOT(ISERROR(SEARCH("BEARISH",W17)))</formula>
    </cfRule>
    <cfRule type="containsBlanks" dxfId="1506" priority="742">
      <formula>LEN(TRIM(W17))=0</formula>
    </cfRule>
  </conditionalFormatting>
  <conditionalFormatting sqref="W21:Y21">
    <cfRule type="containsText" dxfId="1505" priority="735" operator="containsText" text="NEUTRO">
      <formula>NOT(ISERROR(SEARCH("NEUTRO",W21)))</formula>
    </cfRule>
  </conditionalFormatting>
  <conditionalFormatting sqref="W21:Y21">
    <cfRule type="containsText" dxfId="1504" priority="736" operator="containsText" text="BULLISH">
      <formula>NOT(ISERROR(SEARCH("BULLISH",W21)))</formula>
    </cfRule>
  </conditionalFormatting>
  <conditionalFormatting sqref="W21:Y21">
    <cfRule type="containsText" dxfId="1503" priority="737" operator="containsText" text="BEARISH">
      <formula>NOT(ISERROR(SEARCH("BEARISH",W21)))</formula>
    </cfRule>
    <cfRule type="containsBlanks" dxfId="1502" priority="738">
      <formula>LEN(TRIM(W21))=0</formula>
    </cfRule>
  </conditionalFormatting>
  <conditionalFormatting sqref="W33:Y33">
    <cfRule type="containsText" dxfId="1501" priority="731" operator="containsText" text="NEUTRO">
      <formula>NOT(ISERROR(SEARCH("NEUTRO",W33)))</formula>
    </cfRule>
  </conditionalFormatting>
  <conditionalFormatting sqref="W33:Y33">
    <cfRule type="containsText" dxfId="1500" priority="732" operator="containsText" text="BULLISH">
      <formula>NOT(ISERROR(SEARCH("BULLISH",W33)))</formula>
    </cfRule>
  </conditionalFormatting>
  <conditionalFormatting sqref="W33:Y33">
    <cfRule type="containsText" dxfId="1499" priority="733" operator="containsText" text="BEARISH">
      <formula>NOT(ISERROR(SEARCH("BEARISH",W33)))</formula>
    </cfRule>
    <cfRule type="containsBlanks" dxfId="1498" priority="734">
      <formula>LEN(TRIM(W33))=0</formula>
    </cfRule>
  </conditionalFormatting>
  <conditionalFormatting sqref="W38">
    <cfRule type="containsText" dxfId="1497" priority="723" operator="containsText" text="NEUTRO">
      <formula>NOT(ISERROR(SEARCH("NEUTRO",W38)))</formula>
    </cfRule>
    <cfRule type="containsText" dxfId="1496" priority="724" operator="containsText" text="BULLISH">
      <formula>NOT(ISERROR(SEARCH("BULLISH",W38)))</formula>
    </cfRule>
    <cfRule type="containsText" dxfId="1495" priority="725" operator="containsText" text="BEARISH">
      <formula>NOT(ISERROR(SEARCH("BEARISH",W38)))</formula>
    </cfRule>
    <cfRule type="containsBlanks" dxfId="1494" priority="726">
      <formula>LEN(TRIM(W38))=0</formula>
    </cfRule>
  </conditionalFormatting>
  <conditionalFormatting sqref="W38:Y38">
    <cfRule type="containsText" dxfId="1493" priority="727" operator="containsText" text="NEUTRO">
      <formula>NOT(ISERROR(SEARCH("NEUTRO",W38)))</formula>
    </cfRule>
  </conditionalFormatting>
  <conditionalFormatting sqref="W38:Y38">
    <cfRule type="containsText" dxfId="1492" priority="728" operator="containsText" text="BULLISH">
      <formula>NOT(ISERROR(SEARCH("BULLISH",W38)))</formula>
    </cfRule>
  </conditionalFormatting>
  <conditionalFormatting sqref="W38:Y38">
    <cfRule type="containsText" dxfId="1491" priority="729" operator="containsText" text="BEARISH">
      <formula>NOT(ISERROR(SEARCH("BEARISH",W38)))</formula>
    </cfRule>
    <cfRule type="containsBlanks" dxfId="1490" priority="730">
      <formula>LEN(TRIM(W38))=0</formula>
    </cfRule>
  </conditionalFormatting>
  <conditionalFormatting sqref="Y36">
    <cfRule type="cellIs" dxfId="1489" priority="721" operator="lessThan">
      <formula>0</formula>
    </cfRule>
    <cfRule type="cellIs" dxfId="1488" priority="722" operator="greaterThan">
      <formula>0</formula>
    </cfRule>
  </conditionalFormatting>
  <conditionalFormatting sqref="Y36">
    <cfRule type="cellIs" dxfId="1487" priority="720" operator="equal">
      <formula>"-"</formula>
    </cfRule>
  </conditionalFormatting>
  <conditionalFormatting sqref="Y37">
    <cfRule type="cellIs" dxfId="1486" priority="718" operator="lessThan">
      <formula>0</formula>
    </cfRule>
    <cfRule type="cellIs" dxfId="1485" priority="719" operator="greaterThan">
      <formula>0</formula>
    </cfRule>
  </conditionalFormatting>
  <conditionalFormatting sqref="Y37">
    <cfRule type="cellIs" dxfId="1484" priority="717" operator="equal">
      <formula>"-"</formula>
    </cfRule>
  </conditionalFormatting>
  <conditionalFormatting sqref="Y34:Y35">
    <cfRule type="cellIs" dxfId="1483" priority="715" operator="lessThan">
      <formula>0</formula>
    </cfRule>
    <cfRule type="cellIs" dxfId="1482" priority="716" operator="greaterThan">
      <formula>0</formula>
    </cfRule>
  </conditionalFormatting>
  <conditionalFormatting sqref="Y34:Y35">
    <cfRule type="cellIs" dxfId="1481" priority="714" operator="equal">
      <formula>"-"</formula>
    </cfRule>
  </conditionalFormatting>
  <conditionalFormatting sqref="V15:V16">
    <cfRule type="cellIs" dxfId="1480" priority="499" operator="lessThan">
      <formula>0</formula>
    </cfRule>
    <cfRule type="cellIs" dxfId="1479" priority="500" operator="greaterThan">
      <formula>0</formula>
    </cfRule>
  </conditionalFormatting>
  <conditionalFormatting sqref="S15:S16">
    <cfRule type="cellIs" dxfId="1478" priority="422" operator="lessThan">
      <formula>0</formula>
    </cfRule>
    <cfRule type="cellIs" dxfId="1477" priority="423" operator="greaterThan">
      <formula>0</formula>
    </cfRule>
  </conditionalFormatting>
  <conditionalFormatting sqref="Q2">
    <cfRule type="containsText" dxfId="1476" priority="384" operator="containsText" text="NEUTRO">
      <formula>NOT(ISERROR(SEARCH("NEUTRO",Q2)))</formula>
    </cfRule>
  </conditionalFormatting>
  <conditionalFormatting sqref="Q17">
    <cfRule type="containsText" dxfId="1475" priority="368" operator="containsText" text="NEUTRO">
      <formula>NOT(ISERROR(SEARCH("NEUTRO",Q17)))</formula>
    </cfRule>
    <cfRule type="containsText" dxfId="1474" priority="369" operator="containsText" text="BULLISH">
      <formula>NOT(ISERROR(SEARCH("BULLISH",Q17)))</formula>
    </cfRule>
    <cfRule type="containsText" dxfId="1473" priority="370" operator="containsText" text="BEARISH">
      <formula>NOT(ISERROR(SEARCH("BEARISH",Q17)))</formula>
    </cfRule>
    <cfRule type="containsBlanks" dxfId="1472" priority="371">
      <formula>LEN(TRIM(Q17))=0</formula>
    </cfRule>
  </conditionalFormatting>
  <conditionalFormatting sqref="Q38">
    <cfRule type="containsText" dxfId="1471" priority="352" operator="containsText" text="NEUTRO">
      <formula>NOT(ISERROR(SEARCH("NEUTRO",Q38)))</formula>
    </cfRule>
    <cfRule type="containsText" dxfId="1470" priority="353" operator="containsText" text="BULLISH">
      <formula>NOT(ISERROR(SEARCH("BULLISH",Q38)))</formula>
    </cfRule>
    <cfRule type="containsText" dxfId="1469" priority="354" operator="containsText" text="BEARISH">
      <formula>NOT(ISERROR(SEARCH("BEARISH",Q38)))</formula>
    </cfRule>
    <cfRule type="containsBlanks" dxfId="1468" priority="355">
      <formula>LEN(TRIM(Q38))=0</formula>
    </cfRule>
  </conditionalFormatting>
  <conditionalFormatting sqref="V6:V9">
    <cfRule type="cellIs" dxfId="1467" priority="503" operator="equal">
      <formula>"-"</formula>
    </cfRule>
    <cfRule type="cellIs" dxfId="1466" priority="504" operator="lessThan">
      <formula>0</formula>
    </cfRule>
    <cfRule type="cellIs" dxfId="1465" priority="505" operator="greaterThan">
      <formula>0</formula>
    </cfRule>
  </conditionalFormatting>
  <conditionalFormatting sqref="V13">
    <cfRule type="cellIs" dxfId="1464" priority="501" operator="lessThan">
      <formula>0</formula>
    </cfRule>
    <cfRule type="cellIs" dxfId="1463" priority="502" operator="greaterThan">
      <formula>0</formula>
    </cfRule>
  </conditionalFormatting>
  <conditionalFormatting sqref="V14">
    <cfRule type="cellIs" dxfId="1462" priority="497" operator="lessThan">
      <formula>0</formula>
    </cfRule>
    <cfRule type="cellIs" dxfId="1461" priority="498" operator="greaterThan">
      <formula>0</formula>
    </cfRule>
  </conditionalFormatting>
  <conditionalFormatting sqref="V20">
    <cfRule type="cellIs" dxfId="1460" priority="490" operator="equal">
      <formula>"-"</formula>
    </cfRule>
    <cfRule type="cellIs" dxfId="1459" priority="491" operator="lessThan">
      <formula>0</formula>
    </cfRule>
    <cfRule type="cellIs" dxfId="1458" priority="492" operator="greaterThan">
      <formula>0</formula>
    </cfRule>
  </conditionalFormatting>
  <conditionalFormatting sqref="V27:V32">
    <cfRule type="cellIs" dxfId="1457" priority="488" operator="lessThan">
      <formula>0</formula>
    </cfRule>
    <cfRule type="cellIs" dxfId="1456" priority="489" operator="greaterThan">
      <formula>0</formula>
    </cfRule>
  </conditionalFormatting>
  <conditionalFormatting sqref="V27:V32">
    <cfRule type="cellIs" dxfId="1455" priority="487" operator="equal">
      <formula>"-"</formula>
    </cfRule>
  </conditionalFormatting>
  <conditionalFormatting sqref="V36">
    <cfRule type="cellIs" dxfId="1454" priority="485" operator="lessThan">
      <formula>0</formula>
    </cfRule>
    <cfRule type="cellIs" dxfId="1453" priority="486" operator="greaterThan">
      <formula>0</formula>
    </cfRule>
  </conditionalFormatting>
  <conditionalFormatting sqref="V36">
    <cfRule type="cellIs" dxfId="1452" priority="484" operator="equal">
      <formula>"-"</formula>
    </cfRule>
  </conditionalFormatting>
  <conditionalFormatting sqref="V37">
    <cfRule type="cellIs" dxfId="1451" priority="482" operator="lessThan">
      <formula>0</formula>
    </cfRule>
    <cfRule type="cellIs" dxfId="1450" priority="483" operator="greaterThan">
      <formula>0</formula>
    </cfRule>
  </conditionalFormatting>
  <conditionalFormatting sqref="V37">
    <cfRule type="cellIs" dxfId="1449" priority="481" operator="equal">
      <formula>"-"</formula>
    </cfRule>
  </conditionalFormatting>
  <conditionalFormatting sqref="V11">
    <cfRule type="cellIs" dxfId="1448" priority="478" operator="equal">
      <formula>"-"</formula>
    </cfRule>
    <cfRule type="cellIs" dxfId="1447" priority="479" operator="lessThan">
      <formula>0</formula>
    </cfRule>
    <cfRule type="cellIs" dxfId="1446" priority="480" operator="greaterThan">
      <formula>0</formula>
    </cfRule>
  </conditionalFormatting>
  <conditionalFormatting sqref="V3:V5">
    <cfRule type="cellIs" dxfId="1445" priority="475" operator="equal">
      <formula>"-"</formula>
    </cfRule>
    <cfRule type="cellIs" dxfId="1444" priority="476" operator="lessThan">
      <formula>0</formula>
    </cfRule>
    <cfRule type="cellIs" dxfId="1443" priority="477" operator="greaterThan">
      <formula>0</formula>
    </cfRule>
  </conditionalFormatting>
  <conditionalFormatting sqref="V22:V26">
    <cfRule type="cellIs" dxfId="1442" priority="473" operator="lessThan">
      <formula>0</formula>
    </cfRule>
    <cfRule type="cellIs" dxfId="1441" priority="474" operator="greaterThan">
      <formula>0</formula>
    </cfRule>
  </conditionalFormatting>
  <conditionalFormatting sqref="V22:V26">
    <cfRule type="cellIs" dxfId="1440" priority="472" operator="equal">
      <formula>"-"</formula>
    </cfRule>
  </conditionalFormatting>
  <conditionalFormatting sqref="V39:V42">
    <cfRule type="cellIs" dxfId="1439" priority="469" operator="equal">
      <formula>"-"</formula>
    </cfRule>
    <cfRule type="cellIs" dxfId="1438" priority="470" operator="lessThan">
      <formula>0</formula>
    </cfRule>
    <cfRule type="cellIs" dxfId="1437" priority="471" operator="greaterThan">
      <formula>0</formula>
    </cfRule>
  </conditionalFormatting>
  <conditionalFormatting sqref="V34:V35">
    <cfRule type="cellIs" dxfId="1436" priority="467" operator="lessThan">
      <formula>0</formula>
    </cfRule>
    <cfRule type="cellIs" dxfId="1435" priority="468" operator="greaterThan">
      <formula>0</formula>
    </cfRule>
  </conditionalFormatting>
  <conditionalFormatting sqref="V34:V35">
    <cfRule type="cellIs" dxfId="1434" priority="466" operator="equal">
      <formula>"-"</formula>
    </cfRule>
  </conditionalFormatting>
  <conditionalFormatting sqref="V13:V15">
    <cfRule type="cellIs" dxfId="1433" priority="496" operator="equal">
      <formula>"-"</formula>
    </cfRule>
  </conditionalFormatting>
  <conditionalFormatting sqref="V18:V19">
    <cfRule type="cellIs" dxfId="1432" priority="493" operator="equal">
      <formula>"-"</formula>
    </cfRule>
  </conditionalFormatting>
  <conditionalFormatting sqref="V18:V20">
    <cfRule type="cellIs" dxfId="1431" priority="494" operator="lessThan">
      <formula>0</formula>
    </cfRule>
    <cfRule type="cellIs" dxfId="1430" priority="495" operator="greaterThan">
      <formula>0</formula>
    </cfRule>
  </conditionalFormatting>
  <conditionalFormatting sqref="T12:V12">
    <cfRule type="containsText" dxfId="1429" priority="453" operator="containsText" text="NEUTRO">
      <formula>NOT(ISERROR(SEARCH("NEUTRO",T12)))</formula>
    </cfRule>
  </conditionalFormatting>
  <conditionalFormatting sqref="T12:V12">
    <cfRule type="containsText" dxfId="1428" priority="454" operator="containsText" text="BULLISH">
      <formula>NOT(ISERROR(SEARCH("BULLISH",T12)))</formula>
    </cfRule>
  </conditionalFormatting>
  <conditionalFormatting sqref="T12:V12">
    <cfRule type="containsText" dxfId="1427" priority="455" operator="containsText" text="BEARISH">
      <formula>NOT(ISERROR(SEARCH("BEARISH",T12)))</formula>
    </cfRule>
    <cfRule type="containsBlanks" dxfId="1426" priority="456">
      <formula>LEN(TRIM(T12))=0</formula>
    </cfRule>
  </conditionalFormatting>
  <conditionalFormatting sqref="T10:V10">
    <cfRule type="containsText" dxfId="1425" priority="457" operator="containsText" text="NEUTRO">
      <formula>NOT(ISERROR(SEARCH("NEUTRO",T10)))</formula>
    </cfRule>
  </conditionalFormatting>
  <conditionalFormatting sqref="T10:V10">
    <cfRule type="containsText" dxfId="1424" priority="458" operator="containsText" text="BULLISH">
      <formula>NOT(ISERROR(SEARCH("BULLISH",T10)))</formula>
    </cfRule>
  </conditionalFormatting>
  <conditionalFormatting sqref="T10:V10">
    <cfRule type="containsText" dxfId="1423" priority="459" operator="containsText" text="BEARISH">
      <formula>NOT(ISERROR(SEARCH("BEARISH",T10)))</formula>
    </cfRule>
    <cfRule type="containsBlanks" dxfId="1422" priority="460">
      <formula>LEN(TRIM(T10))=0</formula>
    </cfRule>
  </conditionalFormatting>
  <conditionalFormatting sqref="T2:V2">
    <cfRule type="containsText" dxfId="1421" priority="462" operator="containsText" text="BULLISH">
      <formula>NOT(ISERROR(SEARCH("BULLISH",T2)))</formula>
    </cfRule>
  </conditionalFormatting>
  <conditionalFormatting sqref="T2:V2">
    <cfRule type="containsText" dxfId="1420" priority="463" operator="containsText" text="BEARISH">
      <formula>NOT(ISERROR(SEARCH("BEARISH",T2)))</formula>
    </cfRule>
    <cfRule type="containsBlanks" dxfId="1419" priority="464">
      <formula>LEN(TRIM(T2))=0</formula>
    </cfRule>
  </conditionalFormatting>
  <conditionalFormatting sqref="T2">
    <cfRule type="containsText" dxfId="1418" priority="461" operator="containsText" text="NEUTRO">
      <formula>NOT(ISERROR(SEARCH("NEUTRO",T2)))</formula>
    </cfRule>
  </conditionalFormatting>
  <conditionalFormatting sqref="T17:V17">
    <cfRule type="containsText" dxfId="1417" priority="449" operator="containsText" text="NEUTRO">
      <formula>NOT(ISERROR(SEARCH("NEUTRO",T17)))</formula>
    </cfRule>
  </conditionalFormatting>
  <conditionalFormatting sqref="T17:V17">
    <cfRule type="containsText" dxfId="1416" priority="450" operator="containsText" text="BULLISH">
      <formula>NOT(ISERROR(SEARCH("BULLISH",T17)))</formula>
    </cfRule>
  </conditionalFormatting>
  <conditionalFormatting sqref="T17:V17">
    <cfRule type="containsText" dxfId="1415" priority="451" operator="containsText" text="BEARISH">
      <formula>NOT(ISERROR(SEARCH("BEARISH",T17)))</formula>
    </cfRule>
    <cfRule type="containsBlanks" dxfId="1414" priority="452">
      <formula>LEN(TRIM(T17))=0</formula>
    </cfRule>
  </conditionalFormatting>
  <conditionalFormatting sqref="T17">
    <cfRule type="containsText" dxfId="1413" priority="445" operator="containsText" text="NEUTRO">
      <formula>NOT(ISERROR(SEARCH("NEUTRO",T17)))</formula>
    </cfRule>
    <cfRule type="containsText" dxfId="1412" priority="446" operator="containsText" text="BULLISH">
      <formula>NOT(ISERROR(SEARCH("BULLISH",T17)))</formula>
    </cfRule>
    <cfRule type="containsText" dxfId="1411" priority="447" operator="containsText" text="BEARISH">
      <formula>NOT(ISERROR(SEARCH("BEARISH",T17)))</formula>
    </cfRule>
    <cfRule type="containsBlanks" dxfId="1410" priority="448">
      <formula>LEN(TRIM(T17))=0</formula>
    </cfRule>
  </conditionalFormatting>
  <conditionalFormatting sqref="T21:V21">
    <cfRule type="containsText" dxfId="1409" priority="441" operator="containsText" text="NEUTRO">
      <formula>NOT(ISERROR(SEARCH("NEUTRO",T21)))</formula>
    </cfRule>
  </conditionalFormatting>
  <conditionalFormatting sqref="T21:V21">
    <cfRule type="containsText" dxfId="1408" priority="442" operator="containsText" text="BULLISH">
      <formula>NOT(ISERROR(SEARCH("BULLISH",T21)))</formula>
    </cfRule>
  </conditionalFormatting>
  <conditionalFormatting sqref="T21:V21">
    <cfRule type="containsText" dxfId="1407" priority="443" operator="containsText" text="BEARISH">
      <formula>NOT(ISERROR(SEARCH("BEARISH",T21)))</formula>
    </cfRule>
    <cfRule type="containsBlanks" dxfId="1406" priority="444">
      <formula>LEN(TRIM(T21))=0</formula>
    </cfRule>
  </conditionalFormatting>
  <conditionalFormatting sqref="T33:V33">
    <cfRule type="containsText" dxfId="1405" priority="437" operator="containsText" text="NEUTRO">
      <formula>NOT(ISERROR(SEARCH("NEUTRO",T33)))</formula>
    </cfRule>
  </conditionalFormatting>
  <conditionalFormatting sqref="T33:V33">
    <cfRule type="containsText" dxfId="1404" priority="438" operator="containsText" text="BULLISH">
      <formula>NOT(ISERROR(SEARCH("BULLISH",T33)))</formula>
    </cfRule>
  </conditionalFormatting>
  <conditionalFormatting sqref="T33:V33">
    <cfRule type="containsText" dxfId="1403" priority="439" operator="containsText" text="BEARISH">
      <formula>NOT(ISERROR(SEARCH("BEARISH",T33)))</formula>
    </cfRule>
    <cfRule type="containsBlanks" dxfId="1402" priority="440">
      <formula>LEN(TRIM(T33))=0</formula>
    </cfRule>
  </conditionalFormatting>
  <conditionalFormatting sqref="T38">
    <cfRule type="containsText" dxfId="1401" priority="429" operator="containsText" text="NEUTRO">
      <formula>NOT(ISERROR(SEARCH("NEUTRO",T38)))</formula>
    </cfRule>
    <cfRule type="containsText" dxfId="1400" priority="430" operator="containsText" text="BULLISH">
      <formula>NOT(ISERROR(SEARCH("BULLISH",T38)))</formula>
    </cfRule>
    <cfRule type="containsText" dxfId="1399" priority="431" operator="containsText" text="BEARISH">
      <formula>NOT(ISERROR(SEARCH("BEARISH",T38)))</formula>
    </cfRule>
    <cfRule type="containsBlanks" dxfId="1398" priority="432">
      <formula>LEN(TRIM(T38))=0</formula>
    </cfRule>
  </conditionalFormatting>
  <conditionalFormatting sqref="T38:V38">
    <cfRule type="containsText" dxfId="1397" priority="433" operator="containsText" text="NEUTRO">
      <formula>NOT(ISERROR(SEARCH("NEUTRO",T38)))</formula>
    </cfRule>
  </conditionalFormatting>
  <conditionalFormatting sqref="T38:V38">
    <cfRule type="containsText" dxfId="1396" priority="434" operator="containsText" text="BULLISH">
      <formula>NOT(ISERROR(SEARCH("BULLISH",T38)))</formula>
    </cfRule>
  </conditionalFormatting>
  <conditionalFormatting sqref="T38:V38">
    <cfRule type="containsText" dxfId="1395" priority="435" operator="containsText" text="BEARISH">
      <formula>NOT(ISERROR(SEARCH("BEARISH",T38)))</formula>
    </cfRule>
    <cfRule type="containsBlanks" dxfId="1394" priority="436">
      <formula>LEN(TRIM(T38))=0</formula>
    </cfRule>
  </conditionalFormatting>
  <conditionalFormatting sqref="S6:S9">
    <cfRule type="cellIs" dxfId="1393" priority="426" operator="equal">
      <formula>"-"</formula>
    </cfRule>
    <cfRule type="cellIs" dxfId="1392" priority="427" operator="lessThan">
      <formula>0</formula>
    </cfRule>
    <cfRule type="cellIs" dxfId="1391" priority="428" operator="greaterThan">
      <formula>0</formula>
    </cfRule>
  </conditionalFormatting>
  <conditionalFormatting sqref="S13">
    <cfRule type="cellIs" dxfId="1390" priority="424" operator="lessThan">
      <formula>0</formula>
    </cfRule>
    <cfRule type="cellIs" dxfId="1389" priority="425" operator="greaterThan">
      <formula>0</formula>
    </cfRule>
  </conditionalFormatting>
  <conditionalFormatting sqref="S14">
    <cfRule type="cellIs" dxfId="1388" priority="420" operator="lessThan">
      <formula>0</formula>
    </cfRule>
    <cfRule type="cellIs" dxfId="1387" priority="421" operator="greaterThan">
      <formula>0</formula>
    </cfRule>
  </conditionalFormatting>
  <conditionalFormatting sqref="S20">
    <cfRule type="cellIs" dxfId="1386" priority="413" operator="equal">
      <formula>"-"</formula>
    </cfRule>
    <cfRule type="cellIs" dxfId="1385" priority="414" operator="lessThan">
      <formula>0</formula>
    </cfRule>
    <cfRule type="cellIs" dxfId="1384" priority="415" operator="greaterThan">
      <formula>0</formula>
    </cfRule>
  </conditionalFormatting>
  <conditionalFormatting sqref="S27:S32">
    <cfRule type="cellIs" dxfId="1383" priority="411" operator="lessThan">
      <formula>0</formula>
    </cfRule>
    <cfRule type="cellIs" dxfId="1382" priority="412" operator="greaterThan">
      <formula>0</formula>
    </cfRule>
  </conditionalFormatting>
  <conditionalFormatting sqref="S27:S32">
    <cfRule type="cellIs" dxfId="1381" priority="410" operator="equal">
      <formula>"-"</formula>
    </cfRule>
  </conditionalFormatting>
  <conditionalFormatting sqref="S36">
    <cfRule type="cellIs" dxfId="1380" priority="408" operator="lessThan">
      <formula>0</formula>
    </cfRule>
    <cfRule type="cellIs" dxfId="1379" priority="409" operator="greaterThan">
      <formula>0</formula>
    </cfRule>
  </conditionalFormatting>
  <conditionalFormatting sqref="S36">
    <cfRule type="cellIs" dxfId="1378" priority="407" operator="equal">
      <formula>"-"</formula>
    </cfRule>
  </conditionalFormatting>
  <conditionalFormatting sqref="S37">
    <cfRule type="cellIs" dxfId="1377" priority="405" operator="lessThan">
      <formula>0</formula>
    </cfRule>
    <cfRule type="cellIs" dxfId="1376" priority="406" operator="greaterThan">
      <formula>0</formula>
    </cfRule>
  </conditionalFormatting>
  <conditionalFormatting sqref="S37">
    <cfRule type="cellIs" dxfId="1375" priority="404" operator="equal">
      <formula>"-"</formula>
    </cfRule>
  </conditionalFormatting>
  <conditionalFormatting sqref="S11">
    <cfRule type="cellIs" dxfId="1374" priority="401" operator="equal">
      <formula>"-"</formula>
    </cfRule>
    <cfRule type="cellIs" dxfId="1373" priority="402" operator="lessThan">
      <formula>0</formula>
    </cfRule>
    <cfRule type="cellIs" dxfId="1372" priority="403" operator="greaterThan">
      <formula>0</formula>
    </cfRule>
  </conditionalFormatting>
  <conditionalFormatting sqref="S3:S5">
    <cfRule type="cellIs" dxfId="1371" priority="398" operator="equal">
      <formula>"-"</formula>
    </cfRule>
    <cfRule type="cellIs" dxfId="1370" priority="399" operator="lessThan">
      <formula>0</formula>
    </cfRule>
    <cfRule type="cellIs" dxfId="1369" priority="400" operator="greaterThan">
      <formula>0</formula>
    </cfRule>
  </conditionalFormatting>
  <conditionalFormatting sqref="S22:S26">
    <cfRule type="cellIs" dxfId="1368" priority="396" operator="lessThan">
      <formula>0</formula>
    </cfRule>
    <cfRule type="cellIs" dxfId="1367" priority="397" operator="greaterThan">
      <formula>0</formula>
    </cfRule>
  </conditionalFormatting>
  <conditionalFormatting sqref="S22:S26">
    <cfRule type="cellIs" dxfId="1366" priority="395" operator="equal">
      <formula>"-"</formula>
    </cfRule>
  </conditionalFormatting>
  <conditionalFormatting sqref="S39:S42">
    <cfRule type="cellIs" dxfId="1365" priority="392" operator="equal">
      <formula>"-"</formula>
    </cfRule>
    <cfRule type="cellIs" dxfId="1364" priority="393" operator="lessThan">
      <formula>0</formula>
    </cfRule>
    <cfRule type="cellIs" dxfId="1363" priority="394" operator="greaterThan">
      <formula>0</formula>
    </cfRule>
  </conditionalFormatting>
  <conditionalFormatting sqref="S34:S35">
    <cfRule type="cellIs" dxfId="1362" priority="390" operator="lessThan">
      <formula>0</formula>
    </cfRule>
    <cfRule type="cellIs" dxfId="1361" priority="391" operator="greaterThan">
      <formula>0</formula>
    </cfRule>
  </conditionalFormatting>
  <conditionalFormatting sqref="S34:S35">
    <cfRule type="cellIs" dxfId="1360" priority="389" operator="equal">
      <formula>"-"</formula>
    </cfRule>
  </conditionalFormatting>
  <conditionalFormatting sqref="S13:S15">
    <cfRule type="cellIs" dxfId="1359" priority="419" operator="equal">
      <formula>"-"</formula>
    </cfRule>
  </conditionalFormatting>
  <conditionalFormatting sqref="P18:P20">
    <cfRule type="cellIs" dxfId="1358" priority="340" operator="lessThan">
      <formula>0</formula>
    </cfRule>
    <cfRule type="cellIs" dxfId="1357" priority="341" operator="greaterThan">
      <formula>0</formula>
    </cfRule>
  </conditionalFormatting>
  <conditionalFormatting sqref="P18:P19">
    <cfRule type="cellIs" dxfId="1356" priority="339" operator="equal">
      <formula>"-"</formula>
    </cfRule>
  </conditionalFormatting>
  <conditionalFormatting sqref="P15:P16">
    <cfRule type="cellIs" dxfId="1355" priority="345" operator="lessThan">
      <formula>0</formula>
    </cfRule>
    <cfRule type="cellIs" dxfId="1354" priority="346" operator="greaterThan">
      <formula>0</formula>
    </cfRule>
  </conditionalFormatting>
  <conditionalFormatting sqref="P6:P9">
    <cfRule type="cellIs" dxfId="1353" priority="349" operator="equal">
      <formula>"-"</formula>
    </cfRule>
    <cfRule type="cellIs" dxfId="1352" priority="350" operator="lessThan">
      <formula>0</formula>
    </cfRule>
    <cfRule type="cellIs" dxfId="1351" priority="351" operator="greaterThan">
      <formula>0</formula>
    </cfRule>
  </conditionalFormatting>
  <conditionalFormatting sqref="P13">
    <cfRule type="cellIs" dxfId="1350" priority="347" operator="lessThan">
      <formula>0</formula>
    </cfRule>
    <cfRule type="cellIs" dxfId="1349" priority="348" operator="greaterThan">
      <formula>0</formula>
    </cfRule>
  </conditionalFormatting>
  <conditionalFormatting sqref="P14">
    <cfRule type="cellIs" dxfId="1348" priority="343" operator="lessThan">
      <formula>0</formula>
    </cfRule>
    <cfRule type="cellIs" dxfId="1347" priority="344" operator="greaterThan">
      <formula>0</formula>
    </cfRule>
  </conditionalFormatting>
  <conditionalFormatting sqref="P20">
    <cfRule type="cellIs" dxfId="1346" priority="336" operator="equal">
      <formula>"-"</formula>
    </cfRule>
    <cfRule type="cellIs" dxfId="1345" priority="337" operator="lessThan">
      <formula>0</formula>
    </cfRule>
    <cfRule type="cellIs" dxfId="1344" priority="338" operator="greaterThan">
      <formula>0</formula>
    </cfRule>
  </conditionalFormatting>
  <conditionalFormatting sqref="P27:P32">
    <cfRule type="cellIs" dxfId="1343" priority="334" operator="lessThan">
      <formula>0</formula>
    </cfRule>
    <cfRule type="cellIs" dxfId="1342" priority="335" operator="greaterThan">
      <formula>0</formula>
    </cfRule>
  </conditionalFormatting>
  <conditionalFormatting sqref="P27:P32">
    <cfRule type="cellIs" dxfId="1341" priority="333" operator="equal">
      <formula>"-"</formula>
    </cfRule>
  </conditionalFormatting>
  <conditionalFormatting sqref="P36">
    <cfRule type="cellIs" dxfId="1340" priority="331" operator="lessThan">
      <formula>0</formula>
    </cfRule>
    <cfRule type="cellIs" dxfId="1339" priority="332" operator="greaterThan">
      <formula>0</formula>
    </cfRule>
  </conditionalFormatting>
  <conditionalFormatting sqref="P36">
    <cfRule type="cellIs" dxfId="1338" priority="330" operator="equal">
      <formula>"-"</formula>
    </cfRule>
  </conditionalFormatting>
  <conditionalFormatting sqref="P37">
    <cfRule type="cellIs" dxfId="1337" priority="328" operator="lessThan">
      <formula>0</formula>
    </cfRule>
    <cfRule type="cellIs" dxfId="1336" priority="329" operator="greaterThan">
      <formula>0</formula>
    </cfRule>
  </conditionalFormatting>
  <conditionalFormatting sqref="P37">
    <cfRule type="cellIs" dxfId="1335" priority="327" operator="equal">
      <formula>"-"</formula>
    </cfRule>
  </conditionalFormatting>
  <conditionalFormatting sqref="P11">
    <cfRule type="cellIs" dxfId="1334" priority="324" operator="equal">
      <formula>"-"</formula>
    </cfRule>
    <cfRule type="cellIs" dxfId="1333" priority="325" operator="lessThan">
      <formula>0</formula>
    </cfRule>
    <cfRule type="cellIs" dxfId="1332" priority="326" operator="greaterThan">
      <formula>0</formula>
    </cfRule>
  </conditionalFormatting>
  <conditionalFormatting sqref="P3:P5">
    <cfRule type="cellIs" dxfId="1331" priority="321" operator="equal">
      <formula>"-"</formula>
    </cfRule>
    <cfRule type="cellIs" dxfId="1330" priority="322" operator="lessThan">
      <formula>0</formula>
    </cfRule>
    <cfRule type="cellIs" dxfId="1329" priority="323" operator="greaterThan">
      <formula>0</formula>
    </cfRule>
  </conditionalFormatting>
  <conditionalFormatting sqref="P22:P26">
    <cfRule type="cellIs" dxfId="1328" priority="319" operator="lessThan">
      <formula>0</formula>
    </cfRule>
    <cfRule type="cellIs" dxfId="1327" priority="320" operator="greaterThan">
      <formula>0</formula>
    </cfRule>
  </conditionalFormatting>
  <conditionalFormatting sqref="P22:P26">
    <cfRule type="cellIs" dxfId="1326" priority="318" operator="equal">
      <formula>"-"</formula>
    </cfRule>
  </conditionalFormatting>
  <conditionalFormatting sqref="P39:P42">
    <cfRule type="cellIs" dxfId="1325" priority="315" operator="equal">
      <formula>"-"</formula>
    </cfRule>
    <cfRule type="cellIs" dxfId="1324" priority="316" operator="lessThan">
      <formula>0</formula>
    </cfRule>
    <cfRule type="cellIs" dxfId="1323" priority="317" operator="greaterThan">
      <formula>0</formula>
    </cfRule>
  </conditionalFormatting>
  <conditionalFormatting sqref="P34:P35">
    <cfRule type="cellIs" dxfId="1322" priority="313" operator="lessThan">
      <formula>0</formula>
    </cfRule>
    <cfRule type="cellIs" dxfId="1321" priority="314" operator="greaterThan">
      <formula>0</formula>
    </cfRule>
  </conditionalFormatting>
  <conditionalFormatting sqref="P34:P35">
    <cfRule type="cellIs" dxfId="1320" priority="312" operator="equal">
      <formula>"-"</formula>
    </cfRule>
  </conditionalFormatting>
  <conditionalFormatting sqref="P13:P15">
    <cfRule type="cellIs" dxfId="1319" priority="342" operator="equal">
      <formula>"-"</formula>
    </cfRule>
  </conditionalFormatting>
  <conditionalFormatting sqref="N2">
    <cfRule type="containsText" dxfId="1318" priority="310" operator="containsText" text="NEUTRO">
      <formula>NOT(ISERROR(SEARCH("NEUTRO",N2)))</formula>
    </cfRule>
  </conditionalFormatting>
  <conditionalFormatting sqref="N17">
    <cfRule type="containsText" dxfId="1317" priority="306" operator="containsText" text="NEUTRO">
      <formula>NOT(ISERROR(SEARCH("NEUTRO",N17)))</formula>
    </cfRule>
    <cfRule type="containsText" dxfId="1316" priority="307" operator="containsText" text="BULLISH">
      <formula>NOT(ISERROR(SEARCH("BULLISH",N17)))</formula>
    </cfRule>
    <cfRule type="containsText" dxfId="1315" priority="308" operator="containsText" text="BEARISH">
      <formula>NOT(ISERROR(SEARCH("BEARISH",N17)))</formula>
    </cfRule>
    <cfRule type="containsBlanks" dxfId="1314" priority="309">
      <formula>LEN(TRIM(N17))=0</formula>
    </cfRule>
  </conditionalFormatting>
  <conditionalFormatting sqref="N38">
    <cfRule type="containsText" dxfId="1313" priority="302" operator="containsText" text="NEUTRO">
      <formula>NOT(ISERROR(SEARCH("NEUTRO",N38)))</formula>
    </cfRule>
    <cfRule type="containsText" dxfId="1312" priority="303" operator="containsText" text="BULLISH">
      <formula>NOT(ISERROR(SEARCH("BULLISH",N38)))</formula>
    </cfRule>
    <cfRule type="containsText" dxfId="1311" priority="304" operator="containsText" text="BEARISH">
      <formula>NOT(ISERROR(SEARCH("BEARISH",N38)))</formula>
    </cfRule>
    <cfRule type="containsBlanks" dxfId="1310" priority="305">
      <formula>LEN(TRIM(N38))=0</formula>
    </cfRule>
  </conditionalFormatting>
  <conditionalFormatting sqref="M18:M20">
    <cfRule type="cellIs" dxfId="1309" priority="190" operator="lessThan">
      <formula>0</formula>
    </cfRule>
    <cfRule type="cellIs" dxfId="1308" priority="191" operator="greaterThan">
      <formula>0</formula>
    </cfRule>
  </conditionalFormatting>
  <conditionalFormatting sqref="M18:M19">
    <cfRule type="cellIs" dxfId="1307" priority="189" operator="equal">
      <formula>"-"</formula>
    </cfRule>
  </conditionalFormatting>
  <conditionalFormatting sqref="M15:M16">
    <cfRule type="cellIs" dxfId="1306" priority="195" operator="lessThan">
      <formula>0</formula>
    </cfRule>
    <cfRule type="cellIs" dxfId="1305" priority="196" operator="greaterThan">
      <formula>0</formula>
    </cfRule>
  </conditionalFormatting>
  <conditionalFormatting sqref="M6:M9">
    <cfRule type="cellIs" dxfId="1304" priority="199" operator="equal">
      <formula>"-"</formula>
    </cfRule>
    <cfRule type="cellIs" dxfId="1303" priority="200" operator="lessThan">
      <formula>0</formula>
    </cfRule>
    <cfRule type="cellIs" dxfId="1302" priority="201" operator="greaterThan">
      <formula>0</formula>
    </cfRule>
  </conditionalFormatting>
  <conditionalFormatting sqref="M13">
    <cfRule type="cellIs" dxfId="1301" priority="197" operator="lessThan">
      <formula>0</formula>
    </cfRule>
    <cfRule type="cellIs" dxfId="1300" priority="198" operator="greaterThan">
      <formula>0</formula>
    </cfRule>
  </conditionalFormatting>
  <conditionalFormatting sqref="M14">
    <cfRule type="cellIs" dxfId="1299" priority="193" operator="lessThan">
      <formula>0</formula>
    </cfRule>
    <cfRule type="cellIs" dxfId="1298" priority="194" operator="greaterThan">
      <formula>0</formula>
    </cfRule>
  </conditionalFormatting>
  <conditionalFormatting sqref="M20">
    <cfRule type="cellIs" dxfId="1297" priority="186" operator="equal">
      <formula>"-"</formula>
    </cfRule>
    <cfRule type="cellIs" dxfId="1296" priority="187" operator="lessThan">
      <formula>0</formula>
    </cfRule>
    <cfRule type="cellIs" dxfId="1295" priority="188" operator="greaterThan">
      <formula>0</formula>
    </cfRule>
  </conditionalFormatting>
  <conditionalFormatting sqref="M27:M32">
    <cfRule type="cellIs" dxfId="1294" priority="184" operator="lessThan">
      <formula>0</formula>
    </cfRule>
    <cfRule type="cellIs" dxfId="1293" priority="185" operator="greaterThan">
      <formula>0</formula>
    </cfRule>
  </conditionalFormatting>
  <conditionalFormatting sqref="M27:M32">
    <cfRule type="cellIs" dxfId="1292" priority="183" operator="equal">
      <formula>"-"</formula>
    </cfRule>
  </conditionalFormatting>
  <conditionalFormatting sqref="M36">
    <cfRule type="cellIs" dxfId="1291" priority="181" operator="lessThan">
      <formula>0</formula>
    </cfRule>
    <cfRule type="cellIs" dxfId="1290" priority="182" operator="greaterThan">
      <formula>0</formula>
    </cfRule>
  </conditionalFormatting>
  <conditionalFormatting sqref="M36">
    <cfRule type="cellIs" dxfId="1289" priority="180" operator="equal">
      <formula>"-"</formula>
    </cfRule>
  </conditionalFormatting>
  <conditionalFormatting sqref="M37">
    <cfRule type="cellIs" dxfId="1288" priority="178" operator="lessThan">
      <formula>0</formula>
    </cfRule>
    <cfRule type="cellIs" dxfId="1287" priority="179" operator="greaterThan">
      <formula>0</formula>
    </cfRule>
  </conditionalFormatting>
  <conditionalFormatting sqref="M37">
    <cfRule type="cellIs" dxfId="1286" priority="177" operator="equal">
      <formula>"-"</formula>
    </cfRule>
  </conditionalFormatting>
  <conditionalFormatting sqref="M11">
    <cfRule type="cellIs" dxfId="1285" priority="174" operator="equal">
      <formula>"-"</formula>
    </cfRule>
    <cfRule type="cellIs" dxfId="1284" priority="175" operator="lessThan">
      <formula>0</formula>
    </cfRule>
    <cfRule type="cellIs" dxfId="1283" priority="176" operator="greaterThan">
      <formula>0</formula>
    </cfRule>
  </conditionalFormatting>
  <conditionalFormatting sqref="M3:M5">
    <cfRule type="cellIs" dxfId="1282" priority="171" operator="equal">
      <formula>"-"</formula>
    </cfRule>
    <cfRule type="cellIs" dxfId="1281" priority="172" operator="lessThan">
      <formula>0</formula>
    </cfRule>
    <cfRule type="cellIs" dxfId="1280" priority="173" operator="greaterThan">
      <formula>0</formula>
    </cfRule>
  </conditionalFormatting>
  <conditionalFormatting sqref="M22:M26">
    <cfRule type="cellIs" dxfId="1279" priority="169" operator="lessThan">
      <formula>0</formula>
    </cfRule>
    <cfRule type="cellIs" dxfId="1278" priority="170" operator="greaterThan">
      <formula>0</formula>
    </cfRule>
  </conditionalFormatting>
  <conditionalFormatting sqref="M22:M26">
    <cfRule type="cellIs" dxfId="1277" priority="168" operator="equal">
      <formula>"-"</formula>
    </cfRule>
  </conditionalFormatting>
  <conditionalFormatting sqref="M39:M42">
    <cfRule type="cellIs" dxfId="1276" priority="165" operator="equal">
      <formula>"-"</formula>
    </cfRule>
    <cfRule type="cellIs" dxfId="1275" priority="166" operator="lessThan">
      <formula>0</formula>
    </cfRule>
    <cfRule type="cellIs" dxfId="1274" priority="167" operator="greaterThan">
      <formula>0</formula>
    </cfRule>
  </conditionalFormatting>
  <conditionalFormatting sqref="M34:M35">
    <cfRule type="cellIs" dxfId="1273" priority="163" operator="lessThan">
      <formula>0</formula>
    </cfRule>
    <cfRule type="cellIs" dxfId="1272" priority="164" operator="greaterThan">
      <formula>0</formula>
    </cfRule>
  </conditionalFormatting>
  <conditionalFormatting sqref="M34:M35">
    <cfRule type="cellIs" dxfId="1271" priority="162" operator="equal">
      <formula>"-"</formula>
    </cfRule>
  </conditionalFormatting>
  <conditionalFormatting sqref="M13:M15">
    <cfRule type="cellIs" dxfId="1270" priority="192" operator="equal">
      <formula>"-"</formula>
    </cfRule>
  </conditionalFormatting>
  <conditionalFormatting sqref="K2">
    <cfRule type="containsText" dxfId="1269" priority="160" operator="containsText" text="NEUTRO">
      <formula>NOT(ISERROR(SEARCH("NEUTRO",K2)))</formula>
    </cfRule>
  </conditionalFormatting>
  <conditionalFormatting sqref="K17">
    <cfRule type="containsText" dxfId="1268" priority="156" operator="containsText" text="NEUTRO">
      <formula>NOT(ISERROR(SEARCH("NEUTRO",K17)))</formula>
    </cfRule>
    <cfRule type="containsText" dxfId="1267" priority="157" operator="containsText" text="BULLISH">
      <formula>NOT(ISERROR(SEARCH("BULLISH",K17)))</formula>
    </cfRule>
    <cfRule type="containsText" dxfId="1266" priority="158" operator="containsText" text="BEARISH">
      <formula>NOT(ISERROR(SEARCH("BEARISH",K17)))</formula>
    </cfRule>
    <cfRule type="containsBlanks" dxfId="1265" priority="159">
      <formula>LEN(TRIM(K17))=0</formula>
    </cfRule>
  </conditionalFormatting>
  <conditionalFormatting sqref="K38">
    <cfRule type="containsText" dxfId="1264" priority="152" operator="containsText" text="NEUTRO">
      <formula>NOT(ISERROR(SEARCH("NEUTRO",K38)))</formula>
    </cfRule>
    <cfRule type="containsText" dxfId="1263" priority="153" operator="containsText" text="BULLISH">
      <formula>NOT(ISERROR(SEARCH("BULLISH",K38)))</formula>
    </cfRule>
    <cfRule type="containsText" dxfId="1262" priority="154" operator="containsText" text="BEARISH">
      <formula>NOT(ISERROR(SEARCH("BEARISH",K38)))</formula>
    </cfRule>
    <cfRule type="containsBlanks" dxfId="1261" priority="155">
      <formula>LEN(TRIM(K38))=0</formula>
    </cfRule>
  </conditionalFormatting>
  <conditionalFormatting sqref="J18:J20">
    <cfRule type="cellIs" dxfId="1260" priority="140" operator="lessThan">
      <formula>0</formula>
    </cfRule>
    <cfRule type="cellIs" dxfId="1259" priority="141" operator="greaterThan">
      <formula>0</formula>
    </cfRule>
  </conditionalFormatting>
  <conditionalFormatting sqref="J18:J19">
    <cfRule type="cellIs" dxfId="1258" priority="139" operator="equal">
      <formula>"-"</formula>
    </cfRule>
  </conditionalFormatting>
  <conditionalFormatting sqref="J15:J16">
    <cfRule type="cellIs" dxfId="1257" priority="145" operator="lessThan">
      <formula>0</formula>
    </cfRule>
    <cfRule type="cellIs" dxfId="1256" priority="146" operator="greaterThan">
      <formula>0</formula>
    </cfRule>
  </conditionalFormatting>
  <conditionalFormatting sqref="J6:J9">
    <cfRule type="cellIs" dxfId="1255" priority="149" operator="equal">
      <formula>"-"</formula>
    </cfRule>
    <cfRule type="cellIs" dxfId="1254" priority="150" operator="lessThan">
      <formula>0</formula>
    </cfRule>
    <cfRule type="cellIs" dxfId="1253" priority="151" operator="greaterThan">
      <formula>0</formula>
    </cfRule>
  </conditionalFormatting>
  <conditionalFormatting sqref="J13">
    <cfRule type="cellIs" dxfId="1252" priority="147" operator="lessThan">
      <formula>0</formula>
    </cfRule>
    <cfRule type="cellIs" dxfId="1251" priority="148" operator="greaterThan">
      <formula>0</formula>
    </cfRule>
  </conditionalFormatting>
  <conditionalFormatting sqref="J14">
    <cfRule type="cellIs" dxfId="1250" priority="143" operator="lessThan">
      <formula>0</formula>
    </cfRule>
    <cfRule type="cellIs" dxfId="1249" priority="144" operator="greaterThan">
      <formula>0</formula>
    </cfRule>
  </conditionalFormatting>
  <conditionalFormatting sqref="J20">
    <cfRule type="cellIs" dxfId="1248" priority="136" operator="equal">
      <formula>"-"</formula>
    </cfRule>
    <cfRule type="cellIs" dxfId="1247" priority="137" operator="lessThan">
      <formula>0</formula>
    </cfRule>
    <cfRule type="cellIs" dxfId="1246" priority="138" operator="greaterThan">
      <formula>0</formula>
    </cfRule>
  </conditionalFormatting>
  <conditionalFormatting sqref="J27:J32">
    <cfRule type="cellIs" dxfId="1245" priority="134" operator="lessThan">
      <formula>0</formula>
    </cfRule>
    <cfRule type="cellIs" dxfId="1244" priority="135" operator="greaterThan">
      <formula>0</formula>
    </cfRule>
  </conditionalFormatting>
  <conditionalFormatting sqref="J27:J32">
    <cfRule type="cellIs" dxfId="1243" priority="133" operator="equal">
      <formula>"-"</formula>
    </cfRule>
  </conditionalFormatting>
  <conditionalFormatting sqref="J36">
    <cfRule type="cellIs" dxfId="1242" priority="131" operator="lessThan">
      <formula>0</formula>
    </cfRule>
    <cfRule type="cellIs" dxfId="1241" priority="132" operator="greaterThan">
      <formula>0</formula>
    </cfRule>
  </conditionalFormatting>
  <conditionalFormatting sqref="J36">
    <cfRule type="cellIs" dxfId="1240" priority="130" operator="equal">
      <formula>"-"</formula>
    </cfRule>
  </conditionalFormatting>
  <conditionalFormatting sqref="J37">
    <cfRule type="cellIs" dxfId="1239" priority="128" operator="lessThan">
      <formula>0</formula>
    </cfRule>
    <cfRule type="cellIs" dxfId="1238" priority="129" operator="greaterThan">
      <formula>0</formula>
    </cfRule>
  </conditionalFormatting>
  <conditionalFormatting sqref="J37">
    <cfRule type="cellIs" dxfId="1237" priority="127" operator="equal">
      <formula>"-"</formula>
    </cfRule>
  </conditionalFormatting>
  <conditionalFormatting sqref="J11">
    <cfRule type="cellIs" dxfId="1236" priority="124" operator="equal">
      <formula>"-"</formula>
    </cfRule>
    <cfRule type="cellIs" dxfId="1235" priority="125" operator="lessThan">
      <formula>0</formula>
    </cfRule>
    <cfRule type="cellIs" dxfId="1234" priority="126" operator="greaterThan">
      <formula>0</formula>
    </cfRule>
  </conditionalFormatting>
  <conditionalFormatting sqref="J3:J5">
    <cfRule type="cellIs" dxfId="1233" priority="121" operator="equal">
      <formula>"-"</formula>
    </cfRule>
    <cfRule type="cellIs" dxfId="1232" priority="122" operator="lessThan">
      <formula>0</formula>
    </cfRule>
    <cfRule type="cellIs" dxfId="1231" priority="123" operator="greaterThan">
      <formula>0</formula>
    </cfRule>
  </conditionalFormatting>
  <conditionalFormatting sqref="J22:J26">
    <cfRule type="cellIs" dxfId="1230" priority="119" operator="lessThan">
      <formula>0</formula>
    </cfRule>
    <cfRule type="cellIs" dxfId="1229" priority="120" operator="greaterThan">
      <formula>0</formula>
    </cfRule>
  </conditionalFormatting>
  <conditionalFormatting sqref="J22:J26">
    <cfRule type="cellIs" dxfId="1228" priority="118" operator="equal">
      <formula>"-"</formula>
    </cfRule>
  </conditionalFormatting>
  <conditionalFormatting sqref="J39:J42">
    <cfRule type="cellIs" dxfId="1227" priority="115" operator="equal">
      <formula>"-"</formula>
    </cfRule>
    <cfRule type="cellIs" dxfId="1226" priority="116" operator="lessThan">
      <formula>0</formula>
    </cfRule>
    <cfRule type="cellIs" dxfId="1225" priority="117" operator="greaterThan">
      <formula>0</formula>
    </cfRule>
  </conditionalFormatting>
  <conditionalFormatting sqref="J34:J35">
    <cfRule type="cellIs" dxfId="1224" priority="113" operator="lessThan">
      <formula>0</formula>
    </cfRule>
    <cfRule type="cellIs" dxfId="1223" priority="114" operator="greaterThan">
      <formula>0</formula>
    </cfRule>
  </conditionalFormatting>
  <conditionalFormatting sqref="J34:J35">
    <cfRule type="cellIs" dxfId="1222" priority="112" operator="equal">
      <formula>"-"</formula>
    </cfRule>
  </conditionalFormatting>
  <conditionalFormatting sqref="J13:J15">
    <cfRule type="cellIs" dxfId="1221" priority="142" operator="equal">
      <formula>"-"</formula>
    </cfRule>
  </conditionalFormatting>
  <conditionalFormatting sqref="H2 E2 K2">
    <cfRule type="containsText" dxfId="1220" priority="110" operator="containsText" text="NEUTRO">
      <formula>NOT(ISERROR(SEARCH("NEUTRO",E2)))</formula>
    </cfRule>
  </conditionalFormatting>
  <conditionalFormatting sqref="H17">
    <cfRule type="containsText" dxfId="1219" priority="106" operator="containsText" text="NEUTRO">
      <formula>NOT(ISERROR(SEARCH("NEUTRO",H17)))</formula>
    </cfRule>
    <cfRule type="containsText" dxfId="1218" priority="107" operator="containsText" text="BULLISH">
      <formula>NOT(ISERROR(SEARCH("BULLISH",H17)))</formula>
    </cfRule>
    <cfRule type="containsText" dxfId="1217" priority="108" operator="containsText" text="BEARISH">
      <formula>NOT(ISERROR(SEARCH("BEARISH",H17)))</formula>
    </cfRule>
    <cfRule type="containsBlanks" dxfId="1216" priority="109">
      <formula>LEN(TRIM(H17))=0</formula>
    </cfRule>
  </conditionalFormatting>
  <conditionalFormatting sqref="H38">
    <cfRule type="containsText" dxfId="1215" priority="102" operator="containsText" text="NEUTRO">
      <formula>NOT(ISERROR(SEARCH("NEUTRO",H38)))</formula>
    </cfRule>
    <cfRule type="containsText" dxfId="1214" priority="103" operator="containsText" text="BULLISH">
      <formula>NOT(ISERROR(SEARCH("BULLISH",H38)))</formula>
    </cfRule>
    <cfRule type="containsText" dxfId="1213" priority="104" operator="containsText" text="BEARISH">
      <formula>NOT(ISERROR(SEARCH("BEARISH",H38)))</formula>
    </cfRule>
    <cfRule type="containsBlanks" dxfId="1212" priority="105">
      <formula>LEN(TRIM(H38))=0</formula>
    </cfRule>
  </conditionalFormatting>
  <conditionalFormatting sqref="G18:G20">
    <cfRule type="cellIs" dxfId="1211" priority="90" operator="lessThan">
      <formula>0</formula>
    </cfRule>
    <cfRule type="cellIs" dxfId="1210" priority="91" operator="greaterThan">
      <formula>0</formula>
    </cfRule>
  </conditionalFormatting>
  <conditionalFormatting sqref="G18:G19">
    <cfRule type="cellIs" dxfId="1209" priority="89" operator="equal">
      <formula>"-"</formula>
    </cfRule>
  </conditionalFormatting>
  <conditionalFormatting sqref="G15:G16">
    <cfRule type="cellIs" dxfId="1208" priority="95" operator="lessThan">
      <formula>0</formula>
    </cfRule>
    <cfRule type="cellIs" dxfId="1207" priority="96" operator="greaterThan">
      <formula>0</formula>
    </cfRule>
  </conditionalFormatting>
  <conditionalFormatting sqref="G6:G9">
    <cfRule type="cellIs" dxfId="1206" priority="99" operator="equal">
      <formula>"-"</formula>
    </cfRule>
    <cfRule type="cellIs" dxfId="1205" priority="100" operator="lessThan">
      <formula>0</formula>
    </cfRule>
    <cfRule type="cellIs" dxfId="1204" priority="101" operator="greaterThan">
      <formula>0</formula>
    </cfRule>
  </conditionalFormatting>
  <conditionalFormatting sqref="G13">
    <cfRule type="cellIs" dxfId="1203" priority="97" operator="lessThan">
      <formula>0</formula>
    </cfRule>
    <cfRule type="cellIs" dxfId="1202" priority="98" operator="greaterThan">
      <formula>0</formula>
    </cfRule>
  </conditionalFormatting>
  <conditionalFormatting sqref="G14">
    <cfRule type="cellIs" dxfId="1201" priority="93" operator="lessThan">
      <formula>0</formula>
    </cfRule>
    <cfRule type="cellIs" dxfId="1200" priority="94" operator="greaterThan">
      <formula>0</formula>
    </cfRule>
  </conditionalFormatting>
  <conditionalFormatting sqref="G20">
    <cfRule type="cellIs" dxfId="1199" priority="86" operator="equal">
      <formula>"-"</formula>
    </cfRule>
    <cfRule type="cellIs" dxfId="1198" priority="87" operator="lessThan">
      <formula>0</formula>
    </cfRule>
    <cfRule type="cellIs" dxfId="1197" priority="88" operator="greaterThan">
      <formula>0</formula>
    </cfRule>
  </conditionalFormatting>
  <conditionalFormatting sqref="G27:G32">
    <cfRule type="cellIs" dxfId="1196" priority="84" operator="lessThan">
      <formula>0</formula>
    </cfRule>
    <cfRule type="cellIs" dxfId="1195" priority="85" operator="greaterThan">
      <formula>0</formula>
    </cfRule>
  </conditionalFormatting>
  <conditionalFormatting sqref="G27:G32">
    <cfRule type="cellIs" dxfId="1194" priority="83" operator="equal">
      <formula>"-"</formula>
    </cfRule>
  </conditionalFormatting>
  <conditionalFormatting sqref="G36">
    <cfRule type="cellIs" dxfId="1193" priority="81" operator="lessThan">
      <formula>0</formula>
    </cfRule>
    <cfRule type="cellIs" dxfId="1192" priority="82" operator="greaterThan">
      <formula>0</formula>
    </cfRule>
  </conditionalFormatting>
  <conditionalFormatting sqref="G36">
    <cfRule type="cellIs" dxfId="1191" priority="80" operator="equal">
      <formula>"-"</formula>
    </cfRule>
  </conditionalFormatting>
  <conditionalFormatting sqref="G37">
    <cfRule type="cellIs" dxfId="1190" priority="78" operator="lessThan">
      <formula>0</formula>
    </cfRule>
    <cfRule type="cellIs" dxfId="1189" priority="79" operator="greaterThan">
      <formula>0</formula>
    </cfRule>
  </conditionalFormatting>
  <conditionalFormatting sqref="G37">
    <cfRule type="cellIs" dxfId="1188" priority="77" operator="equal">
      <formula>"-"</formula>
    </cfRule>
  </conditionalFormatting>
  <conditionalFormatting sqref="G11">
    <cfRule type="cellIs" dxfId="1187" priority="74" operator="equal">
      <formula>"-"</formula>
    </cfRule>
    <cfRule type="cellIs" dxfId="1186" priority="75" operator="lessThan">
      <formula>0</formula>
    </cfRule>
    <cfRule type="cellIs" dxfId="1185" priority="76" operator="greaterThan">
      <formula>0</formula>
    </cfRule>
  </conditionalFormatting>
  <conditionalFormatting sqref="G3:G5">
    <cfRule type="cellIs" dxfId="1184" priority="71" operator="equal">
      <formula>"-"</formula>
    </cfRule>
    <cfRule type="cellIs" dxfId="1183" priority="72" operator="lessThan">
      <formula>0</formula>
    </cfRule>
    <cfRule type="cellIs" dxfId="1182" priority="73" operator="greaterThan">
      <formula>0</formula>
    </cfRule>
  </conditionalFormatting>
  <conditionalFormatting sqref="G22:G26">
    <cfRule type="cellIs" dxfId="1181" priority="69" operator="lessThan">
      <formula>0</formula>
    </cfRule>
    <cfRule type="cellIs" dxfId="1180" priority="70" operator="greaterThan">
      <formula>0</formula>
    </cfRule>
  </conditionalFormatting>
  <conditionalFormatting sqref="G22:G26">
    <cfRule type="cellIs" dxfId="1179" priority="68" operator="equal">
      <formula>"-"</formula>
    </cfRule>
  </conditionalFormatting>
  <conditionalFormatting sqref="G39:G42">
    <cfRule type="cellIs" dxfId="1178" priority="65" operator="equal">
      <formula>"-"</formula>
    </cfRule>
    <cfRule type="cellIs" dxfId="1177" priority="66" operator="lessThan">
      <formula>0</formula>
    </cfRule>
    <cfRule type="cellIs" dxfId="1176" priority="67" operator="greaterThan">
      <formula>0</formula>
    </cfRule>
  </conditionalFormatting>
  <conditionalFormatting sqref="G34:G35">
    <cfRule type="cellIs" dxfId="1175" priority="63" operator="lessThan">
      <formula>0</formula>
    </cfRule>
    <cfRule type="cellIs" dxfId="1174" priority="64" operator="greaterThan">
      <formula>0</formula>
    </cfRule>
  </conditionalFormatting>
  <conditionalFormatting sqref="G34:G35">
    <cfRule type="cellIs" dxfId="1173" priority="62" operator="equal">
      <formula>"-"</formula>
    </cfRule>
  </conditionalFormatting>
  <conditionalFormatting sqref="G13:G15">
    <cfRule type="cellIs" dxfId="1172" priority="92" operator="equal">
      <formula>"-"</formula>
    </cfRule>
  </conditionalFormatting>
  <conditionalFormatting sqref="E2 K2">
    <cfRule type="containsText" dxfId="1171" priority="60" operator="containsText" text="NEUTRO">
      <formula>NOT(ISERROR(SEARCH("NEUTRO",E2)))</formula>
    </cfRule>
  </conditionalFormatting>
  <conditionalFormatting sqref="E17">
    <cfRule type="containsText" dxfId="1170" priority="56" operator="containsText" text="NEUTRO">
      <formula>NOT(ISERROR(SEARCH("NEUTRO",E17)))</formula>
    </cfRule>
    <cfRule type="containsText" dxfId="1169" priority="57" operator="containsText" text="BULLISH">
      <formula>NOT(ISERROR(SEARCH("BULLISH",E17)))</formula>
    </cfRule>
    <cfRule type="containsText" dxfId="1168" priority="58" operator="containsText" text="BEARISH">
      <formula>NOT(ISERROR(SEARCH("BEARISH",E17)))</formula>
    </cfRule>
    <cfRule type="containsBlanks" dxfId="1167" priority="59">
      <formula>LEN(TRIM(E17))=0</formula>
    </cfRule>
  </conditionalFormatting>
  <conditionalFormatting sqref="E38">
    <cfRule type="containsText" dxfId="1166" priority="52" operator="containsText" text="NEUTRO">
      <formula>NOT(ISERROR(SEARCH("NEUTRO",E38)))</formula>
    </cfRule>
    <cfRule type="containsText" dxfId="1165" priority="53" operator="containsText" text="BULLISH">
      <formula>NOT(ISERROR(SEARCH("BULLISH",E38)))</formula>
    </cfRule>
    <cfRule type="containsText" dxfId="1164" priority="54" operator="containsText" text="BEARISH">
      <formula>NOT(ISERROR(SEARCH("BEARISH",E38)))</formula>
    </cfRule>
    <cfRule type="containsBlanks" dxfId="1163" priority="55">
      <formula>LEN(TRIM(E38))=0</formula>
    </cfRule>
  </conditionalFormatting>
  <conditionalFormatting sqref="D18:D20">
    <cfRule type="cellIs" dxfId="1162" priority="40" operator="lessThan">
      <formula>0</formula>
    </cfRule>
    <cfRule type="cellIs" dxfId="1161" priority="41" operator="greaterThan">
      <formula>0</formula>
    </cfRule>
  </conditionalFormatting>
  <conditionalFormatting sqref="D18:D19">
    <cfRule type="cellIs" dxfId="1160" priority="39" operator="equal">
      <formula>"-"</formula>
    </cfRule>
  </conditionalFormatting>
  <conditionalFormatting sqref="D15:D16">
    <cfRule type="cellIs" dxfId="1159" priority="45" operator="lessThan">
      <formula>0</formula>
    </cfRule>
    <cfRule type="cellIs" dxfId="1158" priority="46" operator="greaterThan">
      <formula>0</formula>
    </cfRule>
  </conditionalFormatting>
  <conditionalFormatting sqref="D6:D9">
    <cfRule type="cellIs" dxfId="1157" priority="49" operator="equal">
      <formula>"-"</formula>
    </cfRule>
    <cfRule type="cellIs" dxfId="1156" priority="50" operator="lessThan">
      <formula>0</formula>
    </cfRule>
    <cfRule type="cellIs" dxfId="1155" priority="51" operator="greaterThan">
      <formula>0</formula>
    </cfRule>
  </conditionalFormatting>
  <conditionalFormatting sqref="D13">
    <cfRule type="cellIs" dxfId="1154" priority="47" operator="lessThan">
      <formula>0</formula>
    </cfRule>
    <cfRule type="cellIs" dxfId="1153" priority="48" operator="greaterThan">
      <formula>0</formula>
    </cfRule>
  </conditionalFormatting>
  <conditionalFormatting sqref="D14">
    <cfRule type="cellIs" dxfId="1152" priority="43" operator="lessThan">
      <formula>0</formula>
    </cfRule>
    <cfRule type="cellIs" dxfId="1151" priority="44" operator="greaterThan">
      <formula>0</formula>
    </cfRule>
  </conditionalFormatting>
  <conditionalFormatting sqref="D20">
    <cfRule type="cellIs" dxfId="1150" priority="36" operator="equal">
      <formula>"-"</formula>
    </cfRule>
    <cfRule type="cellIs" dxfId="1149" priority="37" operator="lessThan">
      <formula>0</formula>
    </cfRule>
    <cfRule type="cellIs" dxfId="1148" priority="38" operator="greaterThan">
      <formula>0</formula>
    </cfRule>
  </conditionalFormatting>
  <conditionalFormatting sqref="D27:D32">
    <cfRule type="cellIs" dxfId="1147" priority="34" operator="lessThan">
      <formula>0</formula>
    </cfRule>
    <cfRule type="cellIs" dxfId="1146" priority="35" operator="greaterThan">
      <formula>0</formula>
    </cfRule>
  </conditionalFormatting>
  <conditionalFormatting sqref="D27:D32">
    <cfRule type="cellIs" dxfId="1145" priority="33" operator="equal">
      <formula>"-"</formula>
    </cfRule>
  </conditionalFormatting>
  <conditionalFormatting sqref="D36">
    <cfRule type="cellIs" dxfId="1144" priority="31" operator="lessThan">
      <formula>0</formula>
    </cfRule>
    <cfRule type="cellIs" dxfId="1143" priority="32" operator="greaterThan">
      <formula>0</formula>
    </cfRule>
  </conditionalFormatting>
  <conditionalFormatting sqref="D36">
    <cfRule type="cellIs" dxfId="1142" priority="30" operator="equal">
      <formula>"-"</formula>
    </cfRule>
  </conditionalFormatting>
  <conditionalFormatting sqref="D37">
    <cfRule type="cellIs" dxfId="1141" priority="28" operator="lessThan">
      <formula>0</formula>
    </cfRule>
    <cfRule type="cellIs" dxfId="1140" priority="29" operator="greaterThan">
      <formula>0</formula>
    </cfRule>
  </conditionalFormatting>
  <conditionalFormatting sqref="D37">
    <cfRule type="cellIs" dxfId="1139" priority="27" operator="equal">
      <formula>"-"</formula>
    </cfRule>
  </conditionalFormatting>
  <conditionalFormatting sqref="D11">
    <cfRule type="cellIs" dxfId="1138" priority="24" operator="equal">
      <formula>"-"</formula>
    </cfRule>
    <cfRule type="cellIs" dxfId="1137" priority="25" operator="lessThan">
      <formula>0</formula>
    </cfRule>
    <cfRule type="cellIs" dxfId="1136" priority="26" operator="greaterThan">
      <formula>0</formula>
    </cfRule>
  </conditionalFormatting>
  <conditionalFormatting sqref="D3:D5">
    <cfRule type="cellIs" dxfId="1135" priority="21" operator="equal">
      <formula>"-"</formula>
    </cfRule>
    <cfRule type="cellIs" dxfId="1134" priority="22" operator="lessThan">
      <formula>0</formula>
    </cfRule>
    <cfRule type="cellIs" dxfId="1133" priority="23" operator="greaterThan">
      <formula>0</formula>
    </cfRule>
  </conditionalFormatting>
  <conditionalFormatting sqref="D22:D26">
    <cfRule type="cellIs" dxfId="1132" priority="19" operator="lessThan">
      <formula>0</formula>
    </cfRule>
    <cfRule type="cellIs" dxfId="1131" priority="20" operator="greaterThan">
      <formula>0</formula>
    </cfRule>
  </conditionalFormatting>
  <conditionalFormatting sqref="D22:D26">
    <cfRule type="cellIs" dxfId="1130" priority="18" operator="equal">
      <formula>"-"</formula>
    </cfRule>
  </conditionalFormatting>
  <conditionalFormatting sqref="D39:D42">
    <cfRule type="cellIs" dxfId="1129" priority="15" operator="equal">
      <formula>"-"</formula>
    </cfRule>
    <cfRule type="cellIs" dxfId="1128" priority="16" operator="lessThan">
      <formula>0</formula>
    </cfRule>
    <cfRule type="cellIs" dxfId="1127" priority="17" operator="greaterThan">
      <formula>0</formula>
    </cfRule>
  </conditionalFormatting>
  <conditionalFormatting sqref="D34:D35">
    <cfRule type="cellIs" dxfId="1126" priority="13" operator="lessThan">
      <formula>0</formula>
    </cfRule>
    <cfRule type="cellIs" dxfId="1125" priority="14" operator="greaterThan">
      <formula>0</formula>
    </cfRule>
  </conditionalFormatting>
  <conditionalFormatting sqref="D34:D35">
    <cfRule type="cellIs" dxfId="1124" priority="12" operator="equal">
      <formula>"-"</formula>
    </cfRule>
  </conditionalFormatting>
  <conditionalFormatting sqref="D13:D15">
    <cfRule type="cellIs" dxfId="1123" priority="42" operator="equal">
      <formula>"-"</formula>
    </cfRule>
  </conditionalFormatting>
  <conditionalFormatting sqref="B2">
    <cfRule type="containsText" dxfId="1122" priority="10" operator="containsText" text="NEUTRO">
      <formula>NOT(ISERROR(SEARCH("NEUTRO",B2)))</formula>
    </cfRule>
  </conditionalFormatting>
  <conditionalFormatting sqref="B2">
    <cfRule type="containsText" dxfId="1121" priority="9" operator="containsText" text="NEUTRO">
      <formula>NOT(ISERROR(SEARCH("NEUTRO",B2)))</formula>
    </cfRule>
  </conditionalFormatting>
  <conditionalFormatting sqref="B17">
    <cfRule type="containsText" dxfId="1120" priority="5" operator="containsText" text="NEUTRO">
      <formula>NOT(ISERROR(SEARCH("NEUTRO",B17)))</formula>
    </cfRule>
    <cfRule type="containsText" dxfId="1119" priority="6" operator="containsText" text="BULLISH">
      <formula>NOT(ISERROR(SEARCH("BULLISH",B17)))</formula>
    </cfRule>
    <cfRule type="containsText" dxfId="1118" priority="7" operator="containsText" text="BEARISH">
      <formula>NOT(ISERROR(SEARCH("BEARISH",B17)))</formula>
    </cfRule>
    <cfRule type="containsBlanks" dxfId="1117" priority="8">
      <formula>LEN(TRIM(B17))=0</formula>
    </cfRule>
  </conditionalFormatting>
  <conditionalFormatting sqref="B38">
    <cfRule type="containsText" dxfId="1116" priority="1" operator="containsText" text="NEUTRO">
      <formula>NOT(ISERROR(SEARCH("NEUTRO",B38)))</formula>
    </cfRule>
    <cfRule type="containsText" dxfId="1115" priority="2" operator="containsText" text="BULLISH">
      <formula>NOT(ISERROR(SEARCH("BULLISH",B38)))</formula>
    </cfRule>
    <cfRule type="containsText" dxfId="1114" priority="3" operator="containsText" text="BEARISH">
      <formula>NOT(ISERROR(SEARCH("BEARISH",B38)))</formula>
    </cfRule>
    <cfRule type="containsBlanks" dxfId="1113" priority="4">
      <formula>LEN(TRIM(B38))=0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Hoja5.InsertarTresCeldasCopiarPegar">
                <anchor moveWithCells="1">
                  <from>
                    <xdr:col>0</xdr:col>
                    <xdr:colOff>609600</xdr:colOff>
                    <xdr:row>0</xdr:row>
                    <xdr:rowOff>0</xdr:rowOff>
                  </from>
                  <to>
                    <xdr:col>0</xdr:col>
                    <xdr:colOff>1876425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375" operator="containsText" id="{CD9B6533-DA41-413C-8202-D82FF247AF4F}">
            <xm:f>NOT(ISERROR(SEARCH("-",AW16)))</xm:f>
            <xm:f>"-"</xm:f>
            <x14:dxf>
              <fill>
                <patternFill patternType="none">
                  <bgColor auto="1"/>
                </patternFill>
              </fill>
            </x14:dxf>
          </x14:cfRule>
          <xm:sqref>AW16</xm:sqref>
        </x14:conditionalFormatting>
        <x14:conditionalFormatting xmlns:xm="http://schemas.microsoft.com/office/excel/2006/main">
          <x14:cfRule type="containsText" priority="1325" operator="containsText" id="{31DCA07B-4C1A-4AC0-86ED-5A169D50A710}">
            <xm:f>NOT(ISERROR(SEARCH("-",AT16)))</xm:f>
            <xm:f>"-"</xm:f>
            <x14:dxf>
              <fill>
                <patternFill patternType="none">
                  <bgColor auto="1"/>
                </patternFill>
              </fill>
            </x14:dxf>
          </x14:cfRule>
          <xm:sqref>AT16</xm:sqref>
        </x14:conditionalFormatting>
        <x14:conditionalFormatting xmlns:xm="http://schemas.microsoft.com/office/excel/2006/main">
          <x14:cfRule type="containsText" priority="1248" operator="containsText" id="{840072C3-2F88-4514-A619-FDCDED6D0BDC}">
            <xm:f>NOT(ISERROR(SEARCH("-",AQ16)))</xm:f>
            <xm:f>"-"</xm:f>
            <x14:dxf>
              <fill>
                <patternFill patternType="none">
                  <bgColor auto="1"/>
                </patternFill>
              </fill>
            </x14:dxf>
          </x14:cfRule>
          <xm:sqref>AQ16</xm:sqref>
        </x14:conditionalFormatting>
        <x14:conditionalFormatting xmlns:xm="http://schemas.microsoft.com/office/excel/2006/main">
          <x14:cfRule type="containsText" priority="1171" operator="containsText" id="{38F9EB15-8077-4498-A76C-E2ECCDED095F}">
            <xm:f>NOT(ISERROR(SEARCH("-",AN16)))</xm:f>
            <xm:f>"-"</xm:f>
            <x14:dxf>
              <fill>
                <patternFill patternType="none">
                  <bgColor auto="1"/>
                </patternFill>
              </fill>
            </x14:dxf>
          </x14:cfRule>
          <xm:sqref>AN16</xm:sqref>
        </x14:conditionalFormatting>
        <x14:conditionalFormatting xmlns:xm="http://schemas.microsoft.com/office/excel/2006/main">
          <x14:cfRule type="containsText" priority="1094" operator="containsText" id="{0FFAB25C-BD0B-4753-B210-59F5592DCCDD}">
            <xm:f>NOT(ISERROR(SEARCH("-",AK16)))</xm:f>
            <xm:f>"-"</xm:f>
            <x14:dxf>
              <fill>
                <patternFill patternType="none">
                  <bgColor auto="1"/>
                </patternFill>
              </fill>
            </x14:dxf>
          </x14:cfRule>
          <xm:sqref>AK16</xm:sqref>
        </x14:conditionalFormatting>
        <x14:conditionalFormatting xmlns:xm="http://schemas.microsoft.com/office/excel/2006/main">
          <x14:cfRule type="containsText" priority="1017" operator="containsText" id="{E69ABB81-41DB-4BAC-B811-B00A83912CE6}">
            <xm:f>NOT(ISERROR(SEARCH("-",AH16)))</xm:f>
            <xm:f>"-"</xm:f>
            <x14:dxf>
              <fill>
                <patternFill patternType="none">
                  <bgColor auto="1"/>
                </patternFill>
              </fill>
            </x14:dxf>
          </x14:cfRule>
          <xm:sqref>AH16</xm:sqref>
        </x14:conditionalFormatting>
        <x14:conditionalFormatting xmlns:xm="http://schemas.microsoft.com/office/excel/2006/main">
          <x14:cfRule type="containsText" priority="940" operator="containsText" id="{B2DFED72-B989-4FB1-BE4A-0DE5ACF4314C}">
            <xm:f>NOT(ISERROR(SEARCH("-",AE16)))</xm:f>
            <xm:f>"-"</xm:f>
            <x14:dxf>
              <fill>
                <patternFill patternType="none">
                  <bgColor auto="1"/>
                </patternFill>
              </fill>
            </x14:dxf>
          </x14:cfRule>
          <xm:sqref>AE16</xm:sqref>
        </x14:conditionalFormatting>
        <x14:conditionalFormatting xmlns:xm="http://schemas.microsoft.com/office/excel/2006/main">
          <x14:cfRule type="containsText" priority="863" operator="containsText" id="{C6774DFA-4316-451A-918A-AF494330197A}">
            <xm:f>NOT(ISERROR(SEARCH("-",AB16)))</xm:f>
            <xm:f>"-"</xm:f>
            <x14:dxf>
              <fill>
                <patternFill patternType="none">
                  <bgColor auto="1"/>
                </patternFill>
              </fill>
            </x14:dxf>
          </x14:cfRule>
          <xm:sqref>AB16</xm:sqref>
        </x14:conditionalFormatting>
        <x14:conditionalFormatting xmlns:xm="http://schemas.microsoft.com/office/excel/2006/main">
          <x14:cfRule type="containsText" priority="786" operator="containsText" id="{16AC5B7F-2D8E-4DD3-8729-92D14E0460CA}">
            <xm:f>NOT(ISERROR(SEARCH("-",Y16)))</xm:f>
            <xm:f>"-"</xm:f>
            <x14:dxf>
              <fill>
                <patternFill patternType="none">
                  <bgColor auto="1"/>
                </patternFill>
              </fill>
            </x14:dxf>
          </x14:cfRule>
          <xm:sqref>Y16</xm:sqref>
        </x14:conditionalFormatting>
        <x14:conditionalFormatting xmlns:xm="http://schemas.microsoft.com/office/excel/2006/main">
          <x14:cfRule type="containsText" priority="465" operator="containsText" id="{E850A7C7-777E-4492-832E-D451B42BFB28}">
            <xm:f>NOT(ISERROR(SEARCH("-",V16)))</xm:f>
            <xm:f>"-"</xm:f>
            <x14:dxf>
              <fill>
                <patternFill patternType="none">
                  <bgColor auto="1"/>
                </patternFill>
              </fill>
            </x14:dxf>
          </x14:cfRule>
          <xm:sqref>V16</xm:sqref>
        </x14:conditionalFormatting>
        <x14:conditionalFormatting xmlns:xm="http://schemas.microsoft.com/office/excel/2006/main">
          <x14:cfRule type="containsText" priority="388" operator="containsText" id="{D655E3FA-1015-4C61-9999-EF77696B023F}">
            <xm:f>NOT(ISERROR(SEARCH("-",S16)))</xm:f>
            <xm:f>"-"</xm:f>
            <x14:dxf>
              <fill>
                <patternFill patternType="none">
                  <bgColor auto="1"/>
                </patternFill>
              </fill>
            </x14:dxf>
          </x14:cfRule>
          <xm:sqref>S16</xm:sqref>
        </x14:conditionalFormatting>
        <x14:conditionalFormatting xmlns:xm="http://schemas.microsoft.com/office/excel/2006/main">
          <x14:cfRule type="containsText" priority="311" operator="containsText" id="{A8D2ACB1-D157-4C4D-981C-41D3E5509C58}">
            <xm:f>NOT(ISERROR(SEARCH("-",P16)))</xm:f>
            <xm:f>"-"</xm:f>
            <x14:dxf>
              <fill>
                <patternFill patternType="none">
                  <bgColor auto="1"/>
                </patternFill>
              </fill>
            </x14:dxf>
          </x14:cfRule>
          <xm:sqref>P16</xm:sqref>
        </x14:conditionalFormatting>
        <x14:conditionalFormatting xmlns:xm="http://schemas.microsoft.com/office/excel/2006/main">
          <x14:cfRule type="containsText" priority="161" operator="containsText" id="{12DB9EA0-B9A0-43A5-933C-A58AB79DF8E6}">
            <xm:f>NOT(ISERROR(SEARCH("-",M16)))</xm:f>
            <xm:f>"-"</xm:f>
            <x14:dxf>
              <fill>
                <patternFill patternType="none">
                  <bgColor auto="1"/>
                </patternFill>
              </fill>
            </x14:dxf>
          </x14:cfRule>
          <xm:sqref>M16</xm:sqref>
        </x14:conditionalFormatting>
        <x14:conditionalFormatting xmlns:xm="http://schemas.microsoft.com/office/excel/2006/main">
          <x14:cfRule type="containsText" priority="111" operator="containsText" id="{22B8B924-D3DC-4800-83F5-6E718B97ECA4}">
            <xm:f>NOT(ISERROR(SEARCH("-",J16)))</xm:f>
            <xm:f>"-"</xm:f>
            <x14:dxf>
              <fill>
                <patternFill patternType="none">
                  <bgColor auto="1"/>
                </patternFill>
              </fill>
            </x14:dxf>
          </x14:cfRule>
          <xm:sqref>J16</xm:sqref>
        </x14:conditionalFormatting>
        <x14:conditionalFormatting xmlns:xm="http://schemas.microsoft.com/office/excel/2006/main">
          <x14:cfRule type="containsText" priority="61" operator="containsText" id="{18CCAC49-A3F4-4B42-9EC8-E0D4A7095060}">
            <xm:f>NOT(ISERROR(SEARCH("-",G16)))</xm:f>
            <xm:f>"-"</xm:f>
            <x14:dxf>
              <fill>
                <patternFill patternType="none">
                  <bgColor auto="1"/>
                </patternFill>
              </fill>
            </x14:dxf>
          </x14:cfRule>
          <xm:sqref>G16</xm:sqref>
        </x14:conditionalFormatting>
        <x14:conditionalFormatting xmlns:xm="http://schemas.microsoft.com/office/excel/2006/main">
          <x14:cfRule type="containsText" priority="11" operator="containsText" id="{839BF405-C049-4769-B938-658EA7F97FFB}">
            <xm:f>NOT(ISERROR(SEARCH("-",D16)))</xm:f>
            <xm:f>"-"</xm:f>
            <x14:dxf>
              <fill>
                <patternFill patternType="none">
                  <bgColor auto="1"/>
                </patternFill>
              </fill>
            </x14:dxf>
          </x14:cfRule>
          <xm:sqref>D16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AT42"/>
  <sheetViews>
    <sheetView zoomScale="70" zoomScaleNormal="70" workbookViewId="0">
      <selection activeCell="A11" sqref="A11"/>
    </sheetView>
  </sheetViews>
  <sheetFormatPr baseColWidth="10" defaultRowHeight="15" x14ac:dyDescent="0.25"/>
  <cols>
    <col min="1" max="1" width="27.85546875" style="12" customWidth="1"/>
    <col min="2" max="4" width="8.5703125" style="5" customWidth="1"/>
    <col min="5" max="7" width="11.42578125" style="5" customWidth="1"/>
    <col min="8" max="10" width="8.5703125" style="5" customWidth="1"/>
    <col min="11" max="13" width="11.42578125" style="5" customWidth="1"/>
    <col min="14" max="16" width="8.5703125" style="5" customWidth="1"/>
    <col min="17" max="19" width="11.42578125" style="5" customWidth="1"/>
    <col min="20" max="22" width="8.5703125" style="5" customWidth="1"/>
    <col min="23" max="25" width="11.42578125" style="5" customWidth="1"/>
    <col min="26" max="28" width="8.5703125" style="5" customWidth="1"/>
    <col min="29" max="31" width="11.42578125" style="5" customWidth="1"/>
    <col min="32" max="34" width="8.5703125" style="5" customWidth="1"/>
    <col min="35" max="37" width="11.42578125" style="5" customWidth="1"/>
    <col min="38" max="40" width="8.5703125" style="5" customWidth="1"/>
    <col min="41" max="43" width="11.42578125" style="5" customWidth="1"/>
    <col min="44" max="46" width="8.5703125" style="5" customWidth="1"/>
  </cols>
  <sheetData>
    <row r="1" spans="1:46" ht="15.75" thickBot="1" x14ac:dyDescent="0.3">
      <c r="A1" s="247" t="s">
        <v>259</v>
      </c>
      <c r="B1" s="384">
        <v>46169</v>
      </c>
      <c r="C1" s="385"/>
      <c r="D1" s="184">
        <v>2.2499999999999999E-2</v>
      </c>
      <c r="E1" s="384">
        <v>46120</v>
      </c>
      <c r="F1" s="385"/>
      <c r="G1" s="184">
        <v>2.2499999999999999E-2</v>
      </c>
      <c r="H1" s="384">
        <v>46071</v>
      </c>
      <c r="I1" s="385"/>
      <c r="J1" s="184">
        <v>2.2499999999999999E-2</v>
      </c>
      <c r="K1" s="384">
        <v>45959</v>
      </c>
      <c r="L1" s="385"/>
      <c r="M1" s="184">
        <v>2.5000000000000001E-2</v>
      </c>
      <c r="N1" s="384">
        <v>45937</v>
      </c>
      <c r="O1" s="385"/>
      <c r="P1" s="184">
        <v>2.5000000000000001E-2</v>
      </c>
      <c r="Q1" s="383">
        <v>45888</v>
      </c>
      <c r="R1" s="380"/>
      <c r="S1" s="184">
        <v>0.03</v>
      </c>
      <c r="T1" s="383">
        <v>45846</v>
      </c>
      <c r="U1" s="380"/>
      <c r="V1" s="184">
        <v>3.2500000000000001E-2</v>
      </c>
      <c r="W1" s="383">
        <v>45804</v>
      </c>
      <c r="X1" s="380"/>
      <c r="Y1" s="184">
        <v>3.2500000000000001E-2</v>
      </c>
      <c r="Z1" s="384">
        <v>45755</v>
      </c>
      <c r="AA1" s="385"/>
      <c r="AB1" s="184">
        <v>3.5000000000000003E-2</v>
      </c>
      <c r="AC1" s="388">
        <v>45706</v>
      </c>
      <c r="AD1" s="389"/>
      <c r="AE1" s="184">
        <v>3.7499999999999999E-2</v>
      </c>
      <c r="AF1" s="390">
        <v>45622</v>
      </c>
      <c r="AG1" s="391"/>
      <c r="AH1" s="184">
        <v>4.2500000000000003E-2</v>
      </c>
      <c r="AI1" s="384">
        <v>45573</v>
      </c>
      <c r="AJ1" s="385"/>
      <c r="AK1" s="184">
        <v>4.7500000000000001E-2</v>
      </c>
      <c r="AL1" s="384">
        <v>45517</v>
      </c>
      <c r="AM1" s="392"/>
      <c r="AN1" s="184">
        <v>5.2499999999999998E-2</v>
      </c>
      <c r="AO1" s="386">
        <v>45482</v>
      </c>
      <c r="AP1" s="380"/>
      <c r="AQ1" s="184">
        <v>5.5E-2</v>
      </c>
      <c r="AR1" s="386">
        <v>45434</v>
      </c>
      <c r="AS1" s="387"/>
      <c r="AT1" s="184">
        <v>5.5E-2</v>
      </c>
    </row>
    <row r="2" spans="1:46" x14ac:dyDescent="0.25">
      <c r="A2" s="2" t="s">
        <v>1</v>
      </c>
      <c r="B2" s="381" t="str">
        <f t="shared" ref="B2" si="0">IF(AND(D3="-",D4="-",D5="-",D6="-",D7="-",D8="-"),
    "",
    IFERROR(
        IF(
            (SUM(
                IF(D3="-", 0, IF(D3&lt;0, -2, IF(D3&gt;0, 2, 0))),
                IF(D4="-", 0, IF(D4&lt;0, -2, IF(D4&gt;0, 2, 0))),
                IF(D5="-", 0, IF(D5&lt;0, -2, IF(D5&gt;0, 2, 0))),
                IF(D6="-", 0, IF(D6&lt;0, -1, IF(D6&gt;0, 1, 0))),
                IF(D7="-", 0, IF(D7&lt;0, -1, IF(D7&gt;0, 1, 0))),
                IF(D8="-", 0, IF(D8&lt;0, -1, IF(D8&gt;0, 1, 0)))
            ) / SUM(2,2,2,1,1,1)) &gt; 0.1,
            "BULLISH",
            IF(
                (SUM(
                    IF(D3="-", 0, IF(D3&lt;0, -2, IF(D3&gt;0, 2, 0))),
                    IF(D4="-", 0, IF(D4&lt;0, -2, IF(D4&gt;0, 2, 0))),
                    IF(D5="-", 0, IF(D5&lt;0, -2, IF(D5&gt;0, 2, 0))),
                    IF(D6="-", 0, IF(D6&lt;0, -1, IF(D6&gt;0, 1, 0))),
                    IF(D7="-", 0, IF(D7&lt;0, -1, IF(D7&gt;0, 1, 0))),
                    IF(D8="-", 0, IF(D8&lt;0, -1, IF(D8&gt;0, 1, 0)))
                ) / SUM(2,2,2,1,1,1)) &lt; -0.1,
                "BEARISH",
                "NEUTRO"
            )
        ),
        "NEUTRO"
    )
)</f>
        <v>NEUTRO</v>
      </c>
      <c r="C2" s="381"/>
      <c r="D2" s="382"/>
      <c r="E2" s="381" t="str">
        <f t="shared" ref="E2" si="1">IF(AND(G3="-",G4="-",G5="-",G6="-",G7="-",G8="-"),
    "",
    IFERROR(
        IF(
            (SUM(
                IF(G3="-", 0, IF(G3&lt;0, -2, IF(G3&gt;0, 2, 0))),
                IF(G4="-", 0, IF(G4&lt;0, -2, IF(G4&gt;0, 2, 0))),
                IF(G5="-", 0, IF(G5&lt;0, -2, IF(G5&gt;0, 2, 0))),
                IF(G6="-", 0, IF(G6&lt;0, -1, IF(G6&gt;0, 1, 0))),
                IF(G7="-", 0, IF(G7&lt;0, -1, IF(G7&gt;0, 1, 0))),
                IF(G8="-", 0, IF(G8&lt;0, -1, IF(G8&gt;0, 1, 0)))
            ) / SUM(2,2,2,1,1,1)) &gt; 0.1,
            "BULLISH",
            IF(
                (SUM(
                    IF(G3="-", 0, IF(G3&lt;0, -2, IF(G3&gt;0, 2, 0))),
                    IF(G4="-", 0, IF(G4&lt;0, -2, IF(G4&gt;0, 2, 0))),
                    IF(G5="-", 0, IF(G5&lt;0, -2, IF(G5&gt;0, 2, 0))),
                    IF(G6="-", 0, IF(G6&lt;0, -1, IF(G6&gt;0, 1, 0))),
                    IF(G7="-", 0, IF(G7&lt;0, -1, IF(G7&gt;0, 1, 0))),
                    IF(G8="-", 0, IF(G8&lt;0, -1, IF(G8&gt;0, 1, 0)))
                ) / SUM(2,2,2,1,1,1)) &lt; -0.1,
                "BEARISH",
                "NEUTRO"
            )
        ),
        "NEUTRO"
    )
)</f>
        <v>NEUTRO</v>
      </c>
      <c r="F2" s="381"/>
      <c r="G2" s="382"/>
      <c r="H2" s="381" t="str">
        <f>IF(AND(J3="-",J4="-",J5="-",J6="-",J7="-",J8="-"),
    "",
    IFERROR(
        IF(
            (SUM(
                IF(J3="-", 0, IF(J3&lt;0, -2, IF(J3&gt;0, 2, 0))),
                IF(J4="-", 0, IF(J4&lt;0, -2, IF(J4&gt;0, 2, 0))),
                IF(J5="-", 0, IF(J5&lt;0, -2, IF(J5&gt;0, 2, 0))),
                IF(J6="-", 0, IF(J6&lt;0, -1, IF(J6&gt;0, 1, 0))),
                IF(J7="-", 0, IF(J7&lt;0, -1, IF(J7&gt;0, 1, 0))),
                IF(J8="-", 0, IF(J8&lt;0, -1, IF(J8&gt;0, 1, 0)))
            ) / SUM(2,2,2,1,1,1)) &gt; 0.1,
            "BULLISH",
            IF(
                (SUM(
                    IF(J3="-", 0, IF(J3&lt;0, -2, IF(J3&gt;0, 2, 0))),
                    IF(J4="-", 0, IF(J4&lt;0, -2, IF(J4&gt;0, 2, 0))),
                    IF(J5="-", 0, IF(J5&lt;0, -2, IF(J5&gt;0, 2, 0))),
                    IF(J6="-", 0, IF(J6&lt;0, -1, IF(J6&gt;0, 1, 0))),
                    IF(J7="-", 0, IF(J7&lt;0, -1, IF(J7&gt;0, 1, 0))),
                    IF(J8="-", 0, IF(J8&lt;0, -1, IF(J8&gt;0, 1, 0)))
                ) / SUM(2,2,2,1,1,1)) &lt; -0.1,
                "BEARISH",
                "NEUTRO"
            )
        ),
        "NEUTRO"
    )
)</f>
        <v>BULLISH</v>
      </c>
      <c r="I2" s="381"/>
      <c r="J2" s="382"/>
      <c r="K2" s="381" t="str">
        <f>IF(AND(M3="-",M4="-",M5="-",M6="-",M7="-",M8="-"),
    "",
    IFERROR(
        IF(
            (SUM(
                IF(M3="-", 0, IF(M3&lt;0, -2, IF(M3&gt;0, 2, 0))),
                IF(M4="-", 0, IF(M4&lt;0, -2, IF(M4&gt;0, 2, 0))),
                IF(M5="-", 0, IF(M5&lt;0, -2, IF(M5&gt;0, 2, 0))),
                IF(M6="-", 0, IF(M6&lt;0, -1, IF(M6&gt;0, 1, 0))),
                IF(M7="-", 0, IF(M7&lt;0, -1, IF(M7&gt;0, 1, 0))),
                IF(M8="-", 0, IF(M8&lt;0, -1, IF(M8&gt;0, 1, 0)))
            ) / SUM(2,2,2,1,1,1)) &gt; 0.1,
            "BULLISH",
            IF(
                (SUM(
                    IF(M3="-", 0, IF(M3&lt;0, -2, IF(M3&gt;0, 2, 0))),
                    IF(M4="-", 0, IF(M4&lt;0, -2, IF(M4&gt;0, 2, 0))),
                    IF(M5="-", 0, IF(M5&lt;0, -2, IF(M5&gt;0, 2, 0))),
                    IF(M6="-", 0, IF(M6&lt;0, -1, IF(M6&gt;0, 1, 0))),
                    IF(M7="-", 0, IF(M7&lt;0, -1, IF(M7&gt;0, 1, 0))),
                    IF(M8="-", 0, IF(M8&lt;0, -1, IF(M8&gt;0, 1, 0)))
                ) / SUM(2,2,2,1,1,1)) &lt; -0.1,
                "BEARISH",
                "NEUTRO"
            )
        ),
        "NEUTRO"
    )
)</f>
        <v>NEUTRO</v>
      </c>
      <c r="L2" s="381"/>
      <c r="M2" s="382"/>
      <c r="N2" s="381" t="str">
        <f>IF(AND(P3="-",P4="-",P5="-",P6="-",P7="-",P8="-"),
    "",
    IFERROR(
        IF(
            (SUM(
                IF(P3="-", 0, IF(P3&lt;0, -2, IF(P3&gt;0, 2, 0))),
                IF(P4="-", 0, IF(P4&lt;0, -2, IF(P4&gt;0, 2, 0))),
                IF(P5="-", 0, IF(P5&lt;0, -2, IF(P5&gt;0, 2, 0))),
                IF(P6="-", 0, IF(P6&lt;0, -1, IF(P6&gt;0, 1, 0))),
                IF(P7="-", 0, IF(P7&lt;0, -1, IF(P7&gt;0, 1, 0))),
                IF(P8="-", 0, IF(P8&lt;0, -1, IF(P8&gt;0, 1, 0)))
            ) / SUM(2,2,2,1,1,1)) &gt; 0.1,
            "BULLISH",
            IF(
                (SUM(
                    IF(P3="-", 0, IF(P3&lt;0, -2, IF(P3&gt;0, 2, 0))),
                    IF(P4="-", 0, IF(P4&lt;0, -2, IF(P4&gt;0, 2, 0))),
                    IF(P5="-", 0, IF(P5&lt;0, -2, IF(P5&gt;0, 2, 0))),
                    IF(P6="-", 0, IF(P6&lt;0, -1, IF(P6&gt;0, 1, 0))),
                    IF(P7="-", 0, IF(P7&lt;0, -1, IF(P7&gt;0, 1, 0))),
                    IF(P8="-", 0, IF(P8&lt;0, -1, IF(P8&gt;0, 1, 0)))
                ) / SUM(2,2,2,1,1,1)) &lt; -0.1,
                "BEARISH",
                "NEUTRO"
            )
        ),
        "NEUTRO"
    )
)</f>
        <v>NEUTRO</v>
      </c>
      <c r="O2" s="381"/>
      <c r="P2" s="382"/>
      <c r="Q2" s="381" t="str">
        <f>IF(AND(S3="-",S4="-",S5="-",S6="-",S7="-",S8="-"),
    "",
    IFERROR(
        IF(
            (SUM(
                IF(S3="-", 0, IF(S3&lt;0, -2, IF(S3&gt;0, 2, 0))),
                IF(S4="-", 0, IF(S4&lt;0, -2, IF(S4&gt;0, 2, 0))),
                IF(S5="-", 0, IF(S5&lt;0, -2, IF(S5&gt;0, 2, 0))),
                IF(S6="-", 0, IF(S6&lt;0, -1, IF(S6&gt;0, 1, 0))),
                IF(S7="-", 0, IF(S7&lt;0, -1, IF(S7&gt;0, 1, 0))),
                IF(S8="-", 0, IF(S8&lt;0, -1, IF(S8&gt;0, 1, 0)))
            ) / SUM(2,2,2,1,1,1)) &gt; 0.1,
            "BULLISH",
            IF(
                (SUM(
                    IF(S3="-", 0, IF(S3&lt;0, -2, IF(S3&gt;0, 2, 0))),
                    IF(S4="-", 0, IF(S4&lt;0, -2, IF(S4&gt;0, 2, 0))),
                    IF(S5="-", 0, IF(S5&lt;0, -2, IF(S5&gt;0, 2, 0))),
                    IF(S6="-", 0, IF(S6&lt;0, -1, IF(S6&gt;0, 1, 0))),
                    IF(S7="-", 0, IF(S7&lt;0, -1, IF(S7&gt;0, 1, 0))),
                    IF(S8="-", 0, IF(S8&lt;0, -1, IF(S8&gt;0, 1, 0)))
                ) / SUM(2,2,2,1,1,1)) &lt; -0.1,
                "BEARISH",
                "NEUTRO"
            )
        ),
        "NEUTRO"
    )
)</f>
        <v>BEARISH</v>
      </c>
      <c r="R2" s="381"/>
      <c r="S2" s="382"/>
      <c r="T2" s="381" t="str">
        <f>IF(AND(V3="-",V4="-",V5="-",V6="-",V7="-",V8="-"),
    "",
    IFERROR(
        IF(
            (SUM(
                IF(V3="-", 0, IF(V3&lt;0, -2, IF(V3&gt;0, 2, 0))),
                IF(V4="-", 0, IF(V4&lt;0, -2, IF(V4&gt;0, 2, 0))),
                IF(V5="-", 0, IF(V5&lt;0, -2, IF(V5&gt;0, 2, 0))),
                IF(V6="-", 0, IF(V6&lt;0, -1, IF(V6&gt;0, 1, 0))),
                IF(V7="-", 0, IF(V7&lt;0, -1, IF(V7&gt;0, 1, 0))),
                IF(V8="-", 0, IF(V8&lt;0, -1, IF(V8&gt;0, 1, 0)))
            ) / SUM(2,2,2,1,1,1)) &gt; 0.1,
            "BULLISH",
            IF(
                (SUM(
                    IF(V3="-", 0, IF(V3&lt;0, -2, IF(V3&gt;0, 2, 0))),
                    IF(V4="-", 0, IF(V4&lt;0, -2, IF(V4&gt;0, 2, 0))),
                    IF(V5="-", 0, IF(V5&lt;0, -2, IF(V5&gt;0, 2, 0))),
                    IF(V6="-", 0, IF(V6&lt;0, -1, IF(V6&gt;0, 1, 0))),
                    IF(V7="-", 0, IF(V7&lt;0, -1, IF(V7&gt;0, 1, 0))),
                    IF(V8="-", 0, IF(V8&lt;0, -1, IF(V8&gt;0, 1, 0)))
                ) / SUM(2,2,2,1,1,1)) &lt; -0.1,
                "BEARISH",
                "NEUTRO"
            )
        ),
        "NEUTRO"
    )
)</f>
        <v>BULLISH</v>
      </c>
      <c r="U2" s="381"/>
      <c r="V2" s="382"/>
      <c r="W2" s="381" t="str">
        <f>IF(AND(Y3="-",Y4="-",Y5="-",Y6="-",Y7="-",Y8="-"),
    "",
    IFERROR(
        IF(
            (SUM(
                IF(Y3="-", 0, IF(Y3&lt;0, -2, IF(Y3&gt;0, 2, 0))),
                IF(Y4="-", 0, IF(Y4&lt;0, -2, IF(Y4&gt;0, 2, 0))),
                IF(Y5="-", 0, IF(Y5&lt;0, -2, IF(Y5&gt;0, 2, 0))),
                IF(Y6="-", 0, IF(Y6&lt;0, -1, IF(Y6&gt;0, 1, 0))),
                IF(Y7="-", 0, IF(Y7&lt;0, -1, IF(Y7&gt;0, 1, 0))),
                IF(Y8="-", 0, IF(Y8&lt;0, -1, IF(Y8&gt;0, 1, 0)))
            ) / SUM(2,2,2,1,1,1)) &gt; 0.1,
            "BULLISH",
            IF(
                (SUM(
                    IF(Y3="-", 0, IF(Y3&lt;0, -2, IF(Y3&gt;0, 2, 0))),
                    IF(Y4="-", 0, IF(Y4&lt;0, -2, IF(Y4&gt;0, 2, 0))),
                    IF(Y5="-", 0, IF(Y5&lt;0, -2, IF(Y5&gt;0, 2, 0))),
                    IF(Y6="-", 0, IF(Y6&lt;0, -1, IF(Y6&gt;0, 1, 0))),
                    IF(Y7="-", 0, IF(Y7&lt;0, -1, IF(Y7&gt;0, 1, 0))),
                    IF(Y8="-", 0, IF(Y8&lt;0, -1, IF(Y8&gt;0, 1, 0)))
                ) / SUM(2,2,2,1,1,1)) &lt; -0.1,
                "BEARISH",
                "NEUTRO"
            )
        ),
        "NEUTRO"
    )
)</f>
        <v>BULLISH</v>
      </c>
      <c r="X2" s="381"/>
      <c r="Y2" s="382"/>
      <c r="Z2" s="381" t="str">
        <f>IF(AND(AB3="-",AB4="-",AB5="-",AB6="-",AB7="-",AB8="-"),
    "",
    IFERROR(
        IF(
            (SUM(
                IF(AB3="-", 0, IF(AB3&lt;0, -2, IF(AB3&gt;0, 2, 0))),
                IF(AB4="-", 0, IF(AB4&lt;0, -2, IF(AB4&gt;0, 2, 0))),
                IF(AB5="-", 0, IF(AB5&lt;0, -2, IF(AB5&gt;0, 2, 0))),
                IF(AB6="-", 0, IF(AB6&lt;0, -1, IF(AB6&gt;0, 1, 0))),
                IF(AB7="-", 0, IF(AB7&lt;0, -1, IF(AB7&gt;0, 1, 0))),
                IF(AB8="-", 0, IF(AB8&lt;0, -1, IF(AB8&gt;0, 1, 0)))
            ) / SUM(2,2,2,1,1,1)) &gt; 0.1,
            "BULLISH",
            IF(
                (SUM(
                    IF(AB3="-", 0, IF(AB3&lt;0, -2, IF(AB3&gt;0, 2, 0))),
                    IF(AB4="-", 0, IF(AB4&lt;0, -2, IF(AB4&gt;0, 2, 0))),
                    IF(AB5="-", 0, IF(AB5&lt;0, -2, IF(AB5&gt;0, 2, 0))),
                    IF(AB6="-", 0, IF(AB6&lt;0, -1, IF(AB6&gt;0, 1, 0))),
                    IF(AB7="-", 0, IF(AB7&lt;0, -1, IF(AB7&gt;0, 1, 0))),
                    IF(AB8="-", 0, IF(AB8&lt;0, -1, IF(AB8&gt;0, 1, 0)))
                ) / SUM(2,2,2,1,1,1)) &lt; -0.1,
                "BEARISH",
                "NEUTRO"
            )
        ),
        "NEUTRO"
    )
)</f>
        <v>BEARISH</v>
      </c>
      <c r="AA2" s="381"/>
      <c r="AB2" s="382"/>
      <c r="AC2" s="381" t="str">
        <f>IF(AND(AE3="-",AE4="-",AE5="-",AE6="-",AE7="-",AE8="-"),
    "",
    IFERROR(
        IF(
            (SUM(
                IF(AE3="-", 0, IF(AE3&lt;0, -2, IF(AE3&gt;0, 2, 0))),
                IF(AE4="-", 0, IF(AE4&lt;0, -2, IF(AE4&gt;0, 2, 0))),
                IF(AE5="-", 0, IF(AE5&lt;0, -2, IF(AE5&gt;0, 2, 0))),
                IF(AE6="-", 0, IF(AE6&lt;0, -1, IF(AE6&gt;0, 1, 0))),
                IF(AE7="-", 0, IF(AE7&lt;0, -1, IF(AE7&gt;0, 1, 0))),
                IF(AE8="-", 0, IF(AE8&lt;0, -1, IF(AE8&gt;0, 1, 0)))
            ) / SUM(2,2,2,1,1,1)) &gt; 0.1,
            "BULLISH",
            IF(
                (SUM(
                    IF(AE3="-", 0, IF(AE3&lt;0, -2, IF(AE3&gt;0, 2, 0))),
                    IF(AE4="-", 0, IF(AE4&lt;0, -2, IF(AE4&gt;0, 2, 0))),
                    IF(AE5="-", 0, IF(AE5&lt;0, -2, IF(AE5&gt;0, 2, 0))),
                    IF(AE6="-", 0, IF(AE6&lt;0, -1, IF(AE6&gt;0, 1, 0))),
                    IF(AE7="-", 0, IF(AE7&lt;0, -1, IF(AE7&gt;0, 1, 0))),
                    IF(AE8="-", 0, IF(AE8&lt;0, -1, IF(AE8&gt;0, 1, 0)))
                ) / SUM(2,2,2,1,1,1)) &lt; -0.1,
                "BEARISH",
                "NEUTRO"
            )
        ),
        "NEUTRO"
    )
)</f>
        <v>BEARISH</v>
      </c>
      <c r="AD2" s="381"/>
      <c r="AE2" s="382"/>
      <c r="AF2" s="381" t="str">
        <f>IF(AND(AH3="-",AH4="-",AH5="-",AH6="-",AH7="-",AH8="-"),
    "",
    IFERROR(
        IF(
            (SUM(
                IF(AH3="-", 0, IF(AH3&lt;0, -2, IF(AH3&gt;0, 2, 0))),
                IF(AH4="-", 0, IF(AH4&lt;0, -2, IF(AH4&gt;0, 2, 0))),
                IF(AH5="-", 0, IF(AH5&lt;0, -2, IF(AH5&gt;0, 2, 0))),
                IF(AH6="-", 0, IF(AH6&lt;0, -1, IF(AH6&gt;0, 1, 0))),
                IF(AH7="-", 0, IF(AH7&lt;0, -1, IF(AH7&gt;0, 1, 0))),
                IF(AH8="-", 0, IF(AH8&lt;0, -1, IF(AH8&gt;0, 1, 0)))
            ) / SUM(2,2,2,1,1,1)) &gt; 0.1,
            "BULLISH",
            IF(
                (SUM(
                    IF(AH3="-", 0, IF(AH3&lt;0, -2, IF(AH3&gt;0, 2, 0))),
                    IF(AH4="-", 0, IF(AH4&lt;0, -2, IF(AH4&gt;0, 2, 0))),
                    IF(AH5="-", 0, IF(AH5&lt;0, -2, IF(AH5&gt;0, 2, 0))),
                    IF(AH6="-", 0, IF(AH6&lt;0, -1, IF(AH6&gt;0, 1, 0))),
                    IF(AH7="-", 0, IF(AH7&lt;0, -1, IF(AH7&gt;0, 1, 0))),
                    IF(AH8="-", 0, IF(AH8&lt;0, -1, IF(AH8&gt;0, 1, 0)))
                ) / SUM(2,2,2,1,1,1)) &lt; -0.1,
                "BEARISH",
                "NEUTRO"
            )
        ),
        "NEUTRO"
    )
)</f>
        <v>BULLISH</v>
      </c>
      <c r="AG2" s="381"/>
      <c r="AH2" s="382"/>
      <c r="AI2" s="381" t="str">
        <f>IF(AND(AK3="-",AK4="-",AK5="-",AK6="-",AK7="-",AK8="-"),
    "",
    IFERROR(
        IF(
            (SUM(
                IF(AK3="-", 0, IF(AK3&lt;0, -2, IF(AK3&gt;0, 2, 0))),
                IF(AK4="-", 0, IF(AK4&lt;0, -2, IF(AK4&gt;0, 2, 0))),
                IF(AK5="-", 0, IF(AK5&lt;0, -2, IF(AK5&gt;0, 2, 0))),
                IF(AK6="-", 0, IF(AK6&lt;0, -1, IF(AK6&gt;0, 1, 0))),
                IF(AK7="-", 0, IF(AK7&lt;0, -1, IF(AK7&gt;0, 1, 0))),
                IF(AK8="-", 0, IF(AK8&lt;0, -1, IF(AK8&gt;0, 1, 0)))
            ) / SUM(2,2,2,1,1,1)) &gt; 0.1,
            "BULLISH",
            IF(
                (SUM(
                    IF(AK3="-", 0, IF(AK3&lt;0, -2, IF(AK3&gt;0, 2, 0))),
                    IF(AK4="-", 0, IF(AK4&lt;0, -2, IF(AK4&gt;0, 2, 0))),
                    IF(AK5="-", 0, IF(AK5&lt;0, -2, IF(AK5&gt;0, 2, 0))),
                    IF(AK6="-", 0, IF(AK6&lt;0, -1, IF(AK6&gt;0, 1, 0))),
                    IF(AK7="-", 0, IF(AK7&lt;0, -1, IF(AK7&gt;0, 1, 0))),
                    IF(AK8="-", 0, IF(AK8&lt;0, -1, IF(AK8&gt;0, 1, 0)))
                ) / SUM(2,2,2,1,1,1)) &lt; -0.1,
                "BEARISH",
                "NEUTRO"
            )
        ),
        "NEUTRO"
    )
)</f>
        <v>BULLISH</v>
      </c>
      <c r="AJ2" s="381"/>
      <c r="AK2" s="382"/>
      <c r="AL2" s="381" t="str">
        <f>IF(AND(AN3="-",AN4="-",AN5="-",AN6="-",AN7="-",AN8="-"),
    "",
    IFERROR(
        IF(
            (SUM(
                IF(AN3="-", 0, IF(AN3&lt;0, -2, IF(AN3&gt;0, 2, 0))),
                IF(AN4="-", 0, IF(AN4&lt;0, -2, IF(AN4&gt;0, 2, 0))),
                IF(AN5="-", 0, IF(AN5&lt;0, -2, IF(AN5&gt;0, 2, 0))),
                IF(AN6="-", 0, IF(AN6&lt;0, -1, IF(AN6&gt;0, 1, 0))),
                IF(AN7="-", 0, IF(AN7&lt;0, -1, IF(AN7&gt;0, 1, 0))),
                IF(AN8="-", 0, IF(AN8&lt;0, -1, IF(AN8&gt;0, 1, 0)))
            ) / SUM(2,2,2,1,1,1)) &gt; 0.1,
            "BULLISH",
            IF(
                (SUM(
                    IF(AN3="-", 0, IF(AN3&lt;0, -2, IF(AN3&gt;0, 2, 0))),
                    IF(AN4="-", 0, IF(AN4&lt;0, -2, IF(AN4&gt;0, 2, 0))),
                    IF(AN5="-", 0, IF(AN5&lt;0, -2, IF(AN5&gt;0, 2, 0))),
                    IF(AN6="-", 0, IF(AN6&lt;0, -1, IF(AN6&gt;0, 1, 0))),
                    IF(AN7="-", 0, IF(AN7&lt;0, -1, IF(AN7&gt;0, 1, 0))),
                    IF(AN8="-", 0, IF(AN8&lt;0, -1, IF(AN8&gt;0, 1, 0)))
                ) / SUM(2,2,2,1,1,1)) &lt; -0.1,
                "BEARISH",
                "NEUTRO"
            )
        ),
        "NEUTRO"
    )
)</f>
        <v>BEARISH</v>
      </c>
      <c r="AM2" s="381"/>
      <c r="AN2" s="382"/>
      <c r="AO2" s="381" t="str">
        <f>IF(AND(AQ3="-",AQ4="-",AQ5="-",AQ6="-",AQ7="-",AQ8="-"),
    "",
    IFERROR(
        IF(
            (SUM(
                IF(AQ3="-", 0, IF(AQ3&lt;0, -2, IF(AQ3&gt;0, 2, 0))),
                IF(AQ4="-", 0, IF(AQ4&lt;0, -2, IF(AQ4&gt;0, 2, 0))),
                IF(AQ5="-", 0, IF(AQ5&lt;0, -2, IF(AQ5&gt;0, 2, 0))),
                IF(AQ6="-", 0, IF(AQ6&lt;0, -1, IF(AQ6&gt;0, 1, 0))),
                IF(AQ7="-", 0, IF(AQ7&lt;0, -1, IF(AQ7&gt;0, 1, 0))),
                IF(AQ8="-", 0, IF(AQ8&lt;0, -1, IF(AQ8&gt;0, 1, 0)))
            ) / SUM(2,2,2,1,1,1)) &gt; 0.1,
            "BULLISH",
            IF(
                (SUM(
                    IF(AQ3="-", 0, IF(AQ3&lt;0, -2, IF(AQ3&gt;0, 2, 0))),
                    IF(AQ4="-", 0, IF(AQ4&lt;0, -2, IF(AQ4&gt;0, 2, 0))),
                    IF(AQ5="-", 0, IF(AQ5&lt;0, -2, IF(AQ5&gt;0, 2, 0))),
                    IF(AQ6="-", 0, IF(AQ6&lt;0, -1, IF(AQ6&gt;0, 1, 0))),
                    IF(AQ7="-", 0, IF(AQ7&lt;0, -1, IF(AQ7&gt;0, 1, 0))),
                    IF(AQ8="-", 0, IF(AQ8&lt;0, -1, IF(AQ8&gt;0, 1, 0)))
                ) / SUM(2,2,2,1,1,1)) &lt; -0.1,
                "BEARISH",
                "NEUTRO"
            )
        ),
        "NEUTRO"
    )
)</f>
        <v>BEARISH</v>
      </c>
      <c r="AP2" s="381"/>
      <c r="AQ2" s="382"/>
      <c r="AR2" s="321" t="str">
        <f>IF(AND(AT3="-",AT4="-",AT5="-",AT6="-",AT7="-",AT8="-"),
    "",
    IFERROR(
        IF(
            (SUM(
                IF(AT3="-", 0, IF(AT3&lt;0, -2, IF(AT3&gt;0, 2, 0))),
                IF(AT4="-", 0, IF(AT4&lt;0, -2, IF(AT4&gt;0, 2, 0))),
                IF(AT5="-", 0, IF(AT5&lt;0, -2, IF(AT5&gt;0, 2, 0))),
                IF(AT6="-", 0, IF(AT6&lt;0, -1, IF(AT6&gt;0, 1, 0))),
                IF(AT7="-", 0, IF(AT7&lt;0, -1, IF(AT7&gt;0, 1, 0))),
                IF(AT8="-", 0, IF(AT8&lt;0, -1, IF(AT8&gt;0, 1, 0)))
            ) / SUM(2,2,2,1,1,1)) &gt; 0.1,
            "BULLISH",
            IF(
                (SUM(
                    IF(AT3="-", 0, IF(AT3&lt;0, -2, IF(AT3&gt;0, 2, 0))),
                    IF(AT4="-", 0, IF(AT4&lt;0, -2, IF(AT4&gt;0, 2, 0))),
                    IF(AT5="-", 0, IF(AT5&lt;0, -2, IF(AT5&gt;0, 2, 0))),
                    IF(AT6="-", 0, IF(AT6&lt;0, -1, IF(AT6&gt;0, 1, 0))),
                    IF(AT7="-", 0, IF(AT7&lt;0, -1, IF(AT7&gt;0, 1, 0))),
                    IF(AT8="-", 0, IF(AT8&lt;0, -1, IF(AT8&gt;0, 1, 0)))
                ) / SUM(2,2,2,1,1,1)) &lt; -0.1,
                "BEARISH",
                "NEUTRO"
            )
        ),
        "NEUTRO"
    )
)</f>
        <v>BULLISH</v>
      </c>
      <c r="AS2" s="321"/>
      <c r="AT2" s="319"/>
    </row>
    <row r="3" spans="1:46" x14ac:dyDescent="0.25">
      <c r="A3" s="185" t="s">
        <v>231</v>
      </c>
      <c r="B3" s="187"/>
      <c r="C3" s="187"/>
      <c r="D3" s="34" t="str">
        <f t="shared" ref="D3:D8" si="2">IF(ISBLANK(B3),"-",B3-C3)</f>
        <v>-</v>
      </c>
      <c r="E3" s="187"/>
      <c r="F3" s="187"/>
      <c r="G3" s="34" t="str">
        <f t="shared" ref="G3:G8" si="3">IF(ISBLANK(E3),"-",E3-F3)</f>
        <v>-</v>
      </c>
      <c r="H3" s="186">
        <v>8.9999999999999993E-3</v>
      </c>
      <c r="I3" s="244">
        <v>6.0000000000000001E-3</v>
      </c>
      <c r="J3" s="34">
        <f t="shared" ref="J3:J8" si="4">IF(ISBLANK(H3),"-",H3-I3)</f>
        <v>2.9999999999999992E-3</v>
      </c>
      <c r="K3" s="244">
        <v>0.01</v>
      </c>
      <c r="L3" s="186">
        <v>5.0000000000000001E-3</v>
      </c>
      <c r="M3" s="34">
        <f t="shared" ref="M3:M8" si="5">IF(ISBLANK(K3),"-",K3-L3)</f>
        <v>5.0000000000000001E-3</v>
      </c>
      <c r="N3" s="187"/>
      <c r="O3" s="186">
        <v>5.0000000000000001E-3</v>
      </c>
      <c r="P3" s="34" t="str">
        <f t="shared" ref="P3:P8" si="6">IF(ISBLANK(N3),"-",N3-O3)</f>
        <v>-</v>
      </c>
      <c r="Q3" s="186">
        <v>5.0000000000000001E-3</v>
      </c>
      <c r="R3" s="186">
        <v>8.9999999999999993E-3</v>
      </c>
      <c r="S3" s="34">
        <f t="shared" ref="S3:S8" si="7">IF(ISBLANK(Q3),"-",Q3-R3)</f>
        <v>-3.9999999999999992E-3</v>
      </c>
      <c r="T3" s="186">
        <v>8.9999999999999993E-3</v>
      </c>
      <c r="U3" s="186">
        <v>5.0000000000000001E-3</v>
      </c>
      <c r="V3" s="34">
        <f t="shared" ref="V3:V8" si="8">IF(ISBLANK(T3),"-",T3-U3)</f>
        <v>3.9999999999999992E-3</v>
      </c>
      <c r="W3" s="186">
        <v>8.9999999999999993E-3</v>
      </c>
      <c r="X3" s="186">
        <v>5.0000000000000001E-3</v>
      </c>
      <c r="Y3" s="34">
        <f t="shared" ref="Y3:Y8" si="9">IF(ISBLANK(W3),"-",W3-X3)</f>
        <v>3.9999999999999992E-3</v>
      </c>
      <c r="Z3" s="186">
        <v>4.0000000000000001E-3</v>
      </c>
      <c r="AA3" s="186">
        <v>5.0000000000000001E-3</v>
      </c>
      <c r="AB3" s="34">
        <f t="shared" ref="AB3:AB8" si="10">IF(ISBLANK(Z3),"-",Z3-AA3)</f>
        <v>-1E-3</v>
      </c>
      <c r="AC3" s="186">
        <v>5.0000000000000001E-3</v>
      </c>
      <c r="AD3" s="186">
        <v>6.0000000000000001E-3</v>
      </c>
      <c r="AE3" s="34">
        <f t="shared" ref="AE3:AE8" si="11">IF(ISBLANK(AC3),"-",AC3-AD3)</f>
        <v>-1E-3</v>
      </c>
      <c r="AF3" s="186">
        <v>6.0000000000000001E-3</v>
      </c>
      <c r="AG3" s="186">
        <v>4.0000000000000001E-3</v>
      </c>
      <c r="AH3" s="34">
        <f t="shared" ref="AH3:AH8" si="12">IF(ISBLANK(AF3),"-",AF3-AG3)</f>
        <v>2E-3</v>
      </c>
      <c r="AI3" s="187"/>
      <c r="AJ3" s="187"/>
      <c r="AK3" s="34" t="str">
        <f t="shared" ref="AK3:AK8" si="13">IF(ISBLANK(AI3),"-",AI3-AJ3)</f>
        <v>-</v>
      </c>
      <c r="AL3" s="186">
        <v>4.0000000000000001E-3</v>
      </c>
      <c r="AM3" s="186">
        <v>6.0000000000000001E-3</v>
      </c>
      <c r="AN3" s="34">
        <f t="shared" ref="AN3:AN8" si="14">IF(ISBLANK(AL3),"-",AL3-AM3)</f>
        <v>-2E-3</v>
      </c>
      <c r="AO3" s="186">
        <v>4.0000000000000001E-3</v>
      </c>
      <c r="AP3" s="186">
        <v>6.0000000000000001E-3</v>
      </c>
      <c r="AQ3" s="34">
        <f t="shared" ref="AQ3:AQ8" si="15">IF(ISBLANK(AO3),"-",AO3-AP3)</f>
        <v>-2E-3</v>
      </c>
      <c r="AR3" s="186">
        <v>6.0000000000000001E-3</v>
      </c>
      <c r="AS3" s="186">
        <v>5.0000000000000001E-3</v>
      </c>
      <c r="AT3" s="34">
        <f t="shared" ref="AT3:AT8" si="16">IF(ISBLANK(AR3),"-",AR3-AS3)</f>
        <v>1E-3</v>
      </c>
    </row>
    <row r="4" spans="1:46" x14ac:dyDescent="0.25">
      <c r="A4" s="185" t="s">
        <v>260</v>
      </c>
      <c r="B4" s="187"/>
      <c r="C4" s="187"/>
      <c r="D4" s="34">
        <f>B4-C4</f>
        <v>0</v>
      </c>
      <c r="E4" s="187"/>
      <c r="F4" s="187"/>
      <c r="G4" s="34">
        <f>E4-F4</f>
        <v>0</v>
      </c>
      <c r="H4" s="187">
        <v>6.0000000000000001E-3</v>
      </c>
      <c r="I4" s="187">
        <v>6.0000000000000001E-3</v>
      </c>
      <c r="J4" s="34">
        <f>H4-I4</f>
        <v>0</v>
      </c>
      <c r="K4" s="187"/>
      <c r="L4" s="187"/>
      <c r="M4" s="34" t="str">
        <f t="shared" si="5"/>
        <v>-</v>
      </c>
      <c r="N4" s="187"/>
      <c r="O4" s="186">
        <v>6.0000000000000001E-3</v>
      </c>
      <c r="P4" s="34" t="str">
        <f t="shared" si="6"/>
        <v>-</v>
      </c>
      <c r="Q4" s="186">
        <v>6.0000000000000001E-3</v>
      </c>
      <c r="R4" s="186">
        <v>2.9000000000000001E-2</v>
      </c>
      <c r="S4" s="34">
        <f t="shared" si="7"/>
        <v>-2.3E-2</v>
      </c>
      <c r="T4" s="186">
        <v>2.9000000000000001E-2</v>
      </c>
      <c r="U4" s="186">
        <v>2E-3</v>
      </c>
      <c r="V4" s="34">
        <f t="shared" si="8"/>
        <v>2.7000000000000003E-2</v>
      </c>
      <c r="W4" s="186">
        <v>2.9000000000000001E-2</v>
      </c>
      <c r="X4" s="186">
        <v>2E-3</v>
      </c>
      <c r="Y4" s="34">
        <f t="shared" si="9"/>
        <v>2.7000000000000003E-2</v>
      </c>
      <c r="Z4" s="186">
        <v>-8.9999999999999993E-3</v>
      </c>
      <c r="AA4" s="186">
        <v>1.9E-2</v>
      </c>
      <c r="AB4" s="34">
        <f t="shared" si="10"/>
        <v>-2.7999999999999997E-2</v>
      </c>
      <c r="AC4" s="186">
        <v>-8.9999999999999993E-3</v>
      </c>
      <c r="AD4" s="186">
        <v>1.9E-2</v>
      </c>
      <c r="AE4" s="34">
        <f t="shared" si="11"/>
        <v>-2.7999999999999997E-2</v>
      </c>
      <c r="AF4" s="186">
        <v>1.9E-2</v>
      </c>
      <c r="AG4" s="186">
        <v>1.4E-2</v>
      </c>
      <c r="AH4" s="34">
        <f t="shared" si="12"/>
        <v>4.9999999999999992E-3</v>
      </c>
      <c r="AI4" s="186">
        <v>1.4E-2</v>
      </c>
      <c r="AJ4" s="186">
        <v>7.0000000000000001E-3</v>
      </c>
      <c r="AK4" s="34">
        <f t="shared" si="13"/>
        <v>7.0000000000000001E-3</v>
      </c>
      <c r="AL4" s="187"/>
      <c r="AM4" s="187"/>
      <c r="AN4" s="34" t="str">
        <f t="shared" si="14"/>
        <v>-</v>
      </c>
      <c r="AO4" s="187"/>
      <c r="AP4" s="187"/>
      <c r="AQ4" s="34" t="str">
        <f t="shared" si="15"/>
        <v>-</v>
      </c>
      <c r="AR4" s="187"/>
      <c r="AS4" s="187"/>
      <c r="AT4" s="34" t="str">
        <f t="shared" si="16"/>
        <v>-</v>
      </c>
    </row>
    <row r="5" spans="1:46" x14ac:dyDescent="0.25">
      <c r="A5" s="185" t="s">
        <v>261</v>
      </c>
      <c r="B5" s="187"/>
      <c r="C5" s="187"/>
      <c r="D5" s="34">
        <f>B5-C5</f>
        <v>0</v>
      </c>
      <c r="E5" s="187"/>
      <c r="F5" s="187"/>
      <c r="G5" s="34">
        <f>E5-F5</f>
        <v>0</v>
      </c>
      <c r="H5" s="187">
        <v>6.0000000000000001E-3</v>
      </c>
      <c r="I5" s="187">
        <v>6.0000000000000001E-3</v>
      </c>
      <c r="J5" s="34">
        <f>H5-I5</f>
        <v>0</v>
      </c>
      <c r="K5" s="187"/>
      <c r="L5" s="187"/>
      <c r="M5" s="34" t="str">
        <f t="shared" si="5"/>
        <v>-</v>
      </c>
      <c r="N5" s="187"/>
      <c r="O5" s="186">
        <v>6.0000000000000001E-3</v>
      </c>
      <c r="P5" s="34" t="str">
        <f t="shared" si="6"/>
        <v>-</v>
      </c>
      <c r="Q5" s="186">
        <v>6.0000000000000001E-3</v>
      </c>
      <c r="R5" s="186">
        <v>2.1000000000000001E-2</v>
      </c>
      <c r="S5" s="34">
        <f t="shared" si="7"/>
        <v>-1.5000000000000001E-2</v>
      </c>
      <c r="T5" s="186">
        <v>2.1000000000000001E-2</v>
      </c>
      <c r="U5" s="186">
        <v>1E-3</v>
      </c>
      <c r="V5" s="34">
        <f t="shared" si="8"/>
        <v>0.02</v>
      </c>
      <c r="W5" s="186">
        <v>2.1000000000000001E-2</v>
      </c>
      <c r="X5" s="186">
        <v>1E-3</v>
      </c>
      <c r="Y5" s="34">
        <f t="shared" si="9"/>
        <v>0.02</v>
      </c>
      <c r="Z5" s="186">
        <v>-1E-3</v>
      </c>
      <c r="AA5" s="186">
        <v>1.4999999999999999E-2</v>
      </c>
      <c r="AB5" s="34">
        <f t="shared" si="10"/>
        <v>-1.6E-2</v>
      </c>
      <c r="AC5" s="186">
        <v>-1E-3</v>
      </c>
      <c r="AD5" s="186">
        <v>1.4999999999999999E-2</v>
      </c>
      <c r="AE5" s="34">
        <f t="shared" si="11"/>
        <v>-1.6E-2</v>
      </c>
      <c r="AF5" s="186">
        <v>1.4999999999999999E-2</v>
      </c>
      <c r="AG5" s="186">
        <v>1.0999999999999999E-2</v>
      </c>
      <c r="AH5" s="34">
        <f t="shared" si="12"/>
        <v>4.0000000000000001E-3</v>
      </c>
      <c r="AI5" s="186">
        <v>1.0999999999999999E-2</v>
      </c>
      <c r="AJ5" s="186">
        <v>8.0000000000000002E-3</v>
      </c>
      <c r="AK5" s="34">
        <f t="shared" si="13"/>
        <v>2.9999999999999992E-3</v>
      </c>
      <c r="AL5" s="187"/>
      <c r="AM5" s="187"/>
      <c r="AN5" s="34" t="str">
        <f t="shared" si="14"/>
        <v>-</v>
      </c>
      <c r="AO5" s="187"/>
      <c r="AP5" s="187"/>
      <c r="AQ5" s="34" t="str">
        <f t="shared" si="15"/>
        <v>-</v>
      </c>
      <c r="AR5" s="187"/>
      <c r="AS5" s="187"/>
      <c r="AT5" s="34" t="str">
        <f t="shared" si="16"/>
        <v>-</v>
      </c>
    </row>
    <row r="6" spans="1:46" x14ac:dyDescent="0.25">
      <c r="A6" s="188" t="s">
        <v>262</v>
      </c>
      <c r="B6" s="191"/>
      <c r="C6" s="191"/>
      <c r="D6" s="4" t="str">
        <f t="shared" si="2"/>
        <v>-</v>
      </c>
      <c r="E6" s="191"/>
      <c r="F6" s="191"/>
      <c r="G6" s="4" t="str">
        <f t="shared" si="3"/>
        <v>-</v>
      </c>
      <c r="H6" s="189">
        <v>-3.0000000000000001E-3</v>
      </c>
      <c r="I6" s="189">
        <v>-4.0000000000000001E-3</v>
      </c>
      <c r="J6" s="4">
        <f t="shared" si="4"/>
        <v>1E-3</v>
      </c>
      <c r="K6" s="189">
        <v>-4.0000000000000001E-3</v>
      </c>
      <c r="L6" s="189">
        <v>3.0000000000000001E-3</v>
      </c>
      <c r="M6" s="4">
        <f t="shared" si="5"/>
        <v>-7.0000000000000001E-3</v>
      </c>
      <c r="N6" s="189">
        <v>3.0000000000000001E-3</v>
      </c>
      <c r="O6" s="189">
        <v>7.0000000000000001E-3</v>
      </c>
      <c r="P6" s="4">
        <f t="shared" si="6"/>
        <v>-4.0000000000000001E-3</v>
      </c>
      <c r="Q6" s="189">
        <v>7.0000000000000001E-3</v>
      </c>
      <c r="R6" s="189">
        <v>1.2E-2</v>
      </c>
      <c r="S6" s="4">
        <f t="shared" si="7"/>
        <v>-5.0000000000000001E-3</v>
      </c>
      <c r="T6" s="189">
        <v>4.0000000000000001E-3</v>
      </c>
      <c r="U6" s="189">
        <v>8.0000000000000002E-3</v>
      </c>
      <c r="V6" s="4">
        <f t="shared" si="8"/>
        <v>-4.0000000000000001E-3</v>
      </c>
      <c r="W6" s="189">
        <v>8.0000000000000002E-3</v>
      </c>
      <c r="X6" s="189">
        <v>-5.0000000000000001E-3</v>
      </c>
      <c r="Y6" s="4">
        <f t="shared" si="9"/>
        <v>1.3000000000000001E-2</v>
      </c>
      <c r="Z6" s="189">
        <v>-5.0000000000000001E-3</v>
      </c>
      <c r="AA6" s="189">
        <v>1.9E-2</v>
      </c>
      <c r="AB6" s="4">
        <f t="shared" si="10"/>
        <v>-2.4E-2</v>
      </c>
      <c r="AC6" s="189">
        <v>1.9E-2</v>
      </c>
      <c r="AD6" s="189">
        <v>-1E-3</v>
      </c>
      <c r="AE6" s="4">
        <f t="shared" si="11"/>
        <v>0.02</v>
      </c>
      <c r="AF6" s="189">
        <v>-8.9999999999999993E-3</v>
      </c>
      <c r="AG6" s="189">
        <v>5.0000000000000001E-3</v>
      </c>
      <c r="AH6" s="4">
        <f t="shared" si="12"/>
        <v>-1.3999999999999999E-2</v>
      </c>
      <c r="AI6" s="189">
        <v>5.0000000000000001E-3</v>
      </c>
      <c r="AJ6" s="190">
        <v>2E-3</v>
      </c>
      <c r="AK6" s="4">
        <f t="shared" si="13"/>
        <v>3.0000000000000001E-3</v>
      </c>
      <c r="AL6" s="189">
        <v>0.01</v>
      </c>
      <c r="AM6" s="189">
        <v>-2E-3</v>
      </c>
      <c r="AN6" s="4">
        <f t="shared" si="14"/>
        <v>1.2E-2</v>
      </c>
      <c r="AO6" s="190">
        <v>0.01</v>
      </c>
      <c r="AP6" s="189">
        <v>-2E-3</v>
      </c>
      <c r="AQ6" s="4">
        <f t="shared" si="15"/>
        <v>1.2E-2</v>
      </c>
      <c r="AR6" s="189">
        <v>6.0000000000000001E-3</v>
      </c>
      <c r="AS6" s="189">
        <v>-5.0000000000000001E-3</v>
      </c>
      <c r="AT6" s="4">
        <f t="shared" si="16"/>
        <v>1.0999999999999999E-2</v>
      </c>
    </row>
    <row r="7" spans="1:46" x14ac:dyDescent="0.25">
      <c r="A7" s="188" t="s">
        <v>263</v>
      </c>
      <c r="B7" s="191"/>
      <c r="C7" s="191"/>
      <c r="D7" s="4">
        <f>B7-C7</f>
        <v>0</v>
      </c>
      <c r="E7" s="191"/>
      <c r="F7" s="191"/>
      <c r="G7" s="4">
        <f>E7-F7</f>
        <v>0</v>
      </c>
      <c r="H7" s="191">
        <v>2.3E-2</v>
      </c>
      <c r="I7" s="191">
        <v>2.2800000000000001E-2</v>
      </c>
      <c r="J7" s="4">
        <f>H7-I7</f>
        <v>1.9999999999999879E-4</v>
      </c>
      <c r="K7" s="191"/>
      <c r="L7" s="191"/>
      <c r="M7" s="4" t="str">
        <f t="shared" si="5"/>
        <v>-</v>
      </c>
      <c r="N7" s="191"/>
      <c r="O7" s="189">
        <v>2.2800000000000001E-2</v>
      </c>
      <c r="P7" s="4" t="str">
        <f t="shared" si="6"/>
        <v>-</v>
      </c>
      <c r="Q7" s="189">
        <v>2.2800000000000001E-2</v>
      </c>
      <c r="R7" s="189">
        <v>2.29E-2</v>
      </c>
      <c r="S7" s="4">
        <f t="shared" si="7"/>
        <v>-9.9999999999999395E-5</v>
      </c>
      <c r="T7" s="189">
        <v>2.29E-2</v>
      </c>
      <c r="U7" s="191">
        <v>2.06</v>
      </c>
      <c r="V7" s="4">
        <f t="shared" si="8"/>
        <v>-2.0371000000000001</v>
      </c>
      <c r="W7" s="189">
        <v>2.29E-2</v>
      </c>
      <c r="X7" s="191">
        <v>2.06</v>
      </c>
      <c r="Y7" s="4">
        <f t="shared" si="9"/>
        <v>-2.0371000000000001</v>
      </c>
      <c r="Z7" s="189">
        <v>2.06E-2</v>
      </c>
      <c r="AA7" s="189">
        <v>2.12E-2</v>
      </c>
      <c r="AB7" s="4">
        <f t="shared" si="10"/>
        <v>-5.9999999999999984E-4</v>
      </c>
      <c r="AC7" s="189">
        <v>2.06E-2</v>
      </c>
      <c r="AD7" s="189">
        <v>2.12E-2</v>
      </c>
      <c r="AE7" s="4">
        <f t="shared" si="11"/>
        <v>-5.9999999999999984E-4</v>
      </c>
      <c r="AF7" s="189">
        <v>2.12E-2</v>
      </c>
      <c r="AG7" s="189">
        <v>2.0299999999999999E-2</v>
      </c>
      <c r="AH7" s="4">
        <f t="shared" si="12"/>
        <v>9.0000000000000149E-4</v>
      </c>
      <c r="AI7" s="191"/>
      <c r="AJ7" s="191"/>
      <c r="AK7" s="4" t="str">
        <f t="shared" si="13"/>
        <v>-</v>
      </c>
      <c r="AL7" s="189">
        <v>2.0299999999999999E-2</v>
      </c>
      <c r="AM7" s="189">
        <v>2.3300000000000001E-2</v>
      </c>
      <c r="AN7" s="4">
        <f t="shared" si="14"/>
        <v>-3.0000000000000027E-3</v>
      </c>
      <c r="AO7" s="191"/>
      <c r="AP7" s="191"/>
      <c r="AQ7" s="4" t="str">
        <f t="shared" si="15"/>
        <v>-</v>
      </c>
      <c r="AR7" s="189">
        <v>2.3300000000000001E-2</v>
      </c>
      <c r="AS7" s="189">
        <v>2.5000000000000001E-2</v>
      </c>
      <c r="AT7" s="4">
        <f t="shared" si="16"/>
        <v>-1.7000000000000001E-3</v>
      </c>
    </row>
    <row r="8" spans="1:46" x14ac:dyDescent="0.25">
      <c r="A8" s="188" t="s">
        <v>264</v>
      </c>
      <c r="B8" s="191"/>
      <c r="C8" s="191"/>
      <c r="D8" s="4" t="str">
        <f t="shared" si="2"/>
        <v>-</v>
      </c>
      <c r="E8" s="191"/>
      <c r="F8" s="191"/>
      <c r="G8" s="4" t="str">
        <f t="shared" si="3"/>
        <v>-</v>
      </c>
      <c r="H8" s="189">
        <v>0.02</v>
      </c>
      <c r="I8" s="189">
        <v>-1.6E-2</v>
      </c>
      <c r="J8" s="4">
        <f t="shared" si="4"/>
        <v>3.6000000000000004E-2</v>
      </c>
      <c r="K8" s="189">
        <v>-1.6E-2</v>
      </c>
      <c r="L8" s="189">
        <v>-1.0999999999999999E-2</v>
      </c>
      <c r="M8" s="4">
        <f t="shared" si="5"/>
        <v>-5.000000000000001E-3</v>
      </c>
      <c r="N8" s="189">
        <v>-1.0999999999999999E-2</v>
      </c>
      <c r="O8" s="189">
        <v>-1.7999999999999999E-2</v>
      </c>
      <c r="P8" s="4">
        <f t="shared" si="6"/>
        <v>6.9999999999999993E-3</v>
      </c>
      <c r="Q8" s="189">
        <v>-1.7999999999999999E-2</v>
      </c>
      <c r="R8" s="189">
        <v>-2.4E-2</v>
      </c>
      <c r="S8" s="4">
        <f t="shared" si="7"/>
        <v>6.0000000000000019E-3</v>
      </c>
      <c r="T8" s="189">
        <v>1.9E-2</v>
      </c>
      <c r="U8" s="190">
        <v>0</v>
      </c>
      <c r="V8" s="4">
        <f t="shared" si="8"/>
        <v>1.9E-2</v>
      </c>
      <c r="W8" s="191">
        <v>0</v>
      </c>
      <c r="X8" s="189">
        <v>-4.0000000000000001E-3</v>
      </c>
      <c r="Y8" s="4">
        <f t="shared" si="9"/>
        <v>4.0000000000000001E-3</v>
      </c>
      <c r="Z8" s="190">
        <v>-4.0000000000000001E-3</v>
      </c>
      <c r="AA8" s="189">
        <v>1.7999999999999999E-2</v>
      </c>
      <c r="AB8" s="4">
        <f t="shared" si="10"/>
        <v>-2.1999999999999999E-2</v>
      </c>
      <c r="AC8" s="189">
        <v>1.7999999999999999E-2</v>
      </c>
      <c r="AD8" s="189">
        <v>1.4E-2</v>
      </c>
      <c r="AE8" s="4">
        <f t="shared" si="11"/>
        <v>3.9999999999999983E-3</v>
      </c>
      <c r="AF8" s="189">
        <v>1.4E-2</v>
      </c>
      <c r="AG8" s="189">
        <v>1.7999999999999999E-2</v>
      </c>
      <c r="AH8" s="4">
        <f t="shared" si="12"/>
        <v>-3.9999999999999983E-3</v>
      </c>
      <c r="AI8" s="189">
        <v>1.7999999999999999E-2</v>
      </c>
      <c r="AJ8" s="189">
        <v>2.1000000000000001E-2</v>
      </c>
      <c r="AK8" s="4">
        <f t="shared" si="13"/>
        <v>-3.0000000000000027E-3</v>
      </c>
      <c r="AL8" s="189">
        <v>-1.7000000000000001E-2</v>
      </c>
      <c r="AM8" s="189">
        <v>1.4999999999999999E-2</v>
      </c>
      <c r="AN8" s="4">
        <f t="shared" si="14"/>
        <v>-3.2000000000000001E-2</v>
      </c>
      <c r="AO8" s="191"/>
      <c r="AP8" s="191"/>
      <c r="AQ8" s="4" t="str">
        <f t="shared" si="15"/>
        <v>-</v>
      </c>
      <c r="AR8" s="191"/>
      <c r="AS8" s="189">
        <v>-1.2999999999999999E-2</v>
      </c>
      <c r="AT8" s="4" t="str">
        <f t="shared" si="16"/>
        <v>-</v>
      </c>
    </row>
    <row r="9" spans="1:46" x14ac:dyDescent="0.25">
      <c r="A9" s="192"/>
      <c r="B9" s="191"/>
      <c r="C9" s="191"/>
      <c r="D9" s="193"/>
      <c r="E9" s="191"/>
      <c r="F9" s="191"/>
      <c r="G9" s="193"/>
      <c r="H9" s="191"/>
      <c r="I9" s="191"/>
      <c r="J9" s="193"/>
      <c r="K9" s="191"/>
      <c r="L9" s="191"/>
      <c r="M9" s="193"/>
      <c r="N9" s="191"/>
      <c r="O9" s="191"/>
      <c r="P9" s="193"/>
      <c r="Q9" s="191"/>
      <c r="R9" s="191"/>
      <c r="S9" s="193"/>
      <c r="T9" s="191"/>
      <c r="U9" s="191"/>
      <c r="V9" s="193"/>
      <c r="W9" s="191"/>
      <c r="X9" s="191"/>
      <c r="Y9" s="193"/>
      <c r="Z9" s="191"/>
      <c r="AA9" s="191"/>
      <c r="AB9" s="193"/>
      <c r="AC9" s="191"/>
      <c r="AD9" s="191"/>
      <c r="AE9" s="193"/>
      <c r="AF9" s="191"/>
      <c r="AG9" s="191"/>
      <c r="AH9" s="193"/>
      <c r="AI9" s="191"/>
      <c r="AJ9" s="191"/>
      <c r="AK9" s="193"/>
      <c r="AL9" s="191"/>
      <c r="AM9" s="191"/>
      <c r="AN9" s="193"/>
      <c r="AO9" s="191"/>
      <c r="AP9" s="191"/>
      <c r="AQ9" s="193"/>
      <c r="AR9" s="191"/>
      <c r="AS9" s="191"/>
      <c r="AT9" s="193"/>
    </row>
    <row r="10" spans="1:46" x14ac:dyDescent="0.25">
      <c r="A10" s="2" t="s">
        <v>18</v>
      </c>
      <c r="B10" s="321" t="str">
        <f>IF(D11="-",
    "",
    IFERROR(
        IF(
            IF(D11="-", 0, IF(D11&lt;0, -2, IF(D11&gt;0, 2, 0))) / 1 &gt; 0.1,
            "BULLISH",
            IF(
                IF(D11="-", 0, IF(D11&lt;0, -2, IF(D11&gt;0, 2, 0))) / 1 &lt; -0.1,
                "BEARISH",
                "NEUTRO"
            )
        ),
        "NEUTRO"
    )
)</f>
        <v>NEUTRO</v>
      </c>
      <c r="C10" s="321"/>
      <c r="D10" s="319"/>
      <c r="E10" s="321" t="str">
        <f>IF(G11="-",
    "",
    IFERROR(
        IF(
            IF(G11="-", 0, IF(G11&lt;0, -2, IF(G11&gt;0, 2, 0))) / 1 &gt; 0.1,
            "BULLISH",
            IF(
                IF(G11="-", 0, IF(G11&lt;0, -2, IF(G11&gt;0, 2, 0))) / 1 &lt; -0.1,
                "BEARISH",
                "NEUTRO"
            )
        ),
        "NEUTRO"
    )
)</f>
        <v>NEUTRO</v>
      </c>
      <c r="F10" s="321"/>
      <c r="G10" s="319"/>
      <c r="H10" s="321" t="str">
        <f>IF(J11="-",
    "",
    IFERROR(
        IF(
            IF(J11="-", 0, IF(J11&lt;0, -2, IF(J11&gt;0, 2, 0))) / 1 &gt; 0.1,
            "BULLISH",
            IF(
                IF(J11="-", 0, IF(J11&lt;0, -2, IF(J11&gt;0, 2, 0))) / 1 &lt; -0.1,
                "BEARISH",
                "NEUTRO"
            )
        ),
        "NEUTRO"
    )
)</f>
        <v>BEARISH</v>
      </c>
      <c r="I10" s="321"/>
      <c r="J10" s="319"/>
      <c r="K10" s="321" t="str">
        <f>IF(M11="-",
    "",
    IFERROR(
        IF(
            IF(M11="-", 0, IF(M11&lt;0, -2, IF(M11&gt;0, 2, 0))) / 1 &gt; 0.1,
            "BULLISH",
            IF(
                IF(M11="-", 0, IF(M11&lt;0, -2, IF(M11&gt;0, 2, 0))) / 1 &lt; -0.1,
                "BEARISH",
                "NEUTRO"
            )
        ),
        "NEUTRO"
    )
)</f>
        <v/>
      </c>
      <c r="L10" s="321"/>
      <c r="M10" s="319"/>
      <c r="N10" s="321" t="str">
        <f>IF(P11="-",
    "",
    IFERROR(
        IF(
            IF(P11="-", 0, IF(P11&lt;0, -2, IF(P11&gt;0, 2, 0))) / 1 &gt; 0.1,
            "BULLISH",
            IF(
                IF(P11="-", 0, IF(P11&lt;0, -2, IF(P11&gt;0, 2, 0))) / 1 &lt; -0.1,
                "BEARISH",
                "NEUTRO"
            )
        ),
        "NEUTRO"
    )
)</f>
        <v>BEARISH</v>
      </c>
      <c r="O10" s="321"/>
      <c r="P10" s="319"/>
      <c r="Q10" s="321" t="str">
        <f>IF(S11="-",
    "",
    IFERROR(
        IF(
            IF(S11="-", 0, IF(S11&lt;0, -2, IF(S11&gt;0, 2, 0))) / 1 &gt; 0.1,
            "BULLISH",
            IF(
                IF(S11="-", 0, IF(S11&lt;0, -2, IF(S11&gt;0, 2, 0))) / 1 &lt; -0.1,
                "BEARISH",
                "NEUTRO"
            )
        ),
        "NEUTRO"
    )
)</f>
        <v>BULLISH</v>
      </c>
      <c r="R10" s="321"/>
      <c r="S10" s="319"/>
      <c r="T10" s="321" t="str">
        <f>IF(V11="-",
    "",
    IFERROR(
        IF(
            IF(V11="-", 0, IF(V11&lt;0, -2, IF(V11&gt;0, 2, 0))) / 1 &gt; 0.1,
            "BULLISH",
            IF(
                IF(V11="-", 0, IF(V11&lt;0, -2, IF(V11&gt;0, 2, 0))) / 1 &lt; -0.1,
                "BEARISH",
                "NEUTRO"
            )
        ),
        "NEUTRO"
    )
)</f>
        <v>BULLISH</v>
      </c>
      <c r="U10" s="321"/>
      <c r="V10" s="319"/>
      <c r="W10" s="321" t="str">
        <f>IF(Y11="-",
    "",
    IFERROR(
        IF(
            IF(Y11="-", 0, IF(Y11&lt;0, -2, IF(Y11&gt;0, 2, 0))) / 1 &gt; 0.1,
            "BULLISH",
            IF(
                IF(Y11="-", 0, IF(Y11&lt;0, -2, IF(Y11&gt;0, 2, 0))) / 1 &lt; -0.1,
                "BEARISH",
                "NEUTRO"
            )
        ),
        "NEUTRO"
    )
)</f>
        <v>BULLISH</v>
      </c>
      <c r="X10" s="321"/>
      <c r="Y10" s="319"/>
      <c r="Z10" s="321" t="str">
        <f>IF(AB11="-",
    "",
    IFERROR(
        IF(
            IF(AB11="-", 0, IF(AB11&lt;0, -2, IF(AB11&gt;0, 2, 0))) / 1 &gt; 0.1,
            "BULLISH",
            IF(
                IF(AB11="-", 0, IF(AB11&lt;0, -2, IF(AB11&gt;0, 2, 0))) / 1 &lt; -0.1,
                "BEARISH",
                "NEUTRO"
            )
        ),
        "NEUTRO"
    )
)</f>
        <v>BULLISH</v>
      </c>
      <c r="AA10" s="321"/>
      <c r="AB10" s="319"/>
      <c r="AC10" s="321" t="str">
        <f>IF(AE11="-",
    "",
    IFERROR(
        IF(
            IF(AE11="-", 0, IF(AE11&lt;0, -2, IF(AE11&gt;0, 2, 0))) / 1 &gt; 0.1,
            "BULLISH",
            IF(
                IF(AE11="-", 0, IF(AE11&lt;0, -2, IF(AE11&gt;0, 2, 0))) / 1 &lt; -0.1,
                "BEARISH",
                "NEUTRO"
            )
        ),
        "NEUTRO"
    )
)</f>
        <v>BULLISH</v>
      </c>
      <c r="AD10" s="321"/>
      <c r="AE10" s="319"/>
      <c r="AF10" s="321" t="str">
        <f>IF(AH11="-",
    "",
    IFERROR(
        IF(
            IF(AH11="-", 0, IF(AH11&lt;0, -2, IF(AH11&gt;0, 2, 0))) / 1 &gt; 0.1,
            "BULLISH",
            IF(
                IF(AH11="-", 0, IF(AH11&lt;0, -2, IF(AH11&gt;0, 2, 0))) / 1 &lt; -0.1,
                "BEARISH",
                "NEUTRO"
            )
        ),
        "NEUTRO"
    )
)</f>
        <v/>
      </c>
      <c r="AG10" s="321"/>
      <c r="AH10" s="319"/>
      <c r="AI10" s="321" t="str">
        <f>IF(AK11="-",
    "",
    IFERROR(
        IF(
            IF(AK11="-", 0, IF(AK11&lt;0, -2, IF(AK11&gt;0, 2, 0))) / 1 &gt; 0.1,
            "BULLISH",
            IF(
                IF(AK11="-", 0, IF(AK11&lt;0, -2, IF(AK11&gt;0, 2, 0))) / 1 &lt; -0.1,
                "BEARISH",
                "NEUTRO"
            )
        ),
        "NEUTRO"
    )
)</f>
        <v>BEARISH</v>
      </c>
      <c r="AJ10" s="321"/>
      <c r="AK10" s="319"/>
      <c r="AL10" s="321" t="str">
        <f>IF(AN11="-",
    "",
    IFERROR(
        IF(
            IF(AN11="-", 0, IF(AN11&lt;0, -2, IF(AN11&gt;0, 2, 0))) / 1 &gt; 0.1,
            "BULLISH",
            IF(
                IF(AN11="-", 0, IF(AN11&lt;0, -2, IF(AN11&gt;0, 2, 0))) / 1 &lt; -0.1,
                "BEARISH",
                "NEUTRO"
            )
        ),
        "NEUTRO"
    )
)</f>
        <v>BULLISH</v>
      </c>
      <c r="AM10" s="321"/>
      <c r="AN10" s="319"/>
      <c r="AO10" s="321" t="str">
        <f>IF(AQ11="-",
    "",
    IFERROR(
        IF(
            IF(AQ11="-", 0, IF(AQ11&lt;0, -2, IF(AQ11&gt;0, 2, 0))) / 1 &gt; 0.1,
            "BULLISH",
            IF(
                IF(AQ11="-", 0, IF(AQ11&lt;0, -2, IF(AQ11&gt;0, 2, 0))) / 1 &lt; -0.1,
                "BEARISH",
                "NEUTRO"
            )
        ),
        "NEUTRO"
    )
)</f>
        <v/>
      </c>
      <c r="AP10" s="321"/>
      <c r="AQ10" s="319"/>
      <c r="AR10" s="321" t="str">
        <f>IF(AT11="-",
    "",
    IFERROR(
        IF(
            IF(AT11="-", 0, IF(AT11&lt;0, -2, IF(AT11&gt;0, 2, 0))) / 1 &gt; 0.1,
            "BULLISH",
            IF(
                IF(AT11="-", 0, IF(AT11&lt;0, -2, IF(AT11&gt;0, 2, 0))) / 1 &lt; -0.1,
                "BEARISH",
                "NEUTRO"
            )
        ),
        "NEUTRO"
    )
)</f>
        <v/>
      </c>
      <c r="AS10" s="321"/>
      <c r="AT10" s="319"/>
    </row>
    <row r="11" spans="1:46" x14ac:dyDescent="0.25">
      <c r="A11" s="185" t="s">
        <v>220</v>
      </c>
      <c r="B11" s="187"/>
      <c r="C11" s="187"/>
      <c r="D11" s="34">
        <f>B11-C11</f>
        <v>0</v>
      </c>
      <c r="E11" s="187"/>
      <c r="F11" s="187"/>
      <c r="G11" s="34">
        <f>E11-F11</f>
        <v>0</v>
      </c>
      <c r="H11" s="186">
        <v>2E-3</v>
      </c>
      <c r="I11" s="186">
        <v>8.9999999999999993E-3</v>
      </c>
      <c r="J11" s="34">
        <f>H11-I11</f>
        <v>-6.9999999999999993E-3</v>
      </c>
      <c r="K11" s="187"/>
      <c r="L11" s="187"/>
      <c r="M11" s="34" t="str">
        <f>IF(ISBLANK(K11),"-",K11-L11)</f>
        <v>-</v>
      </c>
      <c r="N11" s="186">
        <v>-8.9999999999999993E-3</v>
      </c>
      <c r="O11" s="186">
        <v>8.9999999999999993E-3</v>
      </c>
      <c r="P11" s="34">
        <f>IF(ISBLANK(N11),"-",N11-O11)</f>
        <v>-1.7999999999999999E-2</v>
      </c>
      <c r="Q11" s="186">
        <v>8.0000000000000002E-3</v>
      </c>
      <c r="R11" s="186">
        <v>5.0000000000000001E-3</v>
      </c>
      <c r="S11" s="34">
        <f>IF(ISBLANK(Q11),"-",Q11-R11)</f>
        <v>3.0000000000000001E-3</v>
      </c>
      <c r="T11" s="186">
        <v>8.0000000000000002E-3</v>
      </c>
      <c r="U11" s="186">
        <v>5.0000000000000001E-3</v>
      </c>
      <c r="V11" s="34">
        <f>IF(ISBLANK(T11),"-",T11-U11)</f>
        <v>3.0000000000000001E-3</v>
      </c>
      <c r="W11" s="186">
        <v>7.0000000000000001E-3</v>
      </c>
      <c r="X11" s="186">
        <v>-1.0999999999999999E-2</v>
      </c>
      <c r="Y11" s="34">
        <f>IF(ISBLANK(W11),"-",W11-X11)</f>
        <v>1.7999999999999999E-2</v>
      </c>
      <c r="Z11" s="186">
        <v>7.0000000000000001E-3</v>
      </c>
      <c r="AA11" s="186">
        <v>-1.0999999999999999E-2</v>
      </c>
      <c r="AB11" s="34">
        <f>IF(ISBLANK(Z11),"-",Z11-AA11)</f>
        <v>1.7999999999999999E-2</v>
      </c>
      <c r="AC11" s="186">
        <v>-0.01</v>
      </c>
      <c r="AD11" s="186">
        <v>-1.0999999999999999E-2</v>
      </c>
      <c r="AE11" s="34">
        <f>IF(ISBLANK(AC11),"-",AC11-AD11)</f>
        <v>9.9999999999999915E-4</v>
      </c>
      <c r="AF11" s="187"/>
      <c r="AG11" s="187"/>
      <c r="AH11" s="34" t="str">
        <f>IF(ISBLANK(AF11),"-",AF11-AG11)</f>
        <v>-</v>
      </c>
      <c r="AI11" s="186">
        <v>-2E-3</v>
      </c>
      <c r="AJ11" s="186">
        <v>1E-3</v>
      </c>
      <c r="AK11" s="34">
        <f>IF(ISBLANK(AI11),"-",AI11-AJ11)</f>
        <v>-3.0000000000000001E-3</v>
      </c>
      <c r="AL11" s="186">
        <v>2E-3</v>
      </c>
      <c r="AM11" s="186">
        <v>-1E-3</v>
      </c>
      <c r="AN11" s="34">
        <f>IF(ISBLANK(AL11),"-",AL11-AM11)</f>
        <v>3.0000000000000001E-3</v>
      </c>
      <c r="AO11" s="187"/>
      <c r="AP11" s="187"/>
      <c r="AQ11" s="34" t="str">
        <f>IF(ISBLANK(AO11),"-",AO11-AP11)</f>
        <v>-</v>
      </c>
      <c r="AR11" s="187"/>
      <c r="AS11" s="187"/>
      <c r="AT11" s="34" t="str">
        <f>IF(ISBLANK(AR11),"-",AR11-AS11)</f>
        <v>-</v>
      </c>
    </row>
    <row r="12" spans="1:46" x14ac:dyDescent="0.25">
      <c r="A12" s="192"/>
      <c r="B12" s="191"/>
      <c r="C12" s="191"/>
      <c r="D12" s="193"/>
      <c r="E12" s="191"/>
      <c r="F12" s="191"/>
      <c r="G12" s="193"/>
      <c r="H12" s="191"/>
      <c r="I12" s="191"/>
      <c r="J12" s="193"/>
      <c r="K12" s="191"/>
      <c r="L12" s="191"/>
      <c r="M12" s="193"/>
      <c r="N12" s="191"/>
      <c r="O12" s="191"/>
      <c r="P12" s="193"/>
      <c r="Q12" s="191"/>
      <c r="R12" s="191"/>
      <c r="S12" s="193"/>
      <c r="T12" s="191"/>
      <c r="U12" s="191"/>
      <c r="V12" s="193"/>
      <c r="W12" s="191"/>
      <c r="X12" s="191"/>
      <c r="Y12" s="193"/>
      <c r="Z12" s="191"/>
      <c r="AA12" s="191"/>
      <c r="AB12" s="193"/>
      <c r="AC12" s="191"/>
      <c r="AD12" s="191"/>
      <c r="AE12" s="193"/>
      <c r="AF12" s="191"/>
      <c r="AG12" s="191"/>
      <c r="AH12" s="193"/>
      <c r="AI12" s="191"/>
      <c r="AJ12" s="191"/>
      <c r="AK12" s="193"/>
      <c r="AL12" s="191"/>
      <c r="AM12" s="191"/>
      <c r="AN12" s="193"/>
      <c r="AO12" s="191"/>
      <c r="AP12" s="191"/>
      <c r="AQ12" s="193"/>
      <c r="AR12" s="191"/>
      <c r="AS12" s="191"/>
      <c r="AT12" s="193"/>
    </row>
    <row r="13" spans="1:46" x14ac:dyDescent="0.25">
      <c r="A13" s="2" t="s">
        <v>29</v>
      </c>
      <c r="B13" s="321" t="str">
        <f>IF(AND(D14="-",D15="-",D16="-"),
    "",
    IFERROR(
        IF(
            (SUM(
                IF(D14="-", 0, IF(D14&lt;0, -2, IF(D14&gt;0, 2, 0))),
                IF(D15="-", 0, IF(D15&lt;0, -2, IF(D15&gt;0, 2, 0))),
                IF(D16="-", 0, IF(D16&lt;0, -2, IF(D16&gt;0, 2, 0)))
            ) / SUM(2, 2, 2)) &gt; 0.1,
            "BULLISH",
            IF(
                (SUM(
                    IF(D14="-", 0, IF(D14&lt;0, -2, IF(D14&gt;0, 2, 0))),
                    IF(D15="-", 0, IF(D15&lt;0, -2, IF(D15&gt;0, 2, 0))),
                    IF(D16="-", 0, IF(D16&lt;0, -2, IF(D16&gt;0, 2, 0)))
                ) / SUM(2, 2, 2)) &lt; -0.1,
                "BEARISH",
                "NEUTRO"
            )
        ),
        "NEUTRO"
    )
)</f>
        <v>NEUTRO</v>
      </c>
      <c r="C13" s="321"/>
      <c r="D13" s="319"/>
      <c r="E13" s="321" t="str">
        <f>IF(AND(G14="-",G15="-",G16="-"),
    "",
    IFERROR(
        IF(
            (SUM(
                IF(G14="-", 0, IF(G14&lt;0, -2, IF(G14&gt;0, 2, 0))),
                IF(G15="-", 0, IF(G15&lt;0, -2, IF(G15&gt;0, 2, 0))),
                IF(G16="-", 0, IF(G16&lt;0, -2, IF(G16&gt;0, 2, 0)))
            ) / SUM(2, 2, 2)) &gt; 0.1,
            "BULLISH",
            IF(
                (SUM(
                    IF(G14="-", 0, IF(G14&lt;0, -2, IF(G14&gt;0, 2, 0))),
                    IF(G15="-", 0, IF(G15&lt;0, -2, IF(G15&gt;0, 2, 0))),
                    IF(G16="-", 0, IF(G16&lt;0, -2, IF(G16&gt;0, 2, 0)))
                ) / SUM(2, 2, 2)) &lt; -0.1,
                "BEARISH",
                "NEUTRO"
            )
        ),
        "NEUTRO"
    )
)</f>
        <v>NEUTRO</v>
      </c>
      <c r="F13" s="321"/>
      <c r="G13" s="319"/>
      <c r="H13" s="321" t="str">
        <f>IF(AND(J14="-",J15="-",J16="-"),
    "",
    IFERROR(
        IF(
            (SUM(
                IF(J14="-", 0, IF(J14&lt;0, -2, IF(J14&gt;0, 2, 0))),
                IF(J15="-", 0, IF(J15&lt;0, -2, IF(J15&gt;0, 2, 0))),
                IF(J16="-", 0, IF(J16&lt;0, -2, IF(J16&gt;0, 2, 0)))
            ) / SUM(2, 2, 2)) &gt; 0.1,
            "BULLISH",
            IF(
                (SUM(
                    IF(J14="-", 0, IF(J14&lt;0, -2, IF(J14&gt;0, 2, 0))),
                    IF(J15="-", 0, IF(J15&lt;0, -2, IF(J15&gt;0, 2, 0))),
                    IF(J16="-", 0, IF(J16&lt;0, -2, IF(J16&gt;0, 2, 0)))
                ) / SUM(2, 2, 2)) &lt; -0.1,
                "BEARISH",
                "NEUTRO"
            )
        ),
        "NEUTRO"
    )
)</f>
        <v>NEUTRO</v>
      </c>
      <c r="I13" s="321"/>
      <c r="J13" s="319"/>
      <c r="K13" s="321" t="str">
        <f>IF(AND(M14="-",M15="-",M16="-"),
    "",
    IFERROR(
        IF(
            (SUM(
                IF(M14="-", 0, IF(M14&lt;0, -2, IF(M14&gt;0, 2, 0))),
                IF(M15="-", 0, IF(M15&lt;0, -2, IF(M15&gt;0, 2, 0))),
                IF(M16="-", 0, IF(M16&lt;0, -2, IF(M16&gt;0, 2, 0)))
            ) / SUM(2, 2, 2)) &gt; 0.1,
            "BULLISH",
            IF(
                (SUM(
                    IF(M14="-", 0, IF(M14&lt;0, -2, IF(M14&gt;0, 2, 0))),
                    IF(M15="-", 0, IF(M15&lt;0, -2, IF(M15&gt;0, 2, 0))),
                    IF(M16="-", 0, IF(M16&lt;0, -2, IF(M16&gt;0, 2, 0)))
                ) / SUM(2, 2, 2)) &lt; -0.1,
                "BEARISH",
                "NEUTRO"
            )
        ),
        "NEUTRO"
    )
)</f>
        <v/>
      </c>
      <c r="L13" s="321"/>
      <c r="M13" s="319"/>
      <c r="N13" s="321" t="str">
        <f>IF(AND(P14="-",P15="-",P16="-"),
    "",
    IFERROR(
        IF(
            (SUM(
                IF(P14="-", 0, IF(P14&lt;0, -2, IF(P14&gt;0, 2, 0))),
                IF(P15="-", 0, IF(P15&lt;0, -2, IF(P15&gt;0, 2, 0))),
                IF(P16="-", 0, IF(P16&lt;0, -2, IF(P16&gt;0, 2, 0)))
            ) / SUM(2, 2, 2)) &gt; 0.1,
            "BULLISH",
            IF(
                (SUM(
                    IF(P14="-", 0, IF(P14&lt;0, -2, IF(P14&gt;0, 2, 0))),
                    IF(P15="-", 0, IF(P15&lt;0, -2, IF(P15&gt;0, 2, 0))),
                    IF(P16="-", 0, IF(P16&lt;0, -2, IF(P16&gt;0, 2, 0)))
                ) / SUM(2, 2, 2)) &lt; -0.1,
                "BEARISH",
                "NEUTRO"
            )
        ),
        "NEUTRO"
    )
)</f>
        <v/>
      </c>
      <c r="O13" s="321"/>
      <c r="P13" s="319"/>
      <c r="Q13" s="321" t="str">
        <f>IF(AND(S14="-",S15="-",S16="-"),
    "",
    IFERROR(
        IF(
            (SUM(
                IF(S14="-", 0, IF(S14&lt;0, -2, IF(S14&gt;0, 2, 0))),
                IF(S15="-", 0, IF(S15&lt;0, -2, IF(S15&gt;0, 2, 0))),
                IF(S16="-", 0, IF(S16&lt;0, -2, IF(S16&gt;0, 2, 0)))
            ) / SUM(2, 2, 2)) &gt; 0.1,
            "BULLISH",
            IF(
                (SUM(
                    IF(S14="-", 0, IF(S14&lt;0, -2, IF(S14&gt;0, 2, 0))),
                    IF(S15="-", 0, IF(S15&lt;0, -2, IF(S15&gt;0, 2, 0))),
                    IF(S16="-", 0, IF(S16&lt;0, -2, IF(S16&gt;0, 2, 0)))
                ) / SUM(2, 2, 2)) &lt; -0.1,
                "BEARISH",
                "NEUTRO"
            )
        ),
        "NEUTRO"
    )
)</f>
        <v>BEARISH</v>
      </c>
      <c r="R13" s="321"/>
      <c r="S13" s="319"/>
      <c r="T13" s="321" t="str">
        <f>IF(AND(V14="-",V15="-",V16="-"),
    "",
    IFERROR(
        IF(
            (SUM(
                IF(V14="-", 0, IF(V14&lt;0, -2, IF(V14&gt;0, 2, 0))),
                IF(V15="-", 0, IF(V15&lt;0, -2, IF(V15&gt;0, 2, 0))),
                IF(V16="-", 0, IF(V16&lt;0, -2, IF(V16&gt;0, 2, 0)))
            ) / SUM(2, 2, 2)) &gt; 0.1,
            "BULLISH",
            IF(
                (SUM(
                    IF(V14="-", 0, IF(V14&lt;0, -2, IF(V14&gt;0, 2, 0))),
                    IF(V15="-", 0, IF(V15&lt;0, -2, IF(V15&gt;0, 2, 0))),
                    IF(V16="-", 0, IF(V16&lt;0, -2, IF(V16&gt;0, 2, 0)))
                ) / SUM(2, 2, 2)) &lt; -0.1,
                "BEARISH",
                "NEUTRO"
            )
        ),
        "NEUTRO"
    )
)</f>
        <v>NEUTRO</v>
      </c>
      <c r="U13" s="321"/>
      <c r="V13" s="319"/>
      <c r="W13" s="321" t="str">
        <f>IF(AND(Y14="-",Y15="-",Y16="-"),
    "",
    IFERROR(
        IF(
            (SUM(
                IF(Y14="-", 0, IF(Y14&lt;0, -2, IF(Y14&gt;0, 2, 0))),
                IF(Y15="-", 0, IF(Y15&lt;0, -2, IF(Y15&gt;0, 2, 0))),
                IF(Y16="-", 0, IF(Y16&lt;0, -2, IF(Y16&gt;0, 2, 0)))
            ) / SUM(2, 2, 2)) &gt; 0.1,
            "BULLISH",
            IF(
                (SUM(
                    IF(Y14="-", 0, IF(Y14&lt;0, -2, IF(Y14&gt;0, 2, 0))),
                    IF(Y15="-", 0, IF(Y15&lt;0, -2, IF(Y15&gt;0, 2, 0))),
                    IF(Y16="-", 0, IF(Y16&lt;0, -2, IF(Y16&gt;0, 2, 0)))
                ) / SUM(2, 2, 2)) &lt; -0.1,
                "BEARISH",
                "NEUTRO"
            )
        ),
        "NEUTRO"
    )
)</f>
        <v>NEUTRO</v>
      </c>
      <c r="X13" s="321"/>
      <c r="Y13" s="319"/>
      <c r="Z13" s="321" t="str">
        <f>IF(AND(AB14="-",AB15="-",AB16="-"),
    "",
    IFERROR(
        IF(
            (SUM(
                IF(AB14="-", 0, IF(AB14&lt;0, -2, IF(AB14&gt;0, 2, 0))),
                IF(AB15="-", 0, IF(AB15&lt;0, -2, IF(AB15&gt;0, 2, 0))),
                IF(AB16="-", 0, IF(AB16&lt;0, -2, IF(AB16&gt;0, 2, 0)))
            ) / SUM(2, 2, 2)) &gt; 0.1,
            "BULLISH",
            IF(
                (SUM(
                    IF(AB14="-", 0, IF(AB14&lt;0, -2, IF(AB14&gt;0, 2, 0))),
                    IF(AB15="-", 0, IF(AB15&lt;0, -2, IF(AB15&gt;0, 2, 0))),
                    IF(AB16="-", 0, IF(AB16&lt;0, -2, IF(AB16&gt;0, 2, 0)))
                ) / SUM(2, 2, 2)) &lt; -0.1,
                "BEARISH",
                "NEUTRO"
            )
        ),
        "NEUTRO"
    )
)</f>
        <v>BULLISH</v>
      </c>
      <c r="AA13" s="321"/>
      <c r="AB13" s="319"/>
      <c r="AC13" s="321" t="str">
        <f>IF(AND(AE14="-",AE15="-",AE16="-"),
    "",
    IFERROR(
        IF(
            (SUM(
                IF(AE14="-", 0, IF(AE14&lt;0, -2, IF(AE14&gt;0, 2, 0))),
                IF(AE15="-", 0, IF(AE15&lt;0, -2, IF(AE15&gt;0, 2, 0))),
                IF(AE16="-", 0, IF(AE16&lt;0, -2, IF(AE16&gt;0, 2, 0)))
            ) / SUM(2, 2, 2)) &gt; 0.1,
            "BULLISH",
            IF(
                (SUM(
                    IF(AE14="-", 0, IF(AE14&lt;0, -2, IF(AE14&gt;0, 2, 0))),
                    IF(AE15="-", 0, IF(AE15&lt;0, -2, IF(AE15&gt;0, 2, 0))),
                    IF(AE16="-", 0, IF(AE16&lt;0, -2, IF(AE16&gt;0, 2, 0)))
                ) / SUM(2, 2, 2)) &lt; -0.1,
                "BEARISH",
                "NEUTRO"
            )
        ),
        "NEUTRO"
    )
)</f>
        <v>BULLISH</v>
      </c>
      <c r="AD13" s="321"/>
      <c r="AE13" s="319"/>
      <c r="AF13" s="321" t="str">
        <f>IF(AND(AH14="-",AH15="-",AH16="-"),
    "",
    IFERROR(
        IF(
            (SUM(
                IF(AH14="-", 0, IF(AH14&lt;0, -2, IF(AH14&gt;0, 2, 0))),
                IF(AH15="-", 0, IF(AH15&lt;0, -2, IF(AH15&gt;0, 2, 0))),
                IF(AH16="-", 0, IF(AH16&lt;0, -2, IF(AH16&gt;0, 2, 0)))
            ) / SUM(2, 2, 2)) &gt; 0.1,
            "BULLISH",
            IF(
                (SUM(
                    IF(AH14="-", 0, IF(AH14&lt;0, -2, IF(AH14&gt;0, 2, 0))),
                    IF(AH15="-", 0, IF(AH15&lt;0, -2, IF(AH15&gt;0, 2, 0))),
                    IF(AH16="-", 0, IF(AH16&lt;0, -2, IF(AH16&gt;0, 2, 0)))
                ) / SUM(2, 2, 2)) &lt; -0.1,
                "BEARISH",
                "NEUTRO"
            )
        ),
        "NEUTRO"
    )
)</f>
        <v>BEARISH</v>
      </c>
      <c r="AG13" s="321"/>
      <c r="AH13" s="319"/>
      <c r="AI13" s="321" t="str">
        <f>IF(AND(AK14="-",AK15="-",AK16="-"),
    "",
    IFERROR(
        IF(
            (SUM(
                IF(AK14="-", 0, IF(AK14&lt;0, -2, IF(AK14&gt;0, 2, 0))),
                IF(AK15="-", 0, IF(AK15&lt;0, -2, IF(AK15&gt;0, 2, 0))),
                IF(AK16="-", 0, IF(AK16&lt;0, -2, IF(AK16&gt;0, 2, 0)))
            ) / SUM(2, 2, 2)) &gt; 0.1,
            "BULLISH",
            IF(
                (SUM(
                    IF(AK14="-", 0, IF(AK14&lt;0, -2, IF(AK14&gt;0, 2, 0))),
                    IF(AK15="-", 0, IF(AK15&lt;0, -2, IF(AK15&gt;0, 2, 0))),
                    IF(AK16="-", 0, IF(AK16&lt;0, -2, IF(AK16&gt;0, 2, 0)))
                ) / SUM(2, 2, 2)) &lt; -0.1,
                "BEARISH",
                "NEUTRO"
            )
        ),
        "NEUTRO"
    )
)</f>
        <v/>
      </c>
      <c r="AJ13" s="321"/>
      <c r="AK13" s="319"/>
      <c r="AL13" s="321" t="str">
        <f>IF(AND(AN14="-",AN15="-",AN16="-"),
    "",
    IFERROR(
        IF(
            (SUM(
                IF(AN14="-", 0, IF(AN14&lt;0, -2, IF(AN14&gt;0, 2, 0))),
                IF(AN15="-", 0, IF(AN15&lt;0, -2, IF(AN15&gt;0, 2, 0))),
                IF(AN16="-", 0, IF(AN16&lt;0, -2, IF(AN16&gt;0, 2, 0)))
            ) / SUM(2, 2, 2)) &gt; 0.1,
            "BULLISH",
            IF(
                (SUM(
                    IF(AN14="-", 0, IF(AN14&lt;0, -2, IF(AN14&gt;0, 2, 0))),
                    IF(AN15="-", 0, IF(AN15&lt;0, -2, IF(AN15&gt;0, 2, 0))),
                    IF(AN16="-", 0, IF(AN16&lt;0, -2, IF(AN16&gt;0, 2, 0)))
                ) / SUM(2, 2, 2)) &lt; -0.1,
                "BEARISH",
                "NEUTRO"
            )
        ),
        "NEUTRO"
    )
)</f>
        <v>BULLISH</v>
      </c>
      <c r="AM13" s="321"/>
      <c r="AN13" s="319"/>
      <c r="AO13" s="321" t="str">
        <f>IF(AND(AQ14="-",AQ15="-",AQ16="-"),
    "",
    IFERROR(
        IF(
            (SUM(
                IF(AQ14="-", 0, IF(AQ14&lt;0, -2, IF(AQ14&gt;0, 2, 0))),
                IF(AQ15="-", 0, IF(AQ15&lt;0, -2, IF(AQ15&gt;0, 2, 0))),
                IF(AQ16="-", 0, IF(AQ16&lt;0, -2, IF(AQ16&gt;0, 2, 0)))
            ) / SUM(2, 2, 2)) &gt; 0.1,
            "BULLISH",
            IF(
                (SUM(
                    IF(AQ14="-", 0, IF(AQ14&lt;0, -2, IF(AQ14&gt;0, 2, 0))),
                    IF(AQ15="-", 0, IF(AQ15&lt;0, -2, IF(AQ15&gt;0, 2, 0))),
                    IF(AQ16="-", 0, IF(AQ16&lt;0, -2, IF(AQ16&gt;0, 2, 0)))
                ) / SUM(2, 2, 2)) &lt; -0.1,
                "BEARISH",
                "NEUTRO"
            )
        ),
        "NEUTRO"
    )
)</f>
        <v/>
      </c>
      <c r="AP13" s="321"/>
      <c r="AQ13" s="319"/>
      <c r="AR13" s="321" t="str">
        <f>IF(AND(AT14="-",AT15="-",AT16="-"),
    "",
    IFERROR(
        IF(
            (SUM(
                IF(AT14="-", 0, IF(AT14&lt;0, -2, IF(AT14&gt;0, 2, 0))),
                IF(AT15="-", 0, IF(AT15&lt;0, -2, IF(AT15&gt;0, 2, 0))),
                IF(AT16="-", 0, IF(AT16&lt;0, -2, IF(AT16&gt;0, 2, 0)))
            ) / SUM(2, 2, 2)) &gt; 0.1,
            "BULLISH",
            IF(
                (SUM(
                    IF(AT14="-", 0, IF(AT14&lt;0, -2, IF(AT14&gt;0, 2, 0))),
                    IF(AT15="-", 0, IF(AT15&lt;0, -2, IF(AT15&gt;0, 2, 0))),
                    IF(AT16="-", 0, IF(AT16&lt;0, -2, IF(AT16&gt;0, 2, 0)))
                ) / SUM(2, 2, 2)) &lt; -0.1,
                "BEARISH",
                "NEUTRO"
            )
        ),
        "NEUTRO"
    )
)</f>
        <v>BEARISH</v>
      </c>
      <c r="AS13" s="321"/>
      <c r="AT13" s="319"/>
    </row>
    <row r="14" spans="1:46" x14ac:dyDescent="0.25">
      <c r="A14" s="194" t="s">
        <v>265</v>
      </c>
      <c r="B14" s="196"/>
      <c r="C14" s="196"/>
      <c r="D14" s="34">
        <f>B14-C14</f>
        <v>0</v>
      </c>
      <c r="E14" s="196"/>
      <c r="F14" s="196"/>
      <c r="G14" s="34">
        <f>E14-F14</f>
        <v>0</v>
      </c>
      <c r="H14" s="195">
        <v>5.0000000000000001E-3</v>
      </c>
      <c r="I14" s="196">
        <v>5.0000000000000001E-3</v>
      </c>
      <c r="J14" s="34">
        <f>H14-I14</f>
        <v>0</v>
      </c>
      <c r="K14" s="196"/>
      <c r="L14" s="196"/>
      <c r="M14" s="34" t="str">
        <f>IF(ISBLANK(K14),"-",K14-L14)</f>
        <v>-</v>
      </c>
      <c r="N14" s="196"/>
      <c r="O14" s="196"/>
      <c r="P14" s="34" t="str">
        <f>IF(ISBLANK(N14),"-",N14-O14)</f>
        <v>-</v>
      </c>
      <c r="Q14" s="195">
        <v>-1E-3</v>
      </c>
      <c r="R14" s="196">
        <v>0</v>
      </c>
      <c r="S14" s="34">
        <f>IF(ISBLANK(Q14),"-",Q14-R14)</f>
        <v>-1E-3</v>
      </c>
      <c r="T14" s="195">
        <v>1E-3</v>
      </c>
      <c r="U14" s="195">
        <v>-2E-3</v>
      </c>
      <c r="V14" s="34">
        <f>IF(ISBLANK(T14),"-",T14-U14)</f>
        <v>3.0000000000000001E-3</v>
      </c>
      <c r="W14" s="195">
        <v>1E-3</v>
      </c>
      <c r="X14" s="195">
        <v>-2E-3</v>
      </c>
      <c r="Y14" s="34">
        <f>IF(ISBLANK(W14),"-",W14-X14)</f>
        <v>3.0000000000000001E-3</v>
      </c>
      <c r="Z14" s="195">
        <v>-1E-3</v>
      </c>
      <c r="AA14" s="195">
        <v>-6.0000000000000001E-3</v>
      </c>
      <c r="AB14" s="34">
        <f>IF(ISBLANK(Z14),"-",Z14-AA14)</f>
        <v>5.0000000000000001E-3</v>
      </c>
      <c r="AC14" s="195">
        <v>-1E-3</v>
      </c>
      <c r="AD14" s="195">
        <v>-6.0000000000000001E-3</v>
      </c>
      <c r="AE14" s="34">
        <f>IF(ISBLANK(AC14),"-",AC14-AD14)</f>
        <v>5.0000000000000001E-3</v>
      </c>
      <c r="AF14" s="195">
        <v>-5.0000000000000001E-3</v>
      </c>
      <c r="AG14" s="195">
        <v>2E-3</v>
      </c>
      <c r="AH14" s="34">
        <f>IF(ISBLANK(AF14),"-",AF14-AG14)</f>
        <v>-7.0000000000000001E-3</v>
      </c>
      <c r="AI14" s="196"/>
      <c r="AJ14" s="196"/>
      <c r="AK14" s="34" t="str">
        <f>IF(ISBLANK(AI14),"-",AI14-AJ14)</f>
        <v>-</v>
      </c>
      <c r="AL14" s="195">
        <v>4.0000000000000001E-3</v>
      </c>
      <c r="AM14" s="195">
        <v>-3.0000000000000001E-3</v>
      </c>
      <c r="AN14" s="34">
        <f>IF(ISBLANK(AL14),"-",AL14-AM14)</f>
        <v>7.0000000000000001E-3</v>
      </c>
      <c r="AO14" s="196"/>
      <c r="AP14" s="196"/>
      <c r="AQ14" s="34" t="str">
        <f>IF(ISBLANK(AO14),"-",AO14-AP14)</f>
        <v>-</v>
      </c>
      <c r="AR14" s="195">
        <v>-2E-3</v>
      </c>
      <c r="AS14" s="195">
        <v>4.0000000000000001E-3</v>
      </c>
      <c r="AT14" s="34">
        <f>IF(ISBLANK(AR14),"-",AR14-AS14)</f>
        <v>-6.0000000000000001E-3</v>
      </c>
    </row>
    <row r="15" spans="1:46" x14ac:dyDescent="0.25">
      <c r="A15" s="194" t="s">
        <v>266</v>
      </c>
      <c r="B15" s="196"/>
      <c r="C15" s="196"/>
      <c r="D15" s="49">
        <f>B15-C15</f>
        <v>0</v>
      </c>
      <c r="E15" s="196"/>
      <c r="F15" s="196"/>
      <c r="G15" s="49">
        <f>E15-F15</f>
        <v>0</v>
      </c>
      <c r="H15" s="195">
        <v>5.3999999999999999E-2</v>
      </c>
      <c r="I15" s="195">
        <v>5.3999999999999999E-2</v>
      </c>
      <c r="J15" s="49">
        <f>H15-I15</f>
        <v>0</v>
      </c>
      <c r="K15" s="196"/>
      <c r="L15" s="196"/>
      <c r="M15" s="49" t="str">
        <f>IF(ISBLANK(K15),"-",L15-K15)</f>
        <v>-</v>
      </c>
      <c r="N15" s="196"/>
      <c r="O15" s="196"/>
      <c r="P15" s="49" t="str">
        <f>IF(ISBLANK(N15),"-",O15-N15)</f>
        <v>-</v>
      </c>
      <c r="Q15" s="195">
        <v>5.1999999999999998E-2</v>
      </c>
      <c r="R15" s="195">
        <v>5.0999999999999997E-2</v>
      </c>
      <c r="S15" s="49">
        <f>IF(ISBLANK(Q15),"-",R15-Q15)</f>
        <v>-1.0000000000000009E-3</v>
      </c>
      <c r="T15" s="195">
        <v>5.0999999999999997E-2</v>
      </c>
      <c r="U15" s="195">
        <v>5.0999999999999997E-2</v>
      </c>
      <c r="V15" s="49">
        <f>IF(ISBLANK(T15),"-",U15-T15)</f>
        <v>0</v>
      </c>
      <c r="W15" s="195">
        <v>5.0999999999999997E-2</v>
      </c>
      <c r="X15" s="195">
        <v>5.0999999999999997E-2</v>
      </c>
      <c r="Y15" s="49">
        <f>IF(ISBLANK(W15),"-",X15-W15)</f>
        <v>0</v>
      </c>
      <c r="Z15" s="195">
        <v>5.0999999999999997E-2</v>
      </c>
      <c r="AA15" s="195">
        <v>4.8000000000000001E-2</v>
      </c>
      <c r="AB15" s="49">
        <f>IF(ISBLANK(Z15),"-",AA15-Z15)</f>
        <v>-2.9999999999999957E-3</v>
      </c>
      <c r="AC15" s="195">
        <v>5.0999999999999997E-2</v>
      </c>
      <c r="AD15" s="195">
        <v>4.8000000000000001E-2</v>
      </c>
      <c r="AE15" s="49">
        <f>IF(ISBLANK(AC15),"-",AD15-AC15)</f>
        <v>-2.9999999999999957E-3</v>
      </c>
      <c r="AF15" s="195">
        <v>4.8000000000000001E-2</v>
      </c>
      <c r="AG15" s="195">
        <v>4.5999999999999999E-2</v>
      </c>
      <c r="AH15" s="49">
        <f>IF(ISBLANK(AF15),"-",AG15-AF15)</f>
        <v>-2.0000000000000018E-3</v>
      </c>
      <c r="AI15" s="196"/>
      <c r="AJ15" s="196"/>
      <c r="AK15" s="49" t="str">
        <f>IF(ISBLANK(AI15),"-",AJ15-AI15)</f>
        <v>-</v>
      </c>
      <c r="AL15" s="195">
        <v>4.5999999999999999E-2</v>
      </c>
      <c r="AM15" s="195">
        <v>4.3999999999999997E-2</v>
      </c>
      <c r="AN15" s="49">
        <f>IF(ISBLANK(AL15),"-",AM15-AL15)</f>
        <v>-2.0000000000000018E-3</v>
      </c>
      <c r="AO15" s="196"/>
      <c r="AP15" s="196"/>
      <c r="AQ15" s="49" t="str">
        <f>IF(ISBLANK(AO15),"-",AP15-AO15)</f>
        <v>-</v>
      </c>
      <c r="AR15" s="195">
        <v>4.2999999999999997E-2</v>
      </c>
      <c r="AS15" s="195">
        <v>0.04</v>
      </c>
      <c r="AT15" s="49">
        <f>IF(ISBLANK(AR15),"-",AS15-AR15)</f>
        <v>-2.9999999999999957E-3</v>
      </c>
    </row>
    <row r="16" spans="1:46" x14ac:dyDescent="0.25">
      <c r="A16" s="194" t="s">
        <v>267</v>
      </c>
      <c r="B16" s="196"/>
      <c r="C16" s="196"/>
      <c r="D16" s="34">
        <f>B16-C16</f>
        <v>0</v>
      </c>
      <c r="E16" s="196"/>
      <c r="F16" s="196"/>
      <c r="G16" s="34">
        <f>E16-F16</f>
        <v>0</v>
      </c>
      <c r="H16" s="195">
        <v>4.0000000000000001E-3</v>
      </c>
      <c r="I16" s="195">
        <v>4.0000000000000001E-3</v>
      </c>
      <c r="J16" s="34">
        <f>H16-I16</f>
        <v>0</v>
      </c>
      <c r="K16" s="196"/>
      <c r="L16" s="196"/>
      <c r="M16" s="34" t="str">
        <f>IF(ISBLANK(K16),"-",K16-L16)</f>
        <v>-</v>
      </c>
      <c r="N16" s="196"/>
      <c r="O16" s="196"/>
      <c r="P16" s="34" t="str">
        <f>IF(ISBLANK(N16),"-",N16-O16)</f>
        <v>-</v>
      </c>
      <c r="Q16" s="195">
        <v>6.0000000000000001E-3</v>
      </c>
      <c r="R16" s="195">
        <v>4.0000000000000001E-3</v>
      </c>
      <c r="S16" s="34">
        <f>IF(ISBLANK(Q16),"-",Q16-R16)</f>
        <v>2E-3</v>
      </c>
      <c r="T16" s="195">
        <v>4.0000000000000001E-3</v>
      </c>
      <c r="U16" s="195">
        <v>6.0000000000000001E-3</v>
      </c>
      <c r="V16" s="34">
        <f>IF(ISBLANK(T16),"-",T16-U16)</f>
        <v>-2E-3</v>
      </c>
      <c r="W16" s="195">
        <v>4.0000000000000001E-3</v>
      </c>
      <c r="X16" s="195">
        <v>6.0000000000000001E-3</v>
      </c>
      <c r="Y16" s="34">
        <f>IF(ISBLANK(W16),"-",W16-X16)</f>
        <v>-2E-3</v>
      </c>
      <c r="Z16" s="197">
        <v>6.0000000000000001E-3</v>
      </c>
      <c r="AA16" s="197">
        <v>-0.06</v>
      </c>
      <c r="AB16" s="34">
        <f>IF(ISBLANK(Z16),"-",Z16-AA16)</f>
        <v>6.6000000000000003E-2</v>
      </c>
      <c r="AC16" s="197">
        <v>6.0000000000000001E-3</v>
      </c>
      <c r="AD16" s="197">
        <v>-0.06</v>
      </c>
      <c r="AE16" s="34">
        <f>IF(ISBLANK(AC16),"-",AC16-AD16)</f>
        <v>6.6000000000000003E-2</v>
      </c>
      <c r="AF16" s="195">
        <v>6.0000000000000001E-3</v>
      </c>
      <c r="AG16" s="195">
        <v>8.9999999999999993E-3</v>
      </c>
      <c r="AH16" s="34">
        <f>IF(ISBLANK(AF16),"-",AF16-AG16)</f>
        <v>-2.9999999999999992E-3</v>
      </c>
      <c r="AI16" s="196"/>
      <c r="AJ16" s="196"/>
      <c r="AK16" s="34" t="str">
        <f>IF(ISBLANK(AI16),"-",AI16-AJ16)</f>
        <v>-</v>
      </c>
      <c r="AL16" s="195">
        <v>8.9999999999999993E-3</v>
      </c>
      <c r="AM16" s="195">
        <v>8.0000000000000002E-3</v>
      </c>
      <c r="AN16" s="34">
        <f>IF(ISBLANK(AL16),"-",AL16-AM16)</f>
        <v>9.9999999999999915E-4</v>
      </c>
      <c r="AO16" s="196"/>
      <c r="AP16" s="196"/>
      <c r="AQ16" s="34" t="str">
        <f>IF(ISBLANK(AO16),"-",AO16-AP16)</f>
        <v>-</v>
      </c>
      <c r="AR16" s="195">
        <v>8.0000000000000002E-3</v>
      </c>
      <c r="AS16" s="195">
        <v>0.01</v>
      </c>
      <c r="AT16" s="34">
        <f>IF(ISBLANK(AR16),"-",AR16-AS16)</f>
        <v>-2E-3</v>
      </c>
    </row>
    <row r="17" spans="1:46" x14ac:dyDescent="0.25">
      <c r="A17" s="192"/>
      <c r="B17" s="191"/>
      <c r="C17" s="191"/>
      <c r="D17" s="193"/>
      <c r="E17" s="191"/>
      <c r="F17" s="191"/>
      <c r="G17" s="193"/>
      <c r="H17" s="191"/>
      <c r="I17" s="191"/>
      <c r="J17" s="193"/>
      <c r="K17" s="191"/>
      <c r="L17" s="191"/>
      <c r="M17" s="193"/>
      <c r="N17" s="191"/>
      <c r="O17" s="191"/>
      <c r="P17" s="193"/>
      <c r="Q17" s="191"/>
      <c r="R17" s="191"/>
      <c r="S17" s="193"/>
      <c r="T17" s="191"/>
      <c r="U17" s="191"/>
      <c r="V17" s="193"/>
      <c r="W17" s="191"/>
      <c r="X17" s="191"/>
      <c r="Y17" s="193"/>
      <c r="Z17" s="191"/>
      <c r="AA17" s="191"/>
      <c r="AB17" s="193"/>
      <c r="AC17" s="191"/>
      <c r="AD17" s="191"/>
      <c r="AE17" s="193"/>
      <c r="AF17" s="191"/>
      <c r="AG17" s="191"/>
      <c r="AH17" s="193"/>
      <c r="AI17" s="191"/>
      <c r="AJ17" s="191"/>
      <c r="AK17" s="193"/>
      <c r="AL17" s="191"/>
      <c r="AM17" s="191"/>
      <c r="AN17" s="193"/>
      <c r="AO17" s="191"/>
      <c r="AP17" s="191"/>
      <c r="AQ17" s="193"/>
      <c r="AR17" s="191"/>
      <c r="AS17" s="191"/>
      <c r="AT17" s="193"/>
    </row>
    <row r="18" spans="1:46" x14ac:dyDescent="0.25">
      <c r="A18" s="2" t="s">
        <v>42</v>
      </c>
      <c r="B18" s="321" t="str">
        <f>IF(AND(D19="-",D20="-",D21="-",D22="-"),
    "",
    IFERROR(
        IF(
            (SUM(
                IF(D19="-", 0, IF(D19&lt;0, -2, IF(D19&gt;0, 2, 0))),
                IF(D20="-", 0, IF(D20&lt;0, -2, IF(D20&gt;0, 2, 0))),
                IF(D21="-", 0, IF(D21&lt;0, -2, IF(D21&gt;0, 2, 0))),
                IF(D22="-", 0, IF(D22&lt;0, -1, IF(D22&gt;0, 1, 0)))
            ) / SUM(2, 2, 2, 1)) &gt; 0.1,
            "BULLISH",
            IF(
                (SUM(
                    IF(D19="-", 0, IF(D19&lt;0, -2, IF(D19&gt;0, 2, 0))),
                    IF(D20="-", 0, IF(D20&lt;0, -2, IF(D20&gt;0, 2, 0))),
                    IF(D21="-", 0, IF(D21&lt;0, -2, IF(D21&gt;0, 2, 0))),
                    IF(D22="-", 0, IF(D22&lt;0, -1, IF(D22&gt;0, 1, 0)))
                ) / SUM(2, 2, 2, 1)) &lt; -0.1,
                "BEARISH",
                "NEUTRO"
            )
        ),
        "NEUTRO"
    )
)</f>
        <v/>
      </c>
      <c r="C18" s="321"/>
      <c r="D18" s="319"/>
      <c r="E18" s="321" t="str">
        <f>IF(AND(G19="-",G20="-",G21="-",G22="-"),
    "",
    IFERROR(
        IF(
            (SUM(
                IF(G19="-", 0, IF(G19&lt;0, -2, IF(G19&gt;0, 2, 0))),
                IF(G20="-", 0, IF(G20&lt;0, -2, IF(G20&gt;0, 2, 0))),
                IF(G21="-", 0, IF(G21&lt;0, -2, IF(G21&gt;0, 2, 0))),
                IF(G22="-", 0, IF(G22&lt;0, -1, IF(G22&gt;0, 1, 0)))
            ) / SUM(2, 2, 2, 1)) &gt; 0.1,
            "BULLISH",
            IF(
                (SUM(
                    IF(G19="-", 0, IF(G19&lt;0, -2, IF(G19&gt;0, 2, 0))),
                    IF(G20="-", 0, IF(G20&lt;0, -2, IF(G20&gt;0, 2, 0))),
                    IF(G21="-", 0, IF(G21&lt;0, -2, IF(G21&gt;0, 2, 0))),
                    IF(G22="-", 0, IF(G22&lt;0, -1, IF(G22&gt;0, 1, 0)))
                ) / SUM(2, 2, 2, 1)) &lt; -0.1,
                "BEARISH",
                "NEUTRO"
            )
        ),
        "NEUTRO"
    )
)</f>
        <v/>
      </c>
      <c r="F18" s="321"/>
      <c r="G18" s="319"/>
      <c r="H18" s="321" t="str">
        <f>IF(AND(J19="-",J20="-",J21="-",J22="-"),
    "",
    IFERROR(
        IF(
            (SUM(
                IF(J19="-", 0, IF(J19&lt;0, -2, IF(J19&gt;0, 2, 0))),
                IF(J20="-", 0, IF(J20&lt;0, -2, IF(J20&gt;0, 2, 0))),
                IF(J21="-", 0, IF(J21&lt;0, -2, IF(J21&gt;0, 2, 0))),
                IF(J22="-", 0, IF(J22&lt;0, -1, IF(J22&gt;0, 1, 0)))
            ) / SUM(2, 2, 2, 1)) &gt; 0.1,
            "BULLISH",
            IF(
                (SUM(
                    IF(J19="-", 0, IF(J19&lt;0, -2, IF(J19&gt;0, 2, 0))),
                    IF(J20="-", 0, IF(J20&lt;0, -2, IF(J20&gt;0, 2, 0))),
                    IF(J21="-", 0, IF(J21&lt;0, -2, IF(J21&gt;0, 2, 0))),
                    IF(J22="-", 0, IF(J22&lt;0, -1, IF(J22&gt;0, 1, 0)))
                ) / SUM(2, 2, 2, 1)) &lt; -0.1,
                "BEARISH",
                "NEUTRO"
            )
        ),
        "NEUTRO"
    )
)</f>
        <v>BULLISH</v>
      </c>
      <c r="I18" s="321"/>
      <c r="J18" s="319"/>
      <c r="K18" s="321" t="str">
        <f>IF(AND(M19="-",M20="-",M21="-",M22="-"),
    "",
    IFERROR(
        IF(
            (SUM(
                IF(M19="-", 0, IF(M19&lt;0, -2, IF(M19&gt;0, 2, 0))),
                IF(M20="-", 0, IF(M20&lt;0, -2, IF(M20&gt;0, 2, 0))),
                IF(M21="-", 0, IF(M21&lt;0, -2, IF(M21&gt;0, 2, 0))),
                IF(M22="-", 0, IF(M22&lt;0, -1, IF(M22&gt;0, 1, 0)))
            ) / SUM(2, 2, 2, 1)) &gt; 0.1,
            "BULLISH",
            IF(
                (SUM(
                    IF(M19="-", 0, IF(M19&lt;0, -2, IF(M19&gt;0, 2, 0))),
                    IF(M20="-", 0, IF(M20&lt;0, -2, IF(M20&gt;0, 2, 0))),
                    IF(M21="-", 0, IF(M21&lt;0, -2, IF(M21&gt;0, 2, 0))),
                    IF(M22="-", 0, IF(M22&lt;0, -1, IF(M22&gt;0, 1, 0)))
                ) / SUM(2, 2, 2, 1)) &lt; -0.1,
                "BEARISH",
                "NEUTRO"
            )
        ),
        "NEUTRO"
    )
)</f>
        <v>BULLISH</v>
      </c>
      <c r="L18" s="321"/>
      <c r="M18" s="319"/>
      <c r="N18" s="321" t="str">
        <f>IF(AND(P19="-",P20="-",P21="-",P22="-"),
    "",
    IFERROR(
        IF(
            (SUM(
                IF(P19="-", 0, IF(P19&lt;0, -2, IF(P19&gt;0, 2, 0))),
                IF(P20="-", 0, IF(P20&lt;0, -2, IF(P20&gt;0, 2, 0))),
                IF(P21="-", 0, IF(P21&lt;0, -2, IF(P21&gt;0, 2, 0))),
                IF(P22="-", 0, IF(P22&lt;0, -1, IF(P22&gt;0, 1, 0)))
            ) / SUM(2, 2, 2, 1)) &gt; 0.1,
            "BULLISH",
            IF(
                (SUM(
                    IF(P19="-", 0, IF(P19&lt;0, -2, IF(P19&gt;0, 2, 0))),
                    IF(P20="-", 0, IF(P20&lt;0, -2, IF(P20&gt;0, 2, 0))),
                    IF(P21="-", 0, IF(P21&lt;0, -2, IF(P21&gt;0, 2, 0))),
                    IF(P22="-", 0, IF(P22&lt;0, -1, IF(P22&gt;0, 1, 0)))
                ) / SUM(2, 2, 2, 1)) &lt; -0.1,
                "BEARISH",
                "NEUTRO"
            )
        ),
        "NEUTRO"
    )
)</f>
        <v>BEARISH</v>
      </c>
      <c r="O18" s="321"/>
      <c r="P18" s="319"/>
      <c r="Q18" s="321" t="str">
        <f>IF(AND(S19="-",S20="-",S21="-",S22="-"),
    "",
    IFERROR(
        IF(
            (SUM(
                IF(S19="-", 0, IF(S19&lt;0, -2, IF(S19&gt;0, 2, 0))),
                IF(S20="-", 0, IF(S20&lt;0, -2, IF(S20&gt;0, 2, 0))),
                IF(S21="-", 0, IF(S21&lt;0, -2, IF(S21&gt;0, 2, 0))),
                IF(S22="-", 0, IF(S22&lt;0, -1, IF(S22&gt;0, 1, 0)))
            ) / SUM(2, 2, 2, 1)) &gt; 0.1,
            "BULLISH",
            IF(
                (SUM(
                    IF(S19="-", 0, IF(S19&lt;0, -2, IF(S19&gt;0, 2, 0))),
                    IF(S20="-", 0, IF(S20&lt;0, -2, IF(S20&gt;0, 2, 0))),
                    IF(S21="-", 0, IF(S21&lt;0, -2, IF(S21&gt;0, 2, 0))),
                    IF(S22="-", 0, IF(S22&lt;0, -1, IF(S22&gt;0, 1, 0)))
                ) / SUM(2, 2, 2, 1)) &lt; -0.1,
                "BEARISH",
                "NEUTRO"
            )
        ),
        "NEUTRO"
    )
)</f>
        <v>BEARISH</v>
      </c>
      <c r="R18" s="321"/>
      <c r="S18" s="319"/>
      <c r="T18" s="321" t="str">
        <f>IF(AND(V19="-",V20="-",V21="-",V22="-"),
    "",
    IFERROR(
        IF(
            (SUM(
                IF(V19="-", 0, IF(V19&lt;0, -2, IF(V19&gt;0, 2, 0))),
                IF(V20="-", 0, IF(V20&lt;0, -2, IF(V20&gt;0, 2, 0))),
                IF(V21="-", 0, IF(V21&lt;0, -2, IF(V21&gt;0, 2, 0))),
                IF(V22="-", 0, IF(V22&lt;0, -1, IF(V22&gt;0, 1, 0)))
            ) / SUM(2, 2, 2, 1)) &gt; 0.1,
            "BULLISH",
            IF(
                (SUM(
                    IF(V19="-", 0, IF(V19&lt;0, -2, IF(V19&gt;0, 2, 0))),
                    IF(V20="-", 0, IF(V20&lt;0, -2, IF(V20&gt;0, 2, 0))),
                    IF(V21="-", 0, IF(V21&lt;0, -2, IF(V21&gt;0, 2, 0))),
                    IF(V22="-", 0, IF(V22&lt;0, -1, IF(V22&gt;0, 1, 0)))
                ) / SUM(2, 2, 2, 1)) &lt; -0.1,
                "BEARISH",
                "NEUTRO"
            )
        ),
        "NEUTRO"
    )
)</f>
        <v>BULLISH</v>
      </c>
      <c r="U18" s="321"/>
      <c r="V18" s="319"/>
      <c r="W18" s="321" t="str">
        <f>IF(AND(Y19="-",Y20="-",Y21="-",Y22="-"),
    "",
    IFERROR(
        IF(
            (SUM(
                IF(Y19="-", 0, IF(Y19&lt;0, -2, IF(Y19&gt;0, 2, 0))),
                IF(Y20="-", 0, IF(Y20&lt;0, -2, IF(Y20&gt;0, 2, 0))),
                IF(Y21="-", 0, IF(Y21&lt;0, -2, IF(Y21&gt;0, 2, 0))),
                IF(Y22="-", 0, IF(Y22&lt;0, -1, IF(Y22&gt;0, 1, 0)))
            ) / SUM(2, 2, 2, 1)) &gt; 0.1,
            "BULLISH",
            IF(
                (SUM(
                    IF(Y19="-", 0, IF(Y19&lt;0, -2, IF(Y19&gt;0, 2, 0))),
                    IF(Y20="-", 0, IF(Y20&lt;0, -2, IF(Y20&gt;0, 2, 0))),
                    IF(Y21="-", 0, IF(Y21&lt;0, -2, IF(Y21&gt;0, 2, 0))),
                    IF(Y22="-", 0, IF(Y22&lt;0, -1, IF(Y22&gt;0, 1, 0)))
                ) / SUM(2, 2, 2, 1)) &lt; -0.1,
                "BEARISH",
                "NEUTRO"
            )
        ),
        "NEUTRO"
    )
)</f>
        <v>BEARISH</v>
      </c>
      <c r="X18" s="321"/>
      <c r="Y18" s="319"/>
      <c r="Z18" s="321" t="str">
        <f>IF(AND(AB19="-",AB20="-",AB21="-",AB22="-"),
    "",
    IFERROR(
        IF(
            (SUM(
                IF(AB19="-", 0, IF(AB19&lt;0, -2, IF(AB19&gt;0, 2, 0))),
                IF(AB20="-", 0, IF(AB20&lt;0, -2, IF(AB20&gt;0, 2, 0))),
                IF(AB21="-", 0, IF(AB21&lt;0, -2, IF(AB21&gt;0, 2, 0))),
                IF(AB22="-", 0, IF(AB22&lt;0, -1, IF(AB22&gt;0, 1, 0)))
            ) / SUM(2, 2, 2, 1)) &gt; 0.1,
            "BULLISH",
            IF(
                (SUM(
                    IF(AB19="-", 0, IF(AB19&lt;0, -2, IF(AB19&gt;0, 2, 0))),
                    IF(AB20="-", 0, IF(AB20&lt;0, -2, IF(AB20&gt;0, 2, 0))),
                    IF(AB21="-", 0, IF(AB21&lt;0, -2, IF(AB21&gt;0, 2, 0))),
                    IF(AB22="-", 0, IF(AB22&lt;0, -1, IF(AB22&gt;0, 1, 0)))
                ) / SUM(2, 2, 2, 1)) &lt; -0.1,
                "BEARISH",
                "NEUTRO"
            )
        ),
        "NEUTRO"
    )
)</f>
        <v>BULLISH</v>
      </c>
      <c r="AA18" s="321"/>
      <c r="AB18" s="319"/>
      <c r="AC18" s="321" t="str">
        <f>IF(AND(AE19="-",AE20="-",AE21="-",AE22="-"),
    "",
    IFERROR(
        IF(
            (SUM(
                IF(AE19="-", 0, IF(AE19&lt;0, -2, IF(AE19&gt;0, 2, 0))),
                IF(AE20="-", 0, IF(AE20&lt;0, -2, IF(AE20&gt;0, 2, 0))),
                IF(AE21="-", 0, IF(AE21&lt;0, -2, IF(AE21&gt;0, 2, 0))),
                IF(AE22="-", 0, IF(AE22&lt;0, -1, IF(AE22&gt;0, 1, 0)))
            ) / SUM(2, 2, 2, 1)) &gt; 0.1,
            "BULLISH",
            IF(
                (SUM(
                    IF(AE19="-", 0, IF(AE19&lt;0, -2, IF(AE19&gt;0, 2, 0))),
                    IF(AE20="-", 0, IF(AE20&lt;0, -2, IF(AE20&gt;0, 2, 0))),
                    IF(AE21="-", 0, IF(AE21&lt;0, -2, IF(AE21&gt;0, 2, 0))),
                    IF(AE22="-", 0, IF(AE22&lt;0, -1, IF(AE22&gt;0, 1, 0)))
                ) / SUM(2, 2, 2, 1)) &lt; -0.1,
                "BEARISH",
                "NEUTRO"
            )
        ),
        "NEUTRO"
    )
)</f>
        <v>BULLISH</v>
      </c>
      <c r="AD18" s="321"/>
      <c r="AE18" s="319"/>
      <c r="AF18" s="321" t="str">
        <f>IF(AND(AH19="-",AH20="-",AH21="-",AH22="-"),
    "",
    IFERROR(
        IF(
            (SUM(
                IF(AH19="-", 0, IF(AH19&lt;0, -2, IF(AH19&gt;0, 2, 0))),
                IF(AH20="-", 0, IF(AH20&lt;0, -2, IF(AH20&gt;0, 2, 0))),
                IF(AH21="-", 0, IF(AH21&lt;0, -2, IF(AH21&gt;0, 2, 0))),
                IF(AH22="-", 0, IF(AH22&lt;0, -1, IF(AH22&gt;0, 1, 0)))
            ) / SUM(2, 2, 2, 1)) &gt; 0.1,
            "BULLISH",
            IF(
                (SUM(
                    IF(AH19="-", 0, IF(AH19&lt;0, -2, IF(AH19&gt;0, 2, 0))),
                    IF(AH20="-", 0, IF(AH20&lt;0, -2, IF(AH20&gt;0, 2, 0))),
                    IF(AH21="-", 0, IF(AH21&lt;0, -2, IF(AH21&gt;0, 2, 0))),
                    IF(AH22="-", 0, IF(AH22&lt;0, -1, IF(AH22&gt;0, 1, 0)))
                ) / SUM(2, 2, 2, 1)) &lt; -0.1,
                "BEARISH",
                "NEUTRO"
            )
        ),
        "NEUTRO"
    )
)</f>
        <v>BULLISH</v>
      </c>
      <c r="AG18" s="321"/>
      <c r="AH18" s="319"/>
      <c r="AI18" s="321" t="str">
        <f>IF(AND(AK19="-",AK20="-",AK21="-",AK22="-"),
    "",
    IFERROR(
        IF(
            (SUM(
                IF(AK19="-", 0, IF(AK19&lt;0, -2, IF(AK19&gt;0, 2, 0))),
                IF(AK20="-", 0, IF(AK20&lt;0, -2, IF(AK20&gt;0, 2, 0))),
                IF(AK21="-", 0, IF(AK21&lt;0, -2, IF(AK21&gt;0, 2, 0))),
                IF(AK22="-", 0, IF(AK22&lt;0, -1, IF(AK22&gt;0, 1, 0)))
            ) / SUM(2, 2, 2, 1)) &gt; 0.1,
            "BULLISH",
            IF(
                (SUM(
                    IF(AK19="-", 0, IF(AK19&lt;0, -2, IF(AK19&gt;0, 2, 0))),
                    IF(AK20="-", 0, IF(AK20&lt;0, -2, IF(AK20&gt;0, 2, 0))),
                    IF(AK21="-", 0, IF(AK21&lt;0, -2, IF(AK21&gt;0, 2, 0))),
                    IF(AK22="-", 0, IF(AK22&lt;0, -1, IF(AK22&gt;0, 1, 0)))
                ) / SUM(2, 2, 2, 1)) &lt; -0.1,
                "BEARISH",
                "NEUTRO"
            )
        ),
        "NEUTRO"
    )
)</f>
        <v>BEARISH</v>
      </c>
      <c r="AJ18" s="321"/>
      <c r="AK18" s="319"/>
      <c r="AL18" s="321" t="str">
        <f>IF(AND(AN19="-",AN20="-",AN21="-",AN22="-"),
    "",
    IFERROR(
        IF(
            (SUM(
                IF(AN19="-", 0, IF(AN19&lt;0, -2, IF(AN19&gt;0, 2, 0))),
                IF(AN20="-", 0, IF(AN20&lt;0, -2, IF(AN20&gt;0, 2, 0))),
                IF(AN21="-", 0, IF(AN21&lt;0, -2, IF(AN21&gt;0, 2, 0))),
                IF(AN22="-", 0, IF(AN22&lt;0, -1, IF(AN22&gt;0, 1, 0)))
            ) / SUM(2, 2, 2, 1)) &gt; 0.1,
            "BULLISH",
            IF(
                (SUM(
                    IF(AN19="-", 0, IF(AN19&lt;0, -2, IF(AN19&gt;0, 2, 0))),
                    IF(AN20="-", 0, IF(AN20&lt;0, -2, IF(AN20&gt;0, 2, 0))),
                    IF(AN21="-", 0, IF(AN21&lt;0, -2, IF(AN21&gt;0, 2, 0))),
                    IF(AN22="-", 0, IF(AN22&lt;0, -1, IF(AN22&gt;0, 1, 0)))
                ) / SUM(2, 2, 2, 1)) &lt; -0.1,
                "BEARISH",
                "NEUTRO"
            )
        ),
        "NEUTRO"
    )
)</f>
        <v>BEARISH</v>
      </c>
      <c r="AM18" s="321"/>
      <c r="AN18" s="319"/>
      <c r="AO18" s="321" t="str">
        <f>IF(AND(AQ19="-",AQ20="-",AQ21="-",AQ22="-"),
    "",
    IFERROR(
        IF(
            (SUM(
                IF(AQ19="-", 0, IF(AQ19&lt;0, -2, IF(AQ19&gt;0, 2, 0))),
                IF(AQ20="-", 0, IF(AQ20&lt;0, -2, IF(AQ20&gt;0, 2, 0))),
                IF(AQ21="-", 0, IF(AQ21&lt;0, -2, IF(AQ21&gt;0, 2, 0))),
                IF(AQ22="-", 0, IF(AQ22&lt;0, -1, IF(AQ22&gt;0, 1, 0)))
            ) / SUM(2, 2, 2, 1)) &gt; 0.1,
            "BULLISH",
            IF(
                (SUM(
                    IF(AQ19="-", 0, IF(AQ19&lt;0, -2, IF(AQ19&gt;0, 2, 0))),
                    IF(AQ20="-", 0, IF(AQ20&lt;0, -2, IF(AQ20&gt;0, 2, 0))),
                    IF(AQ21="-", 0, IF(AQ21&lt;0, -2, IF(AQ21&gt;0, 2, 0))),
                    IF(AQ22="-", 0, IF(AQ22&lt;0, -1, IF(AQ22&gt;0, 1, 0)))
                ) / SUM(2, 2, 2, 1)) &lt; -0.1,
                "BEARISH",
                "NEUTRO"
            )
        ),
        "NEUTRO"
    )
)</f>
        <v>BEARISH</v>
      </c>
      <c r="AP18" s="321"/>
      <c r="AQ18" s="319"/>
      <c r="AR18" s="321" t="str">
        <f>IF(AND(AT19="-",AT20="-",AT21="-",AT22="-"),
    "",
    IFERROR(
        IF(
            (SUM(
                IF(AT19="-", 0, IF(AT19&lt;0, -2, IF(AT19&gt;0, 2, 0))),
                IF(AT20="-", 0, IF(AT20&lt;0, -2, IF(AT20&gt;0, 2, 0))),
                IF(AT21="-", 0, IF(AT21&lt;0, -2, IF(AT21&gt;0, 2, 0))),
                IF(AT22="-", 0, IF(AT22&lt;0, -1, IF(AT22&gt;0, 1, 0)))
            ) / SUM(2, 2, 2, 1)) &gt; 0.1,
            "BULLISH",
            IF(
                (SUM(
                    IF(AT19="-", 0, IF(AT19&lt;0, -2, IF(AT19&gt;0, 2, 0))),
                    IF(AT20="-", 0, IF(AT20&lt;0, -2, IF(AT20&gt;0, 2, 0))),
                    IF(AT21="-", 0, IF(AT21&lt;0, -2, IF(AT21&gt;0, 2, 0))),
                    IF(AT22="-", 0, IF(AT22&lt;0, -1, IF(AT22&gt;0, 1, 0)))
                ) / SUM(2, 2, 2, 1)) &lt; -0.1,
                "BEARISH",
                "NEUTRO"
            )
        ),
        "NEUTRO"
    )
)</f>
        <v>BEARISH</v>
      </c>
      <c r="AS18" s="321"/>
      <c r="AT18" s="319"/>
    </row>
    <row r="19" spans="1:46" x14ac:dyDescent="0.25">
      <c r="A19" s="194" t="s">
        <v>268</v>
      </c>
      <c r="B19" s="196"/>
      <c r="C19" s="196"/>
      <c r="D19" s="34" t="str">
        <f>IF(ISBLANK(B19),"-",B19-C19)</f>
        <v>-</v>
      </c>
      <c r="E19" s="196"/>
      <c r="F19" s="196"/>
      <c r="G19" s="34" t="str">
        <f>IF(ISBLANK(E19),"-",E19-F19)</f>
        <v>-</v>
      </c>
      <c r="H19" s="195">
        <v>1.9E-2</v>
      </c>
      <c r="I19" s="195">
        <v>7.0000000000000001E-3</v>
      </c>
      <c r="J19" s="34">
        <f>IF(ISBLANK(H19),"-",H19-I19)</f>
        <v>1.2E-2</v>
      </c>
      <c r="K19" s="195">
        <v>7.0000000000000001E-3</v>
      </c>
      <c r="L19" s="195">
        <v>5.0000000000000001E-3</v>
      </c>
      <c r="M19" s="34">
        <f>IF(ISBLANK(K19),"-",K19-L19)</f>
        <v>2E-3</v>
      </c>
      <c r="N19" s="195">
        <v>5.0000000000000001E-3</v>
      </c>
      <c r="O19" s="195">
        <v>8.0000000000000002E-3</v>
      </c>
      <c r="P19" s="34">
        <f>IF(ISBLANK(N19),"-",N19-O19)</f>
        <v>-3.0000000000000001E-3</v>
      </c>
      <c r="Q19" s="196"/>
      <c r="R19" s="196"/>
      <c r="S19" s="34" t="str">
        <f>IF(ISBLANK(Q19),"-",Q19-R19)</f>
        <v>-</v>
      </c>
      <c r="T19" s="196"/>
      <c r="U19" s="196"/>
      <c r="V19" s="34" t="str">
        <f>IF(ISBLANK(T19),"-",T19-U19)</f>
        <v>-</v>
      </c>
      <c r="W19" s="195">
        <v>8.0000000000000002E-3</v>
      </c>
      <c r="X19" s="197">
        <v>0.01</v>
      </c>
      <c r="Y19" s="34">
        <f>IF(ISBLANK(W19),"-",W19-X19)</f>
        <v>-2E-3</v>
      </c>
      <c r="Z19" s="195">
        <v>8.9999999999999993E-3</v>
      </c>
      <c r="AA19" s="197">
        <v>0</v>
      </c>
      <c r="AB19" s="34">
        <f>IF(ISBLANK(Z19),"-",Z19-AA19)</f>
        <v>8.9999999999999993E-3</v>
      </c>
      <c r="AC19" s="196"/>
      <c r="AD19" s="196"/>
      <c r="AE19" s="34" t="str">
        <f>IF(ISBLANK(AC19),"-",AC19-AD19)</f>
        <v>-</v>
      </c>
      <c r="AF19" s="196"/>
      <c r="AG19" s="196"/>
      <c r="AH19" s="34" t="str">
        <f>IF(ISBLANK(AF19),"-",AF19-AG19)</f>
        <v>-</v>
      </c>
      <c r="AI19" s="195">
        <v>-1.2E-2</v>
      </c>
      <c r="AJ19" s="195">
        <v>4.0000000000000001E-3</v>
      </c>
      <c r="AK19" s="34">
        <f>IF(ISBLANK(AI19),"-",AI19-AJ19)</f>
        <v>-1.6E-2</v>
      </c>
      <c r="AL19" s="196"/>
      <c r="AM19" s="196"/>
      <c r="AN19" s="34" t="str">
        <f>IF(ISBLANK(AL19),"-",AL19-AM19)</f>
        <v>-</v>
      </c>
      <c r="AO19" s="196"/>
      <c r="AP19" s="196"/>
      <c r="AQ19" s="34" t="str">
        <f>IF(ISBLANK(AO19),"-",AO19-AP19)</f>
        <v>-</v>
      </c>
      <c r="AR19" s="196"/>
      <c r="AS19" s="196"/>
      <c r="AT19" s="34" t="str">
        <f>IF(ISBLANK(AR19),"-",AR19-AS19)</f>
        <v>-</v>
      </c>
    </row>
    <row r="20" spans="1:46" x14ac:dyDescent="0.25">
      <c r="A20" s="194" t="s">
        <v>269</v>
      </c>
      <c r="B20" s="196"/>
      <c r="C20" s="196"/>
      <c r="D20" s="34" t="str">
        <f>IF(ISBLANK(B20),"-",B20-C20)</f>
        <v>-</v>
      </c>
      <c r="E20" s="196"/>
      <c r="F20" s="196"/>
      <c r="G20" s="34" t="str">
        <f>IF(ISBLANK(E20),"-",E20-F20)</f>
        <v>-</v>
      </c>
      <c r="H20" s="195">
        <v>1.2E-2</v>
      </c>
      <c r="I20" s="197">
        <v>0.01</v>
      </c>
      <c r="J20" s="34">
        <f>IF(ISBLANK(H20),"-",H20-I20)</f>
        <v>2E-3</v>
      </c>
      <c r="K20" s="197">
        <v>0.01</v>
      </c>
      <c r="L20" s="195">
        <v>7.0000000000000001E-3</v>
      </c>
      <c r="M20" s="34">
        <f>IF(ISBLANK(K20),"-",K20-L20)</f>
        <v>3.0000000000000001E-3</v>
      </c>
      <c r="N20" s="195">
        <v>7.0000000000000001E-3</v>
      </c>
      <c r="O20" s="195">
        <v>-3.0000000000000001E-3</v>
      </c>
      <c r="P20" s="34">
        <f>IF(ISBLANK(N20),"-",N20-O20)</f>
        <v>0.01</v>
      </c>
      <c r="Q20" s="196"/>
      <c r="R20" s="196"/>
      <c r="S20" s="34" t="str">
        <f>IF(ISBLANK(Q20),"-",Q20-R20)</f>
        <v>-</v>
      </c>
      <c r="T20" s="196"/>
      <c r="U20" s="196"/>
      <c r="V20" s="34" t="str">
        <f>IF(ISBLANK(T20),"-",T20-U20)</f>
        <v>-</v>
      </c>
      <c r="W20" s="195">
        <v>4.0000000000000001E-3</v>
      </c>
      <c r="X20" s="195">
        <v>1.4E-2</v>
      </c>
      <c r="Y20" s="34">
        <f>IF(ISBLANK(W20),"-",W20-X20)</f>
        <v>-0.01</v>
      </c>
      <c r="Z20" s="195">
        <v>1.4E-2</v>
      </c>
      <c r="AA20" s="195">
        <v>-6.0000000000000001E-3</v>
      </c>
      <c r="AB20" s="34">
        <f>IF(ISBLANK(Z20),"-",Z20-AA20)</f>
        <v>0.02</v>
      </c>
      <c r="AC20" s="196"/>
      <c r="AD20" s="196"/>
      <c r="AE20" s="34" t="str">
        <f>IF(ISBLANK(AC20),"-",AC20-AD20)</f>
        <v>-</v>
      </c>
      <c r="AF20" s="196"/>
      <c r="AG20" s="196"/>
      <c r="AH20" s="34" t="str">
        <f>IF(ISBLANK(AF20),"-",AF20-AG20)</f>
        <v>-</v>
      </c>
      <c r="AI20" s="197">
        <v>-0.01</v>
      </c>
      <c r="AJ20" s="195">
        <v>3.0000000000000001E-3</v>
      </c>
      <c r="AK20" s="34">
        <f>IF(ISBLANK(AI20),"-",AI20-AJ20)</f>
        <v>-1.3000000000000001E-2</v>
      </c>
      <c r="AL20" s="196"/>
      <c r="AM20" s="196"/>
      <c r="AN20" s="34" t="str">
        <f>IF(ISBLANK(AL20),"-",AL20-AM20)</f>
        <v>-</v>
      </c>
      <c r="AO20" s="196"/>
      <c r="AP20" s="196"/>
      <c r="AQ20" s="34" t="str">
        <f>IF(ISBLANK(AO20),"-",AO20-AP20)</f>
        <v>-</v>
      </c>
      <c r="AR20" s="196"/>
      <c r="AS20" s="196"/>
      <c r="AT20" s="34" t="str">
        <f>IF(ISBLANK(AR20),"-",AR20-AS20)</f>
        <v>-</v>
      </c>
    </row>
    <row r="21" spans="1:46" x14ac:dyDescent="0.25">
      <c r="A21" s="194" t="s">
        <v>270</v>
      </c>
      <c r="B21" s="196"/>
      <c r="C21" s="196"/>
      <c r="D21" s="54" t="str">
        <f>IF(ISBLANK(B21),"-",B21-C21)</f>
        <v>-</v>
      </c>
      <c r="E21" s="196"/>
      <c r="F21" s="196"/>
      <c r="G21" s="54" t="str">
        <f>IF(ISBLANK(E21),"-",E21-F21)</f>
        <v>-</v>
      </c>
      <c r="H21" s="196">
        <v>96.5</v>
      </c>
      <c r="I21" s="196">
        <v>90.9</v>
      </c>
      <c r="J21" s="54">
        <f>IF(ISBLANK(H21),"-",H21-I21)</f>
        <v>5.5999999999999943</v>
      </c>
      <c r="K21" s="196">
        <v>90.9</v>
      </c>
      <c r="L21" s="196">
        <v>90.9</v>
      </c>
      <c r="M21" s="54">
        <f>IF(ISBLANK(K21),"-",K21-L21)</f>
        <v>0</v>
      </c>
      <c r="N21" s="196">
        <v>90.9</v>
      </c>
      <c r="O21" s="196">
        <v>91.2</v>
      </c>
      <c r="P21" s="54">
        <f>IF(ISBLANK(N21),"-",N21-O21)</f>
        <v>-0.29999999999999716</v>
      </c>
      <c r="Q21" s="196"/>
      <c r="R21" s="196"/>
      <c r="S21" s="54" t="str">
        <f>IF(ISBLANK(Q21),"-",Q21-R21)</f>
        <v>-</v>
      </c>
      <c r="T21" s="196">
        <v>91.2</v>
      </c>
      <c r="U21" s="196">
        <v>89.2</v>
      </c>
      <c r="V21" s="54">
        <f>IF(ISBLANK(T21),"-",T21-U21)</f>
        <v>2</v>
      </c>
      <c r="W21" s="196">
        <v>89.2</v>
      </c>
      <c r="X21" s="196">
        <v>97.5</v>
      </c>
      <c r="Y21" s="54">
        <f>IF(ISBLANK(W21),"-",W21-X21)</f>
        <v>-8.2999999999999972</v>
      </c>
      <c r="Z21" s="196">
        <v>89.2</v>
      </c>
      <c r="AA21" s="196">
        <v>97.5</v>
      </c>
      <c r="AB21" s="54">
        <f>IF(ISBLANK(Z21),"-",Z21-AA21)</f>
        <v>-8.2999999999999972</v>
      </c>
      <c r="AC21" s="196">
        <v>97.5</v>
      </c>
      <c r="AD21" s="196">
        <v>90.8</v>
      </c>
      <c r="AE21" s="54">
        <f>IF(ISBLANK(AC21),"-",AC21-AD21)</f>
        <v>6.7000000000000028</v>
      </c>
      <c r="AF21" s="196"/>
      <c r="AG21" s="196"/>
      <c r="AH21" s="54" t="str">
        <f>IF(ISBLANK(AF21),"-",AF21-AG21)</f>
        <v>-</v>
      </c>
      <c r="AI21" s="196">
        <v>90.8</v>
      </c>
      <c r="AJ21" s="196">
        <v>82.2</v>
      </c>
      <c r="AK21" s="54">
        <f>IF(ISBLANK(AI21),"-",AI21-AJ21)</f>
        <v>8.5999999999999943</v>
      </c>
      <c r="AL21" s="196"/>
      <c r="AM21" s="196"/>
      <c r="AN21" s="54" t="str">
        <f>IF(ISBLANK(AL21),"-",AL21-AM21)</f>
        <v>-</v>
      </c>
      <c r="AO21" s="196"/>
      <c r="AP21" s="196"/>
      <c r="AQ21" s="54" t="str">
        <f>IF(ISBLANK(AO21),"-",AO21-AP21)</f>
        <v>-</v>
      </c>
      <c r="AR21" s="196"/>
      <c r="AS21" s="196"/>
      <c r="AT21" s="54" t="str">
        <f>IF(ISBLANK(AR21),"-",AR21-AS21)</f>
        <v>-</v>
      </c>
    </row>
    <row r="22" spans="1:46" x14ac:dyDescent="0.25">
      <c r="A22" s="188" t="s">
        <v>271</v>
      </c>
      <c r="B22" s="191"/>
      <c r="C22" s="191"/>
      <c r="D22" s="7" t="str">
        <f>IF(ISBLANK(B22),"-",B22-C22)</f>
        <v>-</v>
      </c>
      <c r="E22" s="191"/>
      <c r="F22" s="191"/>
      <c r="G22" s="7" t="str">
        <f>IF(ISBLANK(E22),"-",E22-F22)</f>
        <v>-</v>
      </c>
      <c r="H22" s="189">
        <v>-3.0000000000000001E-3</v>
      </c>
      <c r="I22" s="189">
        <v>1.6E-2</v>
      </c>
      <c r="J22" s="7">
        <f>IF(ISBLANK(H22),"-",H22-I22)</f>
        <v>-1.9E-2</v>
      </c>
      <c r="K22" s="189">
        <v>2E-3</v>
      </c>
      <c r="L22" s="189">
        <v>3.3000000000000002E-2</v>
      </c>
      <c r="M22" s="7">
        <f>IF(ISBLANK(K22),"-",K22-L22)</f>
        <v>-3.1E-2</v>
      </c>
      <c r="N22" s="189">
        <v>3.5000000000000003E-2</v>
      </c>
      <c r="O22" s="189">
        <v>8.9999999999999993E-3</v>
      </c>
      <c r="P22" s="7">
        <f>IF(ISBLANK(N22),"-",N22-O22)</f>
        <v>2.6000000000000002E-2</v>
      </c>
      <c r="Q22" s="190">
        <v>-0.09</v>
      </c>
      <c r="R22" s="190">
        <v>0.02</v>
      </c>
      <c r="S22" s="7">
        <f>IF(ISBLANK(Q22),"-",Q22-R22)</f>
        <v>-0.11</v>
      </c>
      <c r="T22" s="189">
        <v>2.1999999999999999E-2</v>
      </c>
      <c r="U22" s="189">
        <v>5.0000000000000001E-3</v>
      </c>
      <c r="V22" s="7">
        <f>IF(ISBLANK(T22),"-",T22-U22)</f>
        <v>1.6999999999999998E-2</v>
      </c>
      <c r="W22" s="189">
        <v>5.0000000000000001E-3</v>
      </c>
      <c r="X22" s="189">
        <v>8.0000000000000002E-3</v>
      </c>
      <c r="Y22" s="7">
        <f>IF(ISBLANK(W22),"-",W22-X22)</f>
        <v>-3.0000000000000001E-3</v>
      </c>
      <c r="Z22" s="189">
        <v>8.9999999999999993E-3</v>
      </c>
      <c r="AA22" s="189">
        <v>-1.2999999999999999E-2</v>
      </c>
      <c r="AB22" s="7">
        <f>IF(ISBLANK(Z22),"-",Z22-AA22)</f>
        <v>2.1999999999999999E-2</v>
      </c>
      <c r="AC22" s="189">
        <v>-1.4E-2</v>
      </c>
      <c r="AD22" s="189">
        <v>3.0000000000000001E-3</v>
      </c>
      <c r="AE22" s="7">
        <f>IF(ISBLANK(AC22),"-",AC22-AD22)</f>
        <v>-1.7000000000000001E-2</v>
      </c>
      <c r="AF22" s="189">
        <v>3.0000000000000001E-3</v>
      </c>
      <c r="AG22" s="189">
        <v>-3.1E-2</v>
      </c>
      <c r="AH22" s="7">
        <f>IF(ISBLANK(AF22),"-",AF22-AG22)</f>
        <v>3.4000000000000002E-2</v>
      </c>
      <c r="AI22" s="189">
        <v>-3.1E-2</v>
      </c>
      <c r="AJ22" s="189">
        <v>-3.6999999999999998E-2</v>
      </c>
      <c r="AK22" s="7">
        <f>IF(ISBLANK(AI22),"-",AI22-AJ22)</f>
        <v>5.9999999999999984E-3</v>
      </c>
      <c r="AL22" s="189">
        <v>-3.1E-2</v>
      </c>
      <c r="AM22" s="189">
        <v>-2E-3</v>
      </c>
      <c r="AN22" s="7">
        <f>IF(ISBLANK(AL22),"-",AL22-AM22)</f>
        <v>-2.8999999999999998E-2</v>
      </c>
      <c r="AO22" s="189">
        <v>-3.1E-2</v>
      </c>
      <c r="AP22" s="189">
        <v>-2E-3</v>
      </c>
      <c r="AQ22" s="7">
        <f>IF(ISBLANK(AO22),"-",AO22-AP22)</f>
        <v>-2.8999999999999998E-2</v>
      </c>
      <c r="AR22" s="189">
        <v>1.4E-2</v>
      </c>
      <c r="AS22" s="189">
        <v>2.1000000000000001E-2</v>
      </c>
      <c r="AT22" s="7">
        <f>IF(ISBLANK(AR22),"-",AR22-AS22)</f>
        <v>-7.000000000000001E-3</v>
      </c>
    </row>
    <row r="23" spans="1:46" x14ac:dyDescent="0.25">
      <c r="A23" s="192"/>
      <c r="B23" s="191"/>
      <c r="C23" s="191"/>
      <c r="D23" s="193"/>
      <c r="E23" s="191"/>
      <c r="F23" s="191"/>
      <c r="G23" s="193"/>
      <c r="H23" s="191"/>
      <c r="I23" s="191"/>
      <c r="J23" s="193"/>
      <c r="K23" s="191"/>
      <c r="L23" s="191"/>
      <c r="M23" s="193"/>
      <c r="N23" s="191"/>
      <c r="O23" s="191"/>
      <c r="P23" s="193"/>
      <c r="Q23" s="191"/>
      <c r="R23" s="191"/>
      <c r="S23" s="193"/>
      <c r="T23" s="191"/>
      <c r="U23" s="191"/>
      <c r="V23" s="193"/>
      <c r="W23" s="191"/>
      <c r="X23" s="191"/>
      <c r="Y23" s="193"/>
      <c r="Z23" s="191"/>
      <c r="AA23" s="191"/>
      <c r="AB23" s="193"/>
      <c r="AC23" s="191"/>
      <c r="AD23" s="191"/>
      <c r="AE23" s="193"/>
      <c r="AF23" s="191"/>
      <c r="AG23" s="191"/>
      <c r="AH23" s="193"/>
      <c r="AI23" s="191"/>
      <c r="AJ23" s="191"/>
      <c r="AK23" s="193"/>
      <c r="AL23" s="191"/>
      <c r="AM23" s="191"/>
      <c r="AN23" s="193"/>
      <c r="AO23" s="191"/>
      <c r="AP23" s="191"/>
      <c r="AQ23" s="193"/>
      <c r="AR23" s="191"/>
      <c r="AS23" s="191"/>
      <c r="AT23" s="193"/>
    </row>
    <row r="24" spans="1:46" x14ac:dyDescent="0.25">
      <c r="A24" s="2" t="s">
        <v>50</v>
      </c>
      <c r="B24" s="320" t="str">
        <f>IF(AND(D25="-",D26="-",D27="-",D28="-",D29="-",D30="-",D31="-",D32="-",D33="-",D34="-",D35="-"),
    "",
    IF(SUM(IF(D25="-",0,IF(D25&lt;0,-2,IF(D25&gt;0,2,0))),
             IF(D26="-",0,IF(D26&lt;0,-2,IF(D26&gt;0,2,0))),
             IF(D27="-",0,IF(D27&lt;0,-2,IF(D27&gt;0,2,0))),
             IF(D28="-",0,IF(D28&lt;0,-2,IF(D28&gt;0,2,0))),
             IF(D29="-",0,IF(D29&lt;0,-2,IF(D29&gt;0,2,0))),
             IF(D30="-",0,IF(D30&lt;0,-2,IF(D30&gt;0,2,0))),
             IF(D31="-",0,IF(D31&lt;0,-2,IF(D31&gt;0,2,0))),
             IF(D32="-",0,IF(D32&lt;0,-1,IF(D32&gt;0,1,0))),
             IF(D33="-",0,IF(D33&lt;0,-1,IF(D33&gt;0,1,0))),
             IF(D34="-",0,IF(D34&lt;0,-1,IF(D34&gt;0,1,0))),
             IF(D35="-",0,IF(D35&lt;0,-1,IF(D35&gt;0,1,0)))) / 18 &gt; 0.1,
        "BULLISH",
        IF(SUM(IF(D25="-",0,IF(D25&lt;0,-2,IF(D25&gt;0,2,0))),
                 IF(D26="-",0,IF(D26&lt;0,-2,IF(D26&gt;0,2,0))),
                 IF(D27="-",0,IF(D27&lt;0,-2,IF(D27&gt;0,2,0))),
                 IF(D28="-",0,IF(D28&lt;0,-2,IF(D28&gt;0,2,0))),
                 IF(D29="-",0,IF(D29&lt;0,-2,IF(D29&gt;0,2,0))),
                 IF(D30="-",0,IF(D30&lt;0,-2,IF(D30&gt;0,2,0))),
                 IF(D31="-",0,IF(D31&lt;0,-2,IF(D31&gt;0,2,0))),
                 IF(D32="-",0,IF(D32&lt;0,-1,IF(D32&gt;0,1,0))),
                 IF(D33="-",0,IF(D33&lt;0,-1,IF(D33&gt;0,1,0))),
                 IF(D34="-",0,IF(D34&lt;0,-1,IF(D34&gt;0,1,0))),
                 IF(D35="-",0,IF(D35&lt;0,-1,IF(D35&gt;0,1,0)))) / 18 &lt; -0.1,
            "BEARISH",
            "NEUTRO"
        )
    )
)</f>
        <v/>
      </c>
      <c r="C24" s="321"/>
      <c r="D24" s="319"/>
      <c r="E24" s="320" t="str">
        <f>IF(AND(G25="-",G26="-",G27="-",G28="-",G29="-",G30="-",G31="-",G32="-",G33="-",G34="-",G35="-"),
    "",
    IF(SUM(IF(G25="-",0,IF(G25&lt;0,-2,IF(G25&gt;0,2,0))),
             IF(G26="-",0,IF(G26&lt;0,-2,IF(G26&gt;0,2,0))),
             IF(G27="-",0,IF(G27&lt;0,-2,IF(G27&gt;0,2,0))),
             IF(G28="-",0,IF(G28&lt;0,-2,IF(G28&gt;0,2,0))),
             IF(G29="-",0,IF(G29&lt;0,-2,IF(G29&gt;0,2,0))),
             IF(G30="-",0,IF(G30&lt;0,-2,IF(G30&gt;0,2,0))),
             IF(G31="-",0,IF(G31&lt;0,-2,IF(G31&gt;0,2,0))),
             IF(G32="-",0,IF(G32&lt;0,-1,IF(G32&gt;0,1,0))),
             IF(G33="-",0,IF(G33&lt;0,-1,IF(G33&gt;0,1,0))),
             IF(G34="-",0,IF(G34&lt;0,-1,IF(G34&gt;0,1,0))),
             IF(G35="-",0,IF(G35&lt;0,-1,IF(G35&gt;0,1,0)))) / 18 &gt; 0.1,
        "BULLISH",
        IF(SUM(IF(G25="-",0,IF(G25&lt;0,-2,IF(G25&gt;0,2,0))),
                 IF(G26="-",0,IF(G26&lt;0,-2,IF(G26&gt;0,2,0))),
                 IF(G27="-",0,IF(G27&lt;0,-2,IF(G27&gt;0,2,0))),
                 IF(G28="-",0,IF(G28&lt;0,-2,IF(G28&gt;0,2,0))),
                 IF(G29="-",0,IF(G29&lt;0,-2,IF(G29&gt;0,2,0))),
                 IF(G30="-",0,IF(G30&lt;0,-2,IF(G30&gt;0,2,0))),
                 IF(G31="-",0,IF(G31&lt;0,-2,IF(G31&gt;0,2,0))),
                 IF(G32="-",0,IF(G32&lt;0,-1,IF(G32&gt;0,1,0))),
                 IF(G33="-",0,IF(G33&lt;0,-1,IF(G33&gt;0,1,0))),
                 IF(G34="-",0,IF(G34&lt;0,-1,IF(G34&gt;0,1,0))),
                 IF(G35="-",0,IF(G35&lt;0,-1,IF(G35&gt;0,1,0)))) / 18 &lt; -0.1,
            "BEARISH",
            "NEUTRO"
        )
    )
)</f>
        <v/>
      </c>
      <c r="F24" s="321"/>
      <c r="G24" s="319"/>
      <c r="H24" s="320" t="str">
        <f>IF(AND(J25="-",J26="-",J27="-",J28="-",J29="-",J30="-",J31="-",J32="-",J33="-",J34="-",J35="-"),
    "",
    IF(SUM(IF(J25="-",0,IF(J25&lt;0,-2,IF(J25&gt;0,2,0))),
             IF(J26="-",0,IF(J26&lt;0,-2,IF(J26&gt;0,2,0))),
             IF(J27="-",0,IF(J27&lt;0,-2,IF(J27&gt;0,2,0))),
             IF(J28="-",0,IF(J28&lt;0,-2,IF(J28&gt;0,2,0))),
             IF(J29="-",0,IF(J29&lt;0,-2,IF(J29&gt;0,2,0))),
             IF(J30="-",0,IF(J30&lt;0,-2,IF(J30&gt;0,2,0))),
             IF(J31="-",0,IF(J31&lt;0,-2,IF(J31&gt;0,2,0))),
             IF(J32="-",0,IF(J32&lt;0,-1,IF(J32&gt;0,1,0))),
             IF(J33="-",0,IF(J33&lt;0,-1,IF(J33&gt;0,1,0))),
             IF(J34="-",0,IF(J34&lt;0,-1,IF(J34&gt;0,1,0))),
             IF(J35="-",0,IF(J35&lt;0,-1,IF(J35&gt;0,1,0)))) / 18 &gt; 0.1,
        "BULLISH",
        IF(SUM(IF(J25="-",0,IF(J25&lt;0,-2,IF(J25&gt;0,2,0))),
                 IF(J26="-",0,IF(J26&lt;0,-2,IF(J26&gt;0,2,0))),
                 IF(J27="-",0,IF(J27&lt;0,-2,IF(J27&gt;0,2,0))),
                 IF(J28="-",0,IF(J28&lt;0,-2,IF(J28&gt;0,2,0))),
                 IF(J29="-",0,IF(J29&lt;0,-2,IF(J29&gt;0,2,0))),
                 IF(J30="-",0,IF(J30&lt;0,-2,IF(J30&gt;0,2,0))),
                 IF(J31="-",0,IF(J31&lt;0,-2,IF(J31&gt;0,2,0))),
                 IF(J32="-",0,IF(J32&lt;0,-1,IF(J32&gt;0,1,0))),
                 IF(J33="-",0,IF(J33&lt;0,-1,IF(J33&gt;0,1,0))),
                 IF(J34="-",0,IF(J34&lt;0,-1,IF(J34&gt;0,1,0))),
                 IF(J35="-",0,IF(J35&lt;0,-1,IF(J35&gt;0,1,0)))) / 18 &lt; -0.1,
            "BEARISH",
            "NEUTRO"
        )
    )
)</f>
        <v>BULLISH</v>
      </c>
      <c r="I24" s="321"/>
      <c r="J24" s="319"/>
      <c r="K24" s="320" t="str">
        <f>IF(AND(M25="-",M26="-",M27="-",M28="-",M29="-",M30="-",M31="-",M32="-",M33="-",M34="-",M35="-"),
    "",
    IF(SUM(IF(M25="-",0,IF(M25&lt;0,-2,IF(M25&gt;0,2,0))),
             IF(M26="-",0,IF(M26&lt;0,-2,IF(M26&gt;0,2,0))),
             IF(M27="-",0,IF(M27&lt;0,-2,IF(M27&gt;0,2,0))),
             IF(M28="-",0,IF(M28&lt;0,-2,IF(M28&gt;0,2,0))),
             IF(M29="-",0,IF(M29&lt;0,-2,IF(M29&gt;0,2,0))),
             IF(M30="-",0,IF(M30&lt;0,-2,IF(M30&gt;0,2,0))),
             IF(M31="-",0,IF(M31&lt;0,-2,IF(M31&gt;0,2,0))),
             IF(M32="-",0,IF(M32&lt;0,-1,IF(M32&gt;0,1,0))),
             IF(M33="-",0,IF(M33&lt;0,-1,IF(M33&gt;0,1,0))),
             IF(M34="-",0,IF(M34&lt;0,-1,IF(M34&gt;0,1,0))),
             IF(M35="-",0,IF(M35&lt;0,-1,IF(M35&gt;0,1,0)))) / 18 &gt; 0.1,
        "BULLISH",
        IF(SUM(IF(M25="-",0,IF(M25&lt;0,-2,IF(M25&gt;0,2,0))),
                 IF(M26="-",0,IF(M26&lt;0,-2,IF(M26&gt;0,2,0))),
                 IF(M27="-",0,IF(M27&lt;0,-2,IF(M27&gt;0,2,0))),
                 IF(M28="-",0,IF(M28&lt;0,-2,IF(M28&gt;0,2,0))),
                 IF(M29="-",0,IF(M29&lt;0,-2,IF(M29&gt;0,2,0))),
                 IF(M30="-",0,IF(M30&lt;0,-2,IF(M30&gt;0,2,0))),
                 IF(M31="-",0,IF(M31&lt;0,-2,IF(M31&gt;0,2,0))),
                 IF(M32="-",0,IF(M32&lt;0,-1,IF(M32&gt;0,1,0))),
                 IF(M33="-",0,IF(M33&lt;0,-1,IF(M33&gt;0,1,0))),
                 IF(M34="-",0,IF(M34&lt;0,-1,IF(M34&gt;0,1,0))),
                 IF(M35="-",0,IF(M35&lt;0,-1,IF(M35&gt;0,1,0)))) / 18 &lt; -0.1,
            "BEARISH",
            "NEUTRO"
        )
    )
)</f>
        <v>BEARISH</v>
      </c>
      <c r="L24" s="321"/>
      <c r="M24" s="319"/>
      <c r="N24" s="320" t="str">
        <f>IF(AND(P25="-",P26="-",P27="-",P28="-",P29="-",P30="-",P31="-",P32="-",P33="-",P34="-",P35="-"),
    "",
    IF(SUM(IF(P25="-",0,IF(P25&lt;0,-2,IF(P25&gt;0,2,0))),
             IF(P26="-",0,IF(P26&lt;0,-2,IF(P26&gt;0,2,0))),
             IF(P27="-",0,IF(P27&lt;0,-2,IF(P27&gt;0,2,0))),
             IF(P28="-",0,IF(P28&lt;0,-2,IF(P28&gt;0,2,0))),
             IF(P29="-",0,IF(P29&lt;0,-2,IF(P29&gt;0,2,0))),
             IF(P30="-",0,IF(P30&lt;0,-2,IF(P30&gt;0,2,0))),
             IF(P31="-",0,IF(P31&lt;0,-2,IF(P31&gt;0,2,0))),
             IF(P32="-",0,IF(P32&lt;0,-1,IF(P32&gt;0,1,0))),
             IF(P33="-",0,IF(P33&lt;0,-1,IF(P33&gt;0,1,0))),
             IF(P34="-",0,IF(P34&lt;0,-1,IF(P34&gt;0,1,0))),
             IF(P35="-",0,IF(P35&lt;0,-1,IF(P35&gt;0,1,0)))) / 18 &gt; 0.1,
        "BULLISH",
        IF(SUM(IF(P25="-",0,IF(P25&lt;0,-2,IF(P25&gt;0,2,0))),
                 IF(P26="-",0,IF(P26&lt;0,-2,IF(P26&gt;0,2,0))),
                 IF(P27="-",0,IF(P27&lt;0,-2,IF(P27&gt;0,2,0))),
                 IF(P28="-",0,IF(P28&lt;0,-2,IF(P28&gt;0,2,0))),
                 IF(P29="-",0,IF(P29&lt;0,-2,IF(P29&gt;0,2,0))),
                 IF(P30="-",0,IF(P30&lt;0,-2,IF(P30&gt;0,2,0))),
                 IF(P31="-",0,IF(P31&lt;0,-2,IF(P31&gt;0,2,0))),
                 IF(P32="-",0,IF(P32&lt;0,-1,IF(P32&gt;0,1,0))),
                 IF(P33="-",0,IF(P33&lt;0,-1,IF(P33&gt;0,1,0))),
                 IF(P34="-",0,IF(P34&lt;0,-1,IF(P34&gt;0,1,0))),
                 IF(P35="-",0,IF(P35&lt;0,-1,IF(P35&gt;0,1,0)))) / 18 &lt; -0.1,
            "BEARISH",
            "NEUTRO"
        )
    )
)</f>
        <v>BEARISH</v>
      </c>
      <c r="O24" s="321"/>
      <c r="P24" s="319"/>
      <c r="Q24" s="320" t="str">
        <f>IF(AND(S25="-",S26="-",S27="-",S28="-",S29="-",S30="-",S31="-",S32="-",S33="-",S34="-",S35="-"),
    "",
    IF(SUM(IF(S25="-",0,IF(S25&lt;0,-2,IF(S25&gt;0,2,0))),
             IF(S26="-",0,IF(S26&lt;0,-2,IF(S26&gt;0,2,0))),
             IF(S27="-",0,IF(S27&lt;0,-2,IF(S27&gt;0,2,0))),
             IF(S28="-",0,IF(S28&lt;0,-2,IF(S28&gt;0,2,0))),
             IF(S29="-",0,IF(S29&lt;0,-2,IF(S29&gt;0,2,0))),
             IF(S30="-",0,IF(S30&lt;0,-2,IF(S30&gt;0,2,0))),
             IF(S31="-",0,IF(S31&lt;0,-2,IF(S31&gt;0,2,0))),
             IF(S32="-",0,IF(S32&lt;0,-1,IF(S32&gt;0,1,0))),
             IF(S33="-",0,IF(S33&lt;0,-1,IF(S33&gt;0,1,0))),
             IF(S34="-",0,IF(S34&lt;0,-1,IF(S34&gt;0,1,0))),
             IF(S35="-",0,IF(S35&lt;0,-1,IF(S35&gt;0,1,0)))) / 18 &gt; 0.1,
        "BULLISH",
        IF(SUM(IF(S25="-",0,IF(S25&lt;0,-2,IF(S25&gt;0,2,0))),
                 IF(S26="-",0,IF(S26&lt;0,-2,IF(S26&gt;0,2,0))),
                 IF(S27="-",0,IF(S27&lt;0,-2,IF(S27&gt;0,2,0))),
                 IF(S28="-",0,IF(S28&lt;0,-2,IF(S28&gt;0,2,0))),
                 IF(S29="-",0,IF(S29&lt;0,-2,IF(S29&gt;0,2,0))),
                 IF(S30="-",0,IF(S30&lt;0,-2,IF(S30&gt;0,2,0))),
                 IF(S31="-",0,IF(S31&lt;0,-2,IF(S31&gt;0,2,0))),
                 IF(S32="-",0,IF(S32&lt;0,-1,IF(S32&gt;0,1,0))),
                 IF(S33="-",0,IF(S33&lt;0,-1,IF(S33&gt;0,1,0))),
                 IF(S34="-",0,IF(S34&lt;0,-1,IF(S34&gt;0,1,0))),
                 IF(S35="-",0,IF(S35&lt;0,-1,IF(S35&gt;0,1,0)))) / 18 &lt; -0.1,
            "BEARISH",
            "NEUTRO"
        )
    )
)</f>
        <v>BULLISH</v>
      </c>
      <c r="R24" s="321"/>
      <c r="S24" s="319"/>
      <c r="T24" s="320" t="str">
        <f>IF(AND(V25="-",V26="-",V27="-",V28="-",V29="-",V30="-",V31="-",V32="-",V33="-",V34="-",V35="-"),
    "",
    IF(SUM(IF(V25="-",0,IF(V25&lt;0,-2,IF(V25&gt;0,2,0))),
             IF(V26="-",0,IF(V26&lt;0,-2,IF(V26&gt;0,2,0))),
             IF(V27="-",0,IF(V27&lt;0,-2,IF(V27&gt;0,2,0))),
             IF(V28="-",0,IF(V28&lt;0,-2,IF(V28&gt;0,2,0))),
             IF(V29="-",0,IF(V29&lt;0,-2,IF(V29&gt;0,2,0))),
             IF(V30="-",0,IF(V30&lt;0,-2,IF(V30&gt;0,2,0))),
             IF(V31="-",0,IF(V31&lt;0,-2,IF(V31&gt;0,2,0))),
             IF(V32="-",0,IF(V32&lt;0,-1,IF(V32&gt;0,1,0))),
             IF(V33="-",0,IF(V33&lt;0,-1,IF(V33&gt;0,1,0))),
             IF(V34="-",0,IF(V34&lt;0,-1,IF(V34&gt;0,1,0))),
             IF(V35="-",0,IF(V35&lt;0,-1,IF(V35&gt;0,1,0)))) / 18 &gt; 0.1,
        "BULLISH",
        IF(SUM(IF(V25="-",0,IF(V25&lt;0,-2,IF(V25&gt;0,2,0))),
                 IF(V26="-",0,IF(V26&lt;0,-2,IF(V26&gt;0,2,0))),
                 IF(V27="-",0,IF(V27&lt;0,-2,IF(V27&gt;0,2,0))),
                 IF(V28="-",0,IF(V28&lt;0,-2,IF(V28&gt;0,2,0))),
                 IF(V29="-",0,IF(V29&lt;0,-2,IF(V29&gt;0,2,0))),
                 IF(V30="-",0,IF(V30&lt;0,-2,IF(V30&gt;0,2,0))),
                 IF(V31="-",0,IF(V31&lt;0,-2,IF(V31&gt;0,2,0))),
                 IF(V32="-",0,IF(V32&lt;0,-1,IF(V32&gt;0,1,0))),
                 IF(V33="-",0,IF(V33&lt;0,-1,IF(V33&gt;0,1,0))),
                 IF(V34="-",0,IF(V34&lt;0,-1,IF(V34&gt;0,1,0))),
                 IF(V35="-",0,IF(V35&lt;0,-1,IF(V35&gt;0,1,0)))) / 18 &lt; -0.1,
            "BEARISH",
            "NEUTRO"
        )
    )
)</f>
        <v>BEARISH</v>
      </c>
      <c r="U24" s="321"/>
      <c r="V24" s="319"/>
      <c r="W24" s="320" t="str">
        <f>IF(AND(Y25="-",Y26="-",Y27="-",Y28="-",Y29="-",Y30="-",Y31="-",Y32="-",Y33="-",Y34="-",Y35="-"),
    "",
    IF(SUM(IF(Y25="-",0,IF(Y25&lt;0,-2,IF(Y25&gt;0,2,0))),
             IF(Y26="-",0,IF(Y26&lt;0,-2,IF(Y26&gt;0,2,0))),
             IF(Y27="-",0,IF(Y27&lt;0,-2,IF(Y27&gt;0,2,0))),
             IF(Y28="-",0,IF(Y28&lt;0,-2,IF(Y28&gt;0,2,0))),
             IF(Y29="-",0,IF(Y29&lt;0,-2,IF(Y29&gt;0,2,0))),
             IF(Y30="-",0,IF(Y30&lt;0,-2,IF(Y30&gt;0,2,0))),
             IF(Y31="-",0,IF(Y31&lt;0,-2,IF(Y31&gt;0,2,0))),
             IF(Y32="-",0,IF(Y32&lt;0,-1,IF(Y32&gt;0,1,0))),
             IF(Y33="-",0,IF(Y33&lt;0,-1,IF(Y33&gt;0,1,0))),
             IF(Y34="-",0,IF(Y34&lt;0,-1,IF(Y34&gt;0,1,0))),
             IF(Y35="-",0,IF(Y35&lt;0,-1,IF(Y35&gt;0,1,0)))) / 18 &gt; 0.1,
        "BULLISH",
        IF(SUM(IF(Y25="-",0,IF(Y25&lt;0,-2,IF(Y25&gt;0,2,0))),
                 IF(Y26="-",0,IF(Y26&lt;0,-2,IF(Y26&gt;0,2,0))),
                 IF(Y27="-",0,IF(Y27&lt;0,-2,IF(Y27&gt;0,2,0))),
                 IF(Y28="-",0,IF(Y28&lt;0,-2,IF(Y28&gt;0,2,0))),
                 IF(Y29="-",0,IF(Y29&lt;0,-2,IF(Y29&gt;0,2,0))),
                 IF(Y30="-",0,IF(Y30&lt;0,-2,IF(Y30&gt;0,2,0))),
                 IF(Y31="-",0,IF(Y31&lt;0,-2,IF(Y31&gt;0,2,0))),
                 IF(Y32="-",0,IF(Y32&lt;0,-1,IF(Y32&gt;0,1,0))),
                 IF(Y33="-",0,IF(Y33&lt;0,-1,IF(Y33&gt;0,1,0))),
                 IF(Y34="-",0,IF(Y34&lt;0,-1,IF(Y34&gt;0,1,0))),
                 IF(Y35="-",0,IF(Y35&lt;0,-1,IF(Y35&gt;0,1,0)))) / 18 &lt; -0.1,
            "BEARISH",
            "NEUTRO"
        )
    )
)</f>
        <v>NEUTRO</v>
      </c>
      <c r="X24" s="321"/>
      <c r="Y24" s="319"/>
      <c r="Z24" s="320" t="str">
        <f>IF(AND(AB25="-",AB26="-",AB27="-",AB28="-",AB29="-",AB30="-",AB31="-",AB32="-",AB33="-",AB34="-",AB35="-"),
    "",
    IF(SUM(IF(AB25="-",0,IF(AB25&lt;0,-2,IF(AB25&gt;0,2,0))),
             IF(AB26="-",0,IF(AB26&lt;0,-2,IF(AB26&gt;0,2,0))),
             IF(AB27="-",0,IF(AB27&lt;0,-2,IF(AB27&gt;0,2,0))),
             IF(AB28="-",0,IF(AB28&lt;0,-2,IF(AB28&gt;0,2,0))),
             IF(AB29="-",0,IF(AB29&lt;0,-2,IF(AB29&gt;0,2,0))),
             IF(AB30="-",0,IF(AB30&lt;0,-2,IF(AB30&gt;0,2,0))),
             IF(AB31="-",0,IF(AB31&lt;0,-2,IF(AB31&gt;0,2,0))),
             IF(AB32="-",0,IF(AB32&lt;0,-1,IF(AB32&gt;0,1,0))),
             IF(AB33="-",0,IF(AB33&lt;0,-1,IF(AB33&gt;0,1,0))),
             IF(AB34="-",0,IF(AB34&lt;0,-1,IF(AB34&gt;0,1,0))),
             IF(AB35="-",0,IF(AB35&lt;0,-1,IF(AB35&gt;0,1,0)))) / 18 &gt; 0.1,
        "BULLISH",
        IF(SUM(IF(AB25="-",0,IF(AB25&lt;0,-2,IF(AB25&gt;0,2,0))),
                 IF(AB26="-",0,IF(AB26&lt;0,-2,IF(AB26&gt;0,2,0))),
                 IF(AB27="-",0,IF(AB27&lt;0,-2,IF(AB27&gt;0,2,0))),
                 IF(AB28="-",0,IF(AB28&lt;0,-2,IF(AB28&gt;0,2,0))),
                 IF(AB29="-",0,IF(AB29&lt;0,-2,IF(AB29&gt;0,2,0))),
                 IF(AB30="-",0,IF(AB30&lt;0,-2,IF(AB30&gt;0,2,0))),
                 IF(AB31="-",0,IF(AB31&lt;0,-2,IF(AB31&gt;0,2,0))),
                 IF(AB32="-",0,IF(AB32&lt;0,-1,IF(AB32&gt;0,1,0))),
                 IF(AB33="-",0,IF(AB33&lt;0,-1,IF(AB33&gt;0,1,0))),
                 IF(AB34="-",0,IF(AB34&lt;0,-1,IF(AB34&gt;0,1,0))),
                 IF(AB35="-",0,IF(AB35&lt;0,-1,IF(AB35&gt;0,1,0)))) / 18 &lt; -0.1,
            "BEARISH",
            "NEUTRO"
        )
    )
)</f>
        <v>BULLISH</v>
      </c>
      <c r="AA24" s="321"/>
      <c r="AB24" s="319"/>
      <c r="AC24" s="320" t="str">
        <f>IF(AND(AE25="-",AE26="-",AE27="-",AE28="-",AE29="-",AE30="-",AE31="-",AE32="-",AE33="-",AE34="-",AE35="-"),
    "",
    IF(SUM(IF(AE25="-",0,IF(AE25&lt;0,-2,IF(AE25&gt;0,2,0))),
             IF(AE26="-",0,IF(AE26&lt;0,-2,IF(AE26&gt;0,2,0))),
             IF(AE27="-",0,IF(AE27&lt;0,-2,IF(AE27&gt;0,2,0))),
             IF(AE28="-",0,IF(AE28&lt;0,-2,IF(AE28&gt;0,2,0))),
             IF(AE29="-",0,IF(AE29&lt;0,-2,IF(AE29&gt;0,2,0))),
             IF(AE30="-",0,IF(AE30&lt;0,-2,IF(AE30&gt;0,2,0))),
             IF(AE31="-",0,IF(AE31&lt;0,-2,IF(AE31&gt;0,2,0))),
             IF(AE32="-",0,IF(AE32&lt;0,-1,IF(AE32&gt;0,1,0))),
             IF(AE33="-",0,IF(AE33&lt;0,-1,IF(AE33&gt;0,1,0))),
             IF(AE34="-",0,IF(AE34&lt;0,-1,IF(AE34&gt;0,1,0))),
             IF(AE35="-",0,IF(AE35&lt;0,-1,IF(AE35&gt;0,1,0)))) / 18 &gt; 0.1,
        "BULLISH",
        IF(SUM(IF(AE25="-",0,IF(AE25&lt;0,-2,IF(AE25&gt;0,2,0))),
                 IF(AE26="-",0,IF(AE26&lt;0,-2,IF(AE26&gt;0,2,0))),
                 IF(AE27="-",0,IF(AE27&lt;0,-2,IF(AE27&gt;0,2,0))),
                 IF(AE28="-",0,IF(AE28&lt;0,-2,IF(AE28&gt;0,2,0))),
                 IF(AE29="-",0,IF(AE29&lt;0,-2,IF(AE29&gt;0,2,0))),
                 IF(AE30="-",0,IF(AE30&lt;0,-2,IF(AE30&gt;0,2,0))),
                 IF(AE31="-",0,IF(AE31&lt;0,-2,IF(AE31&gt;0,2,0))),
                 IF(AE32="-",0,IF(AE32&lt;0,-1,IF(AE32&gt;0,1,0))),
                 IF(AE33="-",0,IF(AE33&lt;0,-1,IF(AE33&gt;0,1,0))),
                 IF(AE34="-",0,IF(AE34&lt;0,-1,IF(AE34&gt;0,1,0))),
                 IF(AE35="-",0,IF(AE35&lt;0,-1,IF(AE35&gt;0,1,0)))) / 18 &lt; -0.1,
            "BEARISH",
            "NEUTRO"
        )
    )
)</f>
        <v>BULLISH</v>
      </c>
      <c r="AD24" s="321"/>
      <c r="AE24" s="319"/>
      <c r="AF24" s="320" t="str">
        <f>IF(AND(AH25="-",AH26="-",AH27="-",AH28="-",AH29="-",AH30="-",AH31="-",AH32="-",AH33="-",AH34="-",AH35="-"),
    "",
    IF(SUM(IF(AH25="-",0,IF(AH25&lt;0,-2,IF(AH25&gt;0,2,0))),
             IF(AH26="-",0,IF(AH26&lt;0,-2,IF(AH26&gt;0,2,0))),
             IF(AH27="-",0,IF(AH27&lt;0,-2,IF(AH27&gt;0,2,0))),
             IF(AH28="-",0,IF(AH28&lt;0,-2,IF(AH28&gt;0,2,0))),
             IF(AH29="-",0,IF(AH29&lt;0,-2,IF(AH29&gt;0,2,0))),
             IF(AH30="-",0,IF(AH30&lt;0,-2,IF(AH30&gt;0,2,0))),
             IF(AH31="-",0,IF(AH31&lt;0,-2,IF(AH31&gt;0,2,0))),
             IF(AH32="-",0,IF(AH32&lt;0,-1,IF(AH32&gt;0,1,0))),
             IF(AH33="-",0,IF(AH33&lt;0,-1,IF(AH33&gt;0,1,0))),
             IF(AH34="-",0,IF(AH34&lt;0,-1,IF(AH34&gt;0,1,0))),
             IF(AH35="-",0,IF(AH35&lt;0,-1,IF(AH35&gt;0,1,0)))) / 18 &gt; 0.1,
        "BULLISH",
        IF(SUM(IF(AH25="-",0,IF(AH25&lt;0,-2,IF(AH25&gt;0,2,0))),
                 IF(AH26="-",0,IF(AH26&lt;0,-2,IF(AH26&gt;0,2,0))),
                 IF(AH27="-",0,IF(AH27&lt;0,-2,IF(AH27&gt;0,2,0))),
                 IF(AH28="-",0,IF(AH28&lt;0,-2,IF(AH28&gt;0,2,0))),
                 IF(AH29="-",0,IF(AH29&lt;0,-2,IF(AH29&gt;0,2,0))),
                 IF(AH30="-",0,IF(AH30&lt;0,-2,IF(AH30&gt;0,2,0))),
                 IF(AH31="-",0,IF(AH31&lt;0,-2,IF(AH31&gt;0,2,0))),
                 IF(AH32="-",0,IF(AH32&lt;0,-1,IF(AH32&gt;0,1,0))),
                 IF(AH33="-",0,IF(AH33&lt;0,-1,IF(AH33&gt;0,1,0))),
                 IF(AH34="-",0,IF(AH34&lt;0,-1,IF(AH34&gt;0,1,0))),
                 IF(AH35="-",0,IF(AH35&lt;0,-1,IF(AH35&gt;0,1,0)))) / 18 &lt; -0.1,
            "BEARISH",
            "NEUTRO"
        )
    )
)</f>
        <v>BULLISH</v>
      </c>
      <c r="AG24" s="321"/>
      <c r="AH24" s="319"/>
      <c r="AI24" s="320" t="str">
        <f>IF(AND(AK25="-",AK26="-",AK27="-",AK28="-",AK29="-",AK30="-",AK31="-",AK32="-",AK33="-",AK34="-",AK35="-"),
    "",
    IF(SUM(IF(AK25="-",0,IF(AK25&lt;0,-2,IF(AK25&gt;0,2,0))),
             IF(AK26="-",0,IF(AK26&lt;0,-2,IF(AK26&gt;0,2,0))),
             IF(AK27="-",0,IF(AK27&lt;0,-2,IF(AK27&gt;0,2,0))),
             IF(AK28="-",0,IF(AK28&lt;0,-2,IF(AK28&gt;0,2,0))),
             IF(AK29="-",0,IF(AK29&lt;0,-2,IF(AK29&gt;0,2,0))),
             IF(AK30="-",0,IF(AK30&lt;0,-2,IF(AK30&gt;0,2,0))),
             IF(AK31="-",0,IF(AK31&lt;0,-2,IF(AK31&gt;0,2,0))),
             IF(AK32="-",0,IF(AK32&lt;0,-1,IF(AK32&gt;0,1,0))),
             IF(AK33="-",0,IF(AK33&lt;0,-1,IF(AK33&gt;0,1,0))),
             IF(AK34="-",0,IF(AK34&lt;0,-1,IF(AK34&gt;0,1,0))),
             IF(AK35="-",0,IF(AK35&lt;0,-1,IF(AK35&gt;0,1,0)))) / 18 &gt; 0.1,
        "BULLISH",
        IF(SUM(IF(AK25="-",0,IF(AK25&lt;0,-2,IF(AK25&gt;0,2,0))),
                 IF(AK26="-",0,IF(AK26&lt;0,-2,IF(AK26&gt;0,2,0))),
                 IF(AK27="-",0,IF(AK27&lt;0,-2,IF(AK27&gt;0,2,0))),
                 IF(AK28="-",0,IF(AK28&lt;0,-2,IF(AK28&gt;0,2,0))),
                 IF(AK29="-",0,IF(AK29&lt;0,-2,IF(AK29&gt;0,2,0))),
                 IF(AK30="-",0,IF(AK30&lt;0,-2,IF(AK30&gt;0,2,0))),
                 IF(AK31="-",0,IF(AK31&lt;0,-2,IF(AK31&gt;0,2,0))),
                 IF(AK32="-",0,IF(AK32&lt;0,-1,IF(AK32&gt;0,1,0))),
                 IF(AK33="-",0,IF(AK33&lt;0,-1,IF(AK33&gt;0,1,0))),
                 IF(AK34="-",0,IF(AK34&lt;0,-1,IF(AK34&gt;0,1,0))),
                 IF(AK35="-",0,IF(AK35&lt;0,-1,IF(AK35&gt;0,1,0)))) / 18 &lt; -0.1,
            "BEARISH",
            "NEUTRO"
        )
    )
)</f>
        <v>BULLISH</v>
      </c>
      <c r="AJ24" s="321"/>
      <c r="AK24" s="319"/>
      <c r="AL24" s="320" t="str">
        <f>IF(AND(AN25="-",AN26="-",AN27="-",AN28="-",AN29="-",AN30="-",AN31="-",AN32="-",AN33="-",AN34="-",AN35="-"),
    "",
    IF(SUM(IF(AN25="-",0,IF(AN25&lt;0,-2,IF(AN25&gt;0,2,0))),
             IF(AN26="-",0,IF(AN26&lt;0,-2,IF(AN26&gt;0,2,0))),
             IF(AN27="-",0,IF(AN27&lt;0,-2,IF(AN27&gt;0,2,0))),
             IF(AN28="-",0,IF(AN28&lt;0,-2,IF(AN28&gt;0,2,0))),
             IF(AN29="-",0,IF(AN29&lt;0,-2,IF(AN29&gt;0,2,0))),
             IF(AN30="-",0,IF(AN30&lt;0,-2,IF(AN30&gt;0,2,0))),
             IF(AN31="-",0,IF(AN31&lt;0,-2,IF(AN31&gt;0,2,0))),
             IF(AN32="-",0,IF(AN32&lt;0,-1,IF(AN32&gt;0,1,0))),
             IF(AN33="-",0,IF(AN33&lt;0,-1,IF(AN33&gt;0,1,0))),
             IF(AN34="-",0,IF(AN34&lt;0,-1,IF(AN34&gt;0,1,0))),
             IF(AN35="-",0,IF(AN35&lt;0,-1,IF(AN35&gt;0,1,0)))) / 18 &gt; 0.1,
        "BULLISH",
        IF(SUM(IF(AN25="-",0,IF(AN25&lt;0,-2,IF(AN25&gt;0,2,0))),
                 IF(AN26="-",0,IF(AN26&lt;0,-2,IF(AN26&gt;0,2,0))),
                 IF(AN27="-",0,IF(AN27&lt;0,-2,IF(AN27&gt;0,2,0))),
                 IF(AN28="-",0,IF(AN28&lt;0,-2,IF(AN28&gt;0,2,0))),
                 IF(AN29="-",0,IF(AN29&lt;0,-2,IF(AN29&gt;0,2,0))),
                 IF(AN30="-",0,IF(AN30&lt;0,-2,IF(AN30&gt;0,2,0))),
                 IF(AN31="-",0,IF(AN31&lt;0,-2,IF(AN31&gt;0,2,0))),
                 IF(AN32="-",0,IF(AN32&lt;0,-1,IF(AN32&gt;0,1,0))),
                 IF(AN33="-",0,IF(AN33&lt;0,-1,IF(AN33&gt;0,1,0))),
                 IF(AN34="-",0,IF(AN34&lt;0,-1,IF(AN34&gt;0,1,0))),
                 IF(AN35="-",0,IF(AN35&lt;0,-1,IF(AN35&gt;0,1,0)))) / 18 &lt; -0.1,
            "BEARISH",
            "NEUTRO"
        )
    )
)</f>
        <v>NEUTRO</v>
      </c>
      <c r="AM24" s="321"/>
      <c r="AN24" s="319"/>
      <c r="AO24" s="320" t="str">
        <f>IF(AND(AQ25="-",AQ26="-",AQ27="-",AQ28="-",AQ29="-",AQ30="-",AQ31="-",AQ32="-",AQ33="-",AQ34="-",AQ35="-"),
    "",
    IF(SUM(IF(AQ25="-",0,IF(AQ25&lt;0,-2,IF(AQ25&gt;0,2,0))),
             IF(AQ26="-",0,IF(AQ26&lt;0,-2,IF(AQ26&gt;0,2,0))),
             IF(AQ27="-",0,IF(AQ27&lt;0,-2,IF(AQ27&gt;0,2,0))),
             IF(AQ28="-",0,IF(AQ28&lt;0,-2,IF(AQ28&gt;0,2,0))),
             IF(AQ29="-",0,IF(AQ29&lt;0,-2,IF(AQ29&gt;0,2,0))),
             IF(AQ30="-",0,IF(AQ30&lt;0,-2,IF(AQ30&gt;0,2,0))),
             IF(AQ31="-",0,IF(AQ31&lt;0,-2,IF(AQ31&gt;0,2,0))),
             IF(AQ32="-",0,IF(AQ32&lt;0,-1,IF(AQ32&gt;0,1,0))),
             IF(AQ33="-",0,IF(AQ33&lt;0,-1,IF(AQ33&gt;0,1,0))),
             IF(AQ34="-",0,IF(AQ34&lt;0,-1,IF(AQ34&gt;0,1,0))),
             IF(AQ35="-",0,IF(AQ35&lt;0,-1,IF(AQ35&gt;0,1,0)))) / 18 &gt; 0.1,
        "BULLISH",
        IF(SUM(IF(AQ25="-",0,IF(AQ25&lt;0,-2,IF(AQ25&gt;0,2,0))),
                 IF(AQ26="-",0,IF(AQ26&lt;0,-2,IF(AQ26&gt;0,2,0))),
                 IF(AQ27="-",0,IF(AQ27&lt;0,-2,IF(AQ27&gt;0,2,0))),
                 IF(AQ28="-",0,IF(AQ28&lt;0,-2,IF(AQ28&gt;0,2,0))),
                 IF(AQ29="-",0,IF(AQ29&lt;0,-2,IF(AQ29&gt;0,2,0))),
                 IF(AQ30="-",0,IF(AQ30&lt;0,-2,IF(AQ30&gt;0,2,0))),
                 IF(AQ31="-",0,IF(AQ31&lt;0,-2,IF(AQ31&gt;0,2,0))),
                 IF(AQ32="-",0,IF(AQ32&lt;0,-1,IF(AQ32&gt;0,1,0))),
                 IF(AQ33="-",0,IF(AQ33&lt;0,-1,IF(AQ33&gt;0,1,0))),
                 IF(AQ34="-",0,IF(AQ34&lt;0,-1,IF(AQ34&gt;0,1,0))),
                 IF(AQ35="-",0,IF(AQ35&lt;0,-1,IF(AQ35&gt;0,1,0)))) / 18 &lt; -0.1,
            "BEARISH",
            "NEUTRO"
        )
    )
)</f>
        <v>NEUTRO</v>
      </c>
      <c r="AP24" s="321"/>
      <c r="AQ24" s="319"/>
      <c r="AR24" s="320" t="str">
        <f>IF(AND(AT25="-",AT26="-",AT27="-",AT28="-",AT29="-",AT30="-",AT31="-",AT32="-",AT33="-",AT34="-",AT35="-"),
    "",
    IF(SUM(IF(AT25="-",0,IF(AT25&lt;0,-2,IF(AT25&gt;0,2,0))),
             IF(AT26="-",0,IF(AT26&lt;0,-2,IF(AT26&gt;0,2,0))),
             IF(AT27="-",0,IF(AT27&lt;0,-2,IF(AT27&gt;0,2,0))),
             IF(AT28="-",0,IF(AT28&lt;0,-2,IF(AT28&gt;0,2,0))),
             IF(AT29="-",0,IF(AT29&lt;0,-2,IF(AT29&gt;0,2,0))),
             IF(AT30="-",0,IF(AT30&lt;0,-2,IF(AT30&gt;0,2,0))),
             IF(AT31="-",0,IF(AT31&lt;0,-2,IF(AT31&gt;0,2,0))),
             IF(AT32="-",0,IF(AT32&lt;0,-1,IF(AT32&gt;0,1,0))),
             IF(AT33="-",0,IF(AT33&lt;0,-1,IF(AT33&gt;0,1,0))),
             IF(AT34="-",0,IF(AT34&lt;0,-1,IF(AT34&gt;0,1,0))),
             IF(AT35="-",0,IF(AT35&lt;0,-1,IF(AT35&gt;0,1,0)))) / 18 &gt; 0.1,
        "BULLISH",
        IF(SUM(IF(AT25="-",0,IF(AT25&lt;0,-2,IF(AT25&gt;0,2,0))),
                 IF(AT26="-",0,IF(AT26&lt;0,-2,IF(AT26&gt;0,2,0))),
                 IF(AT27="-",0,IF(AT27&lt;0,-2,IF(AT27&gt;0,2,0))),
                 IF(AT28="-",0,IF(AT28&lt;0,-2,IF(AT28&gt;0,2,0))),
                 IF(AT29="-",0,IF(AT29&lt;0,-2,IF(AT29&gt;0,2,0))),
                 IF(AT30="-",0,IF(AT30&lt;0,-2,IF(AT30&gt;0,2,0))),
                 IF(AT31="-",0,IF(AT31&lt;0,-2,IF(AT31&gt;0,2,0))),
                 IF(AT32="-",0,IF(AT32&lt;0,-1,IF(AT32&gt;0,1,0))),
                 IF(AT33="-",0,IF(AT33&lt;0,-1,IF(AT33&gt;0,1,0))),
                 IF(AT34="-",0,IF(AT34&lt;0,-1,IF(AT34&gt;0,1,0))),
                 IF(AT35="-",0,IF(AT35&lt;0,-1,IF(AT35&gt;0,1,0)))) / 18 &lt; -0.1,
            "BEARISH",
            "NEUTRO"
        )
    )
)</f>
        <v>BEARISH</v>
      </c>
      <c r="AS24" s="321"/>
      <c r="AT24" s="319"/>
    </row>
    <row r="25" spans="1:46" x14ac:dyDescent="0.25">
      <c r="A25" s="198" t="s">
        <v>272</v>
      </c>
      <c r="B25" s="199"/>
      <c r="C25" s="199"/>
      <c r="D25" s="11" t="str">
        <f t="array" ref="D25">IFERROR(_xlfn.IFS(ISBLANK(B25),"-",FIND("%",B25,1),(B25-C25)/100),B25-C25)</f>
        <v>-</v>
      </c>
      <c r="E25" s="199"/>
      <c r="F25" s="199"/>
      <c r="G25" s="11" t="str">
        <f t="array" ref="G25">IFERROR(_xlfn.IFS(ISBLANK(E25),"-",FIND("%",E25,1),(E25-F25)/100),E25-F25)</f>
        <v>-</v>
      </c>
      <c r="H25" s="199">
        <v>56.1</v>
      </c>
      <c r="I25" s="199">
        <v>51.7</v>
      </c>
      <c r="J25" s="11">
        <f t="array" ref="J25">IFERROR(_xlfn.IFS(ISBLANK(H25),"-",FIND("%",H25,1),(H25-I25)/100),H25-I25)</f>
        <v>4.3999999999999986</v>
      </c>
      <c r="K25" s="199">
        <v>51.7</v>
      </c>
      <c r="L25" s="199"/>
      <c r="M25" s="11">
        <f t="array" ref="M25">IFERROR(_xlfn.IFS(ISBLANK(K25),"-",FIND("%",K25,1),(K25-L25)/100),K25-L25)</f>
        <v>51.7</v>
      </c>
      <c r="N25" s="199"/>
      <c r="O25" s="199"/>
      <c r="P25" s="11" t="str">
        <f t="array" ref="P25">IFERROR(_xlfn.IFS(ISBLANK(N25),"-",FIND("%",N25,1),(N25-O25)/100),N25-O25)</f>
        <v>-</v>
      </c>
      <c r="Q25" s="199">
        <v>52.8</v>
      </c>
      <c r="R25" s="199">
        <v>49.2</v>
      </c>
      <c r="S25" s="11">
        <f t="array" ref="S25">IFERROR(_xlfn.IFS(ISBLANK(Q25),"-",FIND("%",Q25,1),(Q25-R25)/100),Q25-R25)</f>
        <v>3.5999999999999943</v>
      </c>
      <c r="T25" s="199">
        <v>47.5</v>
      </c>
      <c r="U25" s="199">
        <v>53.3</v>
      </c>
      <c r="V25" s="11">
        <f t="array" ref="V25">IFERROR(_xlfn.IFS(ISBLANK(T25),"-",FIND("%",T25,1),(T25-U25)/100),T25-U25)</f>
        <v>-5.7999999999999972</v>
      </c>
      <c r="W25" s="199">
        <v>53.9</v>
      </c>
      <c r="X25" s="199">
        <v>54.1</v>
      </c>
      <c r="Y25" s="11">
        <f t="array" ref="Y25">IFERROR(_xlfn.IFS(ISBLANK(W25),"-",FIND("%",W25,1),(W25-X25)/100),W25-X25)</f>
        <v>-0.20000000000000284</v>
      </c>
      <c r="Z25" s="199">
        <v>53.9</v>
      </c>
      <c r="AA25" s="199">
        <v>51.7</v>
      </c>
      <c r="AB25" s="11">
        <f t="array" ref="AB25">IFERROR(_xlfn.IFS(ISBLANK(Z25),"-",FIND("%",Z25,1),(Z25-AA25)/100),Z25-AA25)</f>
        <v>2.1999999999999957</v>
      </c>
      <c r="AC25" s="199">
        <v>51.4</v>
      </c>
      <c r="AD25" s="199">
        <v>45.7</v>
      </c>
      <c r="AE25" s="11">
        <f t="array" ref="AE25">IFERROR(_xlfn.IFS(ISBLANK(AC25),"-",FIND("%",AC25,1),(AC25-AD25)/100),AC25-AD25)</f>
        <v>5.6999999999999957</v>
      </c>
      <c r="AF25" s="199">
        <v>45.8</v>
      </c>
      <c r="AG25" s="199">
        <v>46.9</v>
      </c>
      <c r="AH25" s="11">
        <f t="array" ref="AH25">IFERROR(_xlfn.IFS(ISBLANK(AF25),"-",FIND("%",AF25,1),(AF25-AG25)/100),AF25-AG25)</f>
        <v>-1.1000000000000014</v>
      </c>
      <c r="AI25" s="199">
        <v>46.9</v>
      </c>
      <c r="AJ25" s="199">
        <v>46.1</v>
      </c>
      <c r="AK25" s="11">
        <f t="array" ref="AK25">IFERROR(_xlfn.IFS(ISBLANK(AI25),"-",FIND("%",AI25,1),(AI25-AJ25)/100),AI25-AJ25)</f>
        <v>0.79999999999999716</v>
      </c>
      <c r="AL25" s="199">
        <v>41.1</v>
      </c>
      <c r="AM25" s="199">
        <v>46.6</v>
      </c>
      <c r="AN25" s="11">
        <f t="array" ref="AN25">IFERROR(_xlfn.IFS(ISBLANK(AL25),"-",FIND("%",AL25,1),(AL25-AM25)/100),AL25-AM25)</f>
        <v>-5.5</v>
      </c>
      <c r="AO25" s="199">
        <v>41.1</v>
      </c>
      <c r="AP25" s="199">
        <v>46.6</v>
      </c>
      <c r="AQ25" s="11">
        <f t="array" ref="AQ25">IFERROR(_xlfn.IFS(ISBLANK(AO25),"-",FIND("%",AO25,1),(AO25-AP25)/100),AO25-AP25)</f>
        <v>-5.5</v>
      </c>
      <c r="AR25" s="199">
        <v>47.1</v>
      </c>
      <c r="AS25" s="199">
        <v>52.6</v>
      </c>
      <c r="AT25" s="11">
        <f t="array" ref="AT25">IFERROR(_xlfn.IFS(ISBLANK(AR25),"-",FIND("%",AR25,1),(AR25-AS25)/100),AR25-AS25)</f>
        <v>-5.5</v>
      </c>
    </row>
    <row r="26" spans="1:46" x14ac:dyDescent="0.25">
      <c r="A26" s="200" t="s">
        <v>245</v>
      </c>
      <c r="B26" s="196"/>
      <c r="C26" s="196"/>
      <c r="D26" s="9" t="str">
        <f t="array" ref="D26">IFERROR(_xlfn.IFS(ISBLANK(B26),"-",FIND("%",B26,1),(B26-C26)/100),B26-C26)</f>
        <v>-</v>
      </c>
      <c r="E26" s="196"/>
      <c r="F26" s="196"/>
      <c r="G26" s="9" t="str">
        <f t="array" ref="G26">IFERROR(_xlfn.IFS(ISBLANK(E26),"-",FIND("%",E26,1),(E26-F26)/100),E26-F26)</f>
        <v>-</v>
      </c>
      <c r="H26" s="196">
        <v>52</v>
      </c>
      <c r="I26" s="196">
        <v>-1598</v>
      </c>
      <c r="J26" s="9">
        <f t="array" ref="J26">IFERROR(_xlfn.IFS(ISBLANK(H26),"-",FIND("%",H26,1),(H26-I26)/100),H26-I26)</f>
        <v>1650</v>
      </c>
      <c r="K26" s="196">
        <v>-1598</v>
      </c>
      <c r="L26" s="196">
        <v>-1185</v>
      </c>
      <c r="M26" s="9">
        <f t="array" ref="M26">IFERROR(_xlfn.IFS(ISBLANK(K26),"-",FIND("%",K26,1),(K26-L26)/100),K26-L26)</f>
        <v>-413</v>
      </c>
      <c r="N26" s="196">
        <v>-1185</v>
      </c>
      <c r="O26" s="196">
        <v>203</v>
      </c>
      <c r="P26" s="9">
        <f t="array" ref="P26">IFERROR(_xlfn.IFS(ISBLANK(N26),"-",FIND("%",N26,1),(N26-O26)/100),N26-O26)</f>
        <v>-1388</v>
      </c>
      <c r="Q26" s="196">
        <v>142</v>
      </c>
      <c r="R26" s="196">
        <v>1082</v>
      </c>
      <c r="S26" s="9">
        <f t="array" ref="S26">IFERROR(_xlfn.IFS(ISBLANK(Q26),"-",FIND("%",Q26,1),(Q26-R26)/100),Q26-R26)</f>
        <v>-940</v>
      </c>
      <c r="T26" s="196">
        <v>1235</v>
      </c>
      <c r="U26" s="196">
        <v>1285</v>
      </c>
      <c r="V26" s="9">
        <f t="array" ref="V26">IFERROR(_xlfn.IFS(ISBLANK(T26),"-",FIND("%",T26,1),(T26-U26)/100),T26-U26)</f>
        <v>-50</v>
      </c>
      <c r="W26" s="196">
        <v>1426</v>
      </c>
      <c r="X26" s="196">
        <v>392</v>
      </c>
      <c r="Y26" s="9">
        <f t="array" ref="Y26">IFERROR(_xlfn.IFS(ISBLANK(W26),"-",FIND("%",W26,1),(W26-X26)/100),W26-X26)</f>
        <v>1034</v>
      </c>
      <c r="Z26" s="196">
        <v>520</v>
      </c>
      <c r="AA26" s="196">
        <v>94</v>
      </c>
      <c r="AB26" s="9">
        <f t="array" ref="AB26">IFERROR(_xlfn.IFS(ISBLANK(Z26),"-",FIND("%",Z26,1),(Z26-AA26)/100),Z26-AA26)</f>
        <v>426</v>
      </c>
      <c r="AC26" s="196">
        <v>219</v>
      </c>
      <c r="AD26" s="196">
        <v>-2108</v>
      </c>
      <c r="AE26" s="9">
        <f t="array" ref="AE26">IFERROR(_xlfn.IFS(ISBLANK(AC26),"-",FIND("%",AC26,1),(AC26-AD26)/100),AC26-AD26)</f>
        <v>2327</v>
      </c>
      <c r="AF26" s="196">
        <v>-2108</v>
      </c>
      <c r="AG26" s="196">
        <v>-2306</v>
      </c>
      <c r="AH26" s="9">
        <f t="array" ref="AH26">IFERROR(_xlfn.IFS(ISBLANK(AF26),"-",FIND("%",AF26,1),(AF26-AG26)/100),AF26-AG26)</f>
        <v>198</v>
      </c>
      <c r="AI26" s="196">
        <v>-220.3</v>
      </c>
      <c r="AJ26" s="196">
        <v>-101.6</v>
      </c>
      <c r="AK26" s="9">
        <f t="array" ref="AK26">IFERROR(_xlfn.IFS(ISBLANK(AI26),"-",FIND("%",AI26,1),(AI26-AJ26)/100),AI26-AJ26)</f>
        <v>-118.70000000000002</v>
      </c>
      <c r="AL26" s="196">
        <v>699</v>
      </c>
      <c r="AM26" s="196">
        <v>54</v>
      </c>
      <c r="AN26" s="9">
        <f t="array" ref="AN26">IFERROR(_xlfn.IFS(ISBLANK(AL26),"-",FIND("%",AL26,1),(AL26-AM26)/100),AL26-AM26)</f>
        <v>645</v>
      </c>
      <c r="AO26" s="196">
        <v>699</v>
      </c>
      <c r="AP26" s="196">
        <v>54</v>
      </c>
      <c r="AQ26" s="9">
        <f t="array" ref="AQ26">IFERROR(_xlfn.IFS(ISBLANK(AO26),"-",FIND("%",AO26,1),(AO26-AP26)/100),AO26-AP26)</f>
        <v>645</v>
      </c>
      <c r="AR26" s="196"/>
      <c r="AS26" s="196">
        <v>-218</v>
      </c>
      <c r="AT26" s="9" t="str">
        <f t="array" ref="AT26">IFERROR(_xlfn.IFS(ISBLANK(AR26),"-",FIND("%",AR26,1),(AR26-AS26)/100),AR26-AS26)</f>
        <v>-</v>
      </c>
    </row>
    <row r="27" spans="1:46" s="255" customFormat="1" x14ac:dyDescent="0.25">
      <c r="A27" s="253" t="s">
        <v>273</v>
      </c>
      <c r="B27" s="254"/>
      <c r="C27" s="254"/>
      <c r="D27" s="9" t="str">
        <f t="array" ref="D27">IFERROR(_xlfn.IFS(ISBLANK(B27),"-",FIND("%",B27,1),(B27-C27)/100),B27-C27)</f>
        <v>-</v>
      </c>
      <c r="E27" s="254"/>
      <c r="F27" s="254"/>
      <c r="G27" s="9" t="str">
        <f t="array" ref="G27">IFERROR(_xlfn.IFS(ISBLANK(E27),"-",FIND("%",E27,1),(E27-F27)/100),E27-F27)</f>
        <v>-</v>
      </c>
      <c r="H27" s="254">
        <v>64.099999999999994</v>
      </c>
      <c r="I27" s="254">
        <v>73.599999999999994</v>
      </c>
      <c r="J27" s="9">
        <f t="array" ref="J27">IFERROR(_xlfn.IFS(ISBLANK(H27),"-",FIND("%",H27,1),(H27-I27)/100),H27-I27)</f>
        <v>-9.5</v>
      </c>
      <c r="K27" s="254">
        <v>-1.6E-2</v>
      </c>
      <c r="L27" s="254">
        <v>49.5</v>
      </c>
      <c r="M27" s="9">
        <f t="array" ref="M27">IFERROR(_xlfn.IFS(ISBLANK(K27),"-",FIND("%",K27,1),(K27-L27)/100),K27-L27)</f>
        <v>-49.515999999999998</v>
      </c>
      <c r="N27" s="254">
        <v>49.5</v>
      </c>
      <c r="O27" s="254">
        <v>47.8</v>
      </c>
      <c r="P27" s="9">
        <f t="array" ref="P27">IFERROR(_xlfn.IFS(ISBLANK(N27),"-",FIND("%",N27,1),(N27-O27)/100),N27-O27)</f>
        <v>1.7000000000000028</v>
      </c>
      <c r="Q27" s="254">
        <v>47.8</v>
      </c>
      <c r="R27" s="254">
        <v>46.3</v>
      </c>
      <c r="S27" s="9">
        <f t="array" ref="S27">IFERROR(_xlfn.IFS(ISBLANK(Q27),"-",FIND("%",Q27,1),(Q27-R27)/100),Q27-R27)</f>
        <v>1.5</v>
      </c>
      <c r="T27" s="254">
        <v>46.3</v>
      </c>
      <c r="U27" s="254">
        <v>49.3</v>
      </c>
      <c r="V27" s="9">
        <f t="array" ref="V27">IFERROR(_xlfn.IFS(ISBLANK(T27),"-",FIND("%",T27,1),(T27-U27)/100),T27-U27)</f>
        <v>-3</v>
      </c>
      <c r="W27" s="254">
        <v>49.3</v>
      </c>
      <c r="X27" s="254">
        <v>57.5</v>
      </c>
      <c r="Y27" s="9">
        <f t="array" ref="Y27">IFERROR(_xlfn.IFS(ISBLANK(W27),"-",FIND("%",W27,1),(W27-X27)/100),W27-X27)</f>
        <v>-8.2000000000000028</v>
      </c>
      <c r="Z27" s="254">
        <v>58.4</v>
      </c>
      <c r="AA27" s="254">
        <v>54.4</v>
      </c>
      <c r="AB27" s="9">
        <f t="array" ref="AB27">IFERROR(_xlfn.IFS(ISBLANK(Z27),"-",FIND("%",Z27,1),(Z27-AA27)/100),Z27-AA27)</f>
        <v>4</v>
      </c>
      <c r="AC27" s="254">
        <v>54.4</v>
      </c>
      <c r="AD27" s="254">
        <v>65.7</v>
      </c>
      <c r="AE27" s="9">
        <f t="array" ref="AE27">IFERROR(_xlfn.IFS(ISBLANK(AC27),"-",FIND("%",AC27,1),(AC27-AD27)/100),AC27-AD27)</f>
        <v>-11.300000000000004</v>
      </c>
      <c r="AF27" s="254">
        <v>65.7</v>
      </c>
      <c r="AG27" s="254">
        <v>60.9</v>
      </c>
      <c r="AH27" s="9">
        <f t="array" ref="AH27">IFERROR(_xlfn.IFS(ISBLANK(AF27),"-",FIND("%",AF27,1),(AF27-AG27)/100),AF27-AG27)</f>
        <v>4.8000000000000043</v>
      </c>
      <c r="AI27" s="254">
        <v>60.9</v>
      </c>
      <c r="AJ27" s="254">
        <v>50.6</v>
      </c>
      <c r="AK27" s="9">
        <f t="array" ref="AK27">IFERROR(_xlfn.IFS(ISBLANK(AI27),"-",FIND("%",AI27,1),(AI27-AJ27)/100),AI27-AJ27)</f>
        <v>10.299999999999997</v>
      </c>
      <c r="AL27" s="254">
        <v>27.1</v>
      </c>
      <c r="AM27" s="254">
        <v>6.1</v>
      </c>
      <c r="AN27" s="9">
        <f t="array" ref="AN27">IFERROR(_xlfn.IFS(ISBLANK(AL27),"-",FIND("%",AL27,1),(AL27-AM27)/100),AL27-AM27)</f>
        <v>21</v>
      </c>
      <c r="AO27" s="254">
        <v>6.1</v>
      </c>
      <c r="AP27" s="254">
        <v>11.2</v>
      </c>
      <c r="AQ27" s="9">
        <f t="array" ref="AQ27">IFERROR(_xlfn.IFS(ISBLANK(AO27),"-",FIND("%",AO27,1),(AO27-AP27)/100),AO27-AP27)</f>
        <v>-5.0999999999999996</v>
      </c>
      <c r="AR27" s="254">
        <v>14.9</v>
      </c>
      <c r="AS27" s="254">
        <v>22.9</v>
      </c>
      <c r="AT27" s="9">
        <f t="array" ref="AT27">IFERROR(_xlfn.IFS(ISBLANK(AR27),"-",FIND("%",AR27,1),(AR27-AS27)/100),AR27-AS27)</f>
        <v>-7.9999999999999982</v>
      </c>
    </row>
    <row r="28" spans="1:46" x14ac:dyDescent="0.25">
      <c r="A28" s="200" t="s">
        <v>274</v>
      </c>
      <c r="B28" s="196"/>
      <c r="C28" s="196"/>
      <c r="D28" s="9" t="str">
        <f t="array" ref="D28">IFERROR(_xlfn.IFS(ISBLANK(B28),"-",FIND("%",B28,1),(B28-C28)/100),B28-C28)</f>
        <v>-</v>
      </c>
      <c r="E28" s="196"/>
      <c r="F28" s="196"/>
      <c r="G28" s="9" t="str">
        <f t="array" ref="G28">IFERROR(_xlfn.IFS(ISBLANK(E28),"-",FIND("%",E28,1),(E28-F28)/100),E28-F28)</f>
        <v>-</v>
      </c>
      <c r="H28" s="196"/>
      <c r="I28" s="196"/>
      <c r="J28" s="9" t="str">
        <f t="array" ref="J28">IFERROR(_xlfn.IFS(ISBLANK(H28),"-",FIND("%",H28,1),(H28-I28)/100),H28-I28)</f>
        <v>-</v>
      </c>
      <c r="K28" s="196"/>
      <c r="L28" s="196"/>
      <c r="M28" s="9" t="str">
        <f t="array" ref="M28">IFERROR(_xlfn.IFS(ISBLANK(K28),"-",FIND("%",K28,1),(K28-L28)/100),K28-L28)</f>
        <v>-</v>
      </c>
      <c r="N28" s="196"/>
      <c r="O28" s="196"/>
      <c r="P28" s="9" t="str">
        <f t="array" ref="P28">IFERROR(_xlfn.IFS(ISBLANK(N28),"-",FIND("%",N28,1),(N28-O28)/100),N28-O28)</f>
        <v>-</v>
      </c>
      <c r="Q28" s="196"/>
      <c r="R28" s="196"/>
      <c r="S28" s="9" t="str">
        <f t="array" ref="S28">IFERROR(_xlfn.IFS(ISBLANK(Q28),"-",FIND("%",Q28,1),(Q28-R28)/100),Q28-R28)</f>
        <v>-</v>
      </c>
      <c r="T28" s="196"/>
      <c r="U28" s="196"/>
      <c r="V28" s="9" t="str">
        <f t="array" ref="V28">IFERROR(_xlfn.IFS(ISBLANK(T28),"-",FIND("%",T28,1),(T28-U28)/100),T28-U28)</f>
        <v>-</v>
      </c>
      <c r="W28" s="196"/>
      <c r="X28" s="196"/>
      <c r="Y28" s="9" t="str">
        <f t="array" ref="Y28">IFERROR(_xlfn.IFS(ISBLANK(W28),"-",FIND("%",W28,1),(W28-X28)/100),W28-X28)</f>
        <v>-</v>
      </c>
      <c r="Z28" s="196"/>
      <c r="AA28" s="196"/>
      <c r="AB28" s="9" t="str">
        <f t="array" ref="AB28">IFERROR(_xlfn.IFS(ISBLANK(Z28),"-",FIND("%",Z28,1),(Z28-AA28)/100),Z28-AA28)</f>
        <v>-</v>
      </c>
      <c r="AC28" s="196"/>
      <c r="AD28" s="196"/>
      <c r="AE28" s="9" t="str">
        <f t="array" ref="AE28">IFERROR(_xlfn.IFS(ISBLANK(AC28),"-",FIND("%",AC28,1),(AC28-AD28)/100),AC28-AD28)</f>
        <v>-</v>
      </c>
      <c r="AF28" s="196"/>
      <c r="AG28" s="196"/>
      <c r="AH28" s="9" t="str">
        <f t="array" ref="AH28">IFERROR(_xlfn.IFS(ISBLANK(AF28),"-",FIND("%",AF28,1),(AF28-AG28)/100),AF28-AG28)</f>
        <v>-</v>
      </c>
      <c r="AI28" s="196"/>
      <c r="AJ28" s="196"/>
      <c r="AK28" s="9" t="str">
        <f t="array" ref="AK28">IFERROR(_xlfn.IFS(ISBLANK(AI28),"-",FIND("%",AI28,1),(AI28-AJ28)/100),AI28-AJ28)</f>
        <v>-</v>
      </c>
      <c r="AL28" s="196"/>
      <c r="AM28" s="196"/>
      <c r="AN28" s="9" t="str">
        <f t="array" ref="AN28">IFERROR(_xlfn.IFS(ISBLANK(AL28),"-",FIND("%",AL28,1),(AL28-AM28)/100),AL28-AM28)</f>
        <v>-</v>
      </c>
      <c r="AO28" s="196"/>
      <c r="AP28" s="196"/>
      <c r="AQ28" s="9" t="str">
        <f t="array" ref="AQ28">IFERROR(_xlfn.IFS(ISBLANK(AO28),"-",FIND("%",AO28,1),(AO28-AP28)/100),AO28-AP28)</f>
        <v>-</v>
      </c>
      <c r="AR28" s="196"/>
      <c r="AS28" s="196"/>
      <c r="AT28" s="9" t="str">
        <f t="array" ref="AT28">IFERROR(_xlfn.IFS(ISBLANK(AR28),"-",FIND("%",AR28,1),(AR28-AS28)/100),AR28-AS28)</f>
        <v>-</v>
      </c>
    </row>
    <row r="29" spans="1:46" x14ac:dyDescent="0.25">
      <c r="A29" s="200" t="s">
        <v>275</v>
      </c>
      <c r="B29" s="196"/>
      <c r="C29" s="196"/>
      <c r="D29" s="9" t="str">
        <f t="array" ref="D29">IFERROR(_xlfn.IFS(ISBLANK(B29),"-",FIND("%",B29,1),(B29-C29)/100),B29-C29)</f>
        <v>-</v>
      </c>
      <c r="E29" s="196"/>
      <c r="F29" s="196"/>
      <c r="G29" s="9" t="str">
        <f t="array" ref="G29">IFERROR(_xlfn.IFS(ISBLANK(E29),"-",FIND("%",E29,1),(E29-F29)/100),E29-F29)</f>
        <v>-</v>
      </c>
      <c r="H29" s="196"/>
      <c r="I29" s="196"/>
      <c r="J29" s="9" t="str">
        <f t="array" ref="J29">IFERROR(_xlfn.IFS(ISBLANK(H29),"-",FIND("%",H29,1),(H29-I29)/100),H29-I29)</f>
        <v>-</v>
      </c>
      <c r="K29" s="196"/>
      <c r="L29" s="196"/>
      <c r="M29" s="9" t="str">
        <f t="array" ref="M29">IFERROR(_xlfn.IFS(ISBLANK(K29),"-",FIND("%",K29,1),(K29-L29)/100),K29-L29)</f>
        <v>-</v>
      </c>
      <c r="N29" s="196"/>
      <c r="O29" s="196"/>
      <c r="P29" s="9" t="str">
        <f t="array" ref="P29">IFERROR(_xlfn.IFS(ISBLANK(N29),"-",FIND("%",N29,1),(N29-O29)/100),N29-O29)</f>
        <v>-</v>
      </c>
      <c r="Q29" s="196"/>
      <c r="R29" s="196"/>
      <c r="S29" s="9" t="str">
        <f t="array" ref="S29">IFERROR(_xlfn.IFS(ISBLANK(Q29),"-",FIND("%",Q29,1),(Q29-R29)/100),Q29-R29)</f>
        <v>-</v>
      </c>
      <c r="T29" s="196"/>
      <c r="U29" s="196"/>
      <c r="V29" s="9" t="str">
        <f t="array" ref="V29">IFERROR(_xlfn.IFS(ISBLANK(T29),"-",FIND("%",T29,1),(T29-U29)/100),T29-U29)</f>
        <v>-</v>
      </c>
      <c r="W29" s="196"/>
      <c r="X29" s="196"/>
      <c r="Y29" s="9" t="str">
        <f t="array" ref="Y29">IFERROR(_xlfn.IFS(ISBLANK(W29),"-",FIND("%",W29,1),(W29-X29)/100),W29-X29)</f>
        <v>-</v>
      </c>
      <c r="Z29" s="196"/>
      <c r="AA29" s="196"/>
      <c r="AB29" s="9" t="str">
        <f t="array" ref="AB29">IFERROR(_xlfn.IFS(ISBLANK(Z29),"-",FIND("%",Z29,1),(Z29-AA29)/100),Z29-AA29)</f>
        <v>-</v>
      </c>
      <c r="AC29" s="196"/>
      <c r="AD29" s="196"/>
      <c r="AE29" s="9" t="str">
        <f t="array" ref="AE29">IFERROR(_xlfn.IFS(ISBLANK(AC29),"-",FIND("%",AC29,1),(AC29-AD29)/100),AC29-AD29)</f>
        <v>-</v>
      </c>
      <c r="AF29" s="196"/>
      <c r="AG29" s="196"/>
      <c r="AH29" s="9" t="str">
        <f t="array" ref="AH29">IFERROR(_xlfn.IFS(ISBLANK(AF29),"-",FIND("%",AF29,1),(AF29-AG29)/100),AF29-AG29)</f>
        <v>-</v>
      </c>
      <c r="AI29" s="196"/>
      <c r="AJ29" s="196"/>
      <c r="AK29" s="9" t="str">
        <f t="array" ref="AK29">IFERROR(_xlfn.IFS(ISBLANK(AI29),"-",FIND("%",AI29,1),(AI29-AJ29)/100),AI29-AJ29)</f>
        <v>-</v>
      </c>
      <c r="AL29" s="196"/>
      <c r="AM29" s="196"/>
      <c r="AN29" s="9" t="str">
        <f t="array" ref="AN29">IFERROR(_xlfn.IFS(ISBLANK(AL29),"-",FIND("%",AL29,1),(AL29-AM29)/100),AL29-AM29)</f>
        <v>-</v>
      </c>
      <c r="AO29" s="196"/>
      <c r="AP29" s="196"/>
      <c r="AQ29" s="9" t="str">
        <f t="array" ref="AQ29">IFERROR(_xlfn.IFS(ISBLANK(AO29),"-",FIND("%",AO29,1),(AO29-AP29)/100),AO29-AP29)</f>
        <v>-</v>
      </c>
      <c r="AR29" s="196"/>
      <c r="AS29" s="196"/>
      <c r="AT29" s="9" t="str">
        <f t="array" ref="AT29">IFERROR(_xlfn.IFS(ISBLANK(AR29),"-",FIND("%",AR29,1),(AR29-AS29)/100),AR29-AS29)</f>
        <v>-</v>
      </c>
    </row>
    <row r="30" spans="1:46" x14ac:dyDescent="0.25">
      <c r="A30" s="200" t="s">
        <v>276</v>
      </c>
      <c r="B30" s="196"/>
      <c r="C30" s="196"/>
      <c r="D30" s="3" t="str">
        <f>IF(ISBLANK(B30),"-",B30-C30)</f>
        <v>-</v>
      </c>
      <c r="E30" s="196"/>
      <c r="F30" s="196"/>
      <c r="G30" s="3" t="str">
        <f>IF(ISBLANK(E30),"-",E30-F30)</f>
        <v>-</v>
      </c>
      <c r="H30" s="195">
        <v>6.7000000000000004E-2</v>
      </c>
      <c r="I30" s="195">
        <v>-4.3999999999999997E-2</v>
      </c>
      <c r="J30" s="3">
        <f>IF(ISBLANK(H30),"-",H30-I30)</f>
        <v>0.111</v>
      </c>
      <c r="K30" s="195">
        <v>-4.3999999999999997E-2</v>
      </c>
      <c r="L30" s="195">
        <v>-1.1599999999999999E-2</v>
      </c>
      <c r="M30" s="3">
        <f>IF(ISBLANK(K30),"-",K30-L30)</f>
        <v>-3.2399999999999998E-2</v>
      </c>
      <c r="N30" s="195">
        <v>-1.1599999999999999E-2</v>
      </c>
      <c r="O30" s="195">
        <v>-3.0000000000000001E-3</v>
      </c>
      <c r="P30" s="3">
        <f>IF(ISBLANK(N30),"-",N30-O30)</f>
        <v>-8.6E-3</v>
      </c>
      <c r="Q30" s="195">
        <v>-3.0000000000000001E-3</v>
      </c>
      <c r="R30" s="195">
        <v>-4.1000000000000002E-2</v>
      </c>
      <c r="S30" s="3">
        <f>IF(ISBLANK(Q30),"-",Q30-R30)</f>
        <v>3.7999999999999999E-2</v>
      </c>
      <c r="T30" s="195">
        <v>-4.1000000000000002E-2</v>
      </c>
      <c r="U30" s="195">
        <v>-0.01</v>
      </c>
      <c r="V30" s="3">
        <f>IF(ISBLANK(T30),"-",T30-U30)</f>
        <v>-3.1E-2</v>
      </c>
      <c r="W30" s="195">
        <v>-8.9999999999999993E-3</v>
      </c>
      <c r="X30" s="195">
        <v>1.6E-2</v>
      </c>
      <c r="Y30" s="3">
        <f>IF(ISBLANK(W30),"-",W30-X30)</f>
        <v>-2.5000000000000001E-2</v>
      </c>
      <c r="Z30" s="195">
        <v>0</v>
      </c>
      <c r="AA30" s="195">
        <v>-6.0000000000000001E-3</v>
      </c>
      <c r="AB30" s="3">
        <f>IF(ISBLANK(Z30),"-",Z30-AA30)</f>
        <v>6.0000000000000001E-3</v>
      </c>
      <c r="AC30" s="195">
        <v>-6.0000000000000001E-3</v>
      </c>
      <c r="AD30" s="195">
        <v>1.9E-2</v>
      </c>
      <c r="AE30" s="3">
        <f>IF(ISBLANK(AC30),"-",AC30-AD30)</f>
        <v>-2.5000000000000001E-2</v>
      </c>
      <c r="AF30" s="195">
        <v>1.9E-2</v>
      </c>
      <c r="AG30" s="195">
        <v>8.0000000000000002E-3</v>
      </c>
      <c r="AH30" s="3">
        <f>IF(ISBLANK(AF30),"-",AF30-AG30)</f>
        <v>1.0999999999999999E-2</v>
      </c>
      <c r="AI30" s="195">
        <v>8.0000000000000002E-3</v>
      </c>
      <c r="AJ30" s="195">
        <v>-4.0000000000000001E-3</v>
      </c>
      <c r="AK30" s="3">
        <f>IF(ISBLANK(AI30),"-",AI30-AJ30)</f>
        <v>1.2E-2</v>
      </c>
      <c r="AL30" s="195">
        <v>5.0000000000000001E-3</v>
      </c>
      <c r="AM30" s="195">
        <v>4.0000000000000001E-3</v>
      </c>
      <c r="AN30" s="3">
        <f>IF(ISBLANK(AL30),"-",AL30-AM30)</f>
        <v>1E-3</v>
      </c>
      <c r="AO30" s="195">
        <v>4.0000000000000001E-3</v>
      </c>
      <c r="AP30" s="195">
        <v>-6.9000000000000006E-2</v>
      </c>
      <c r="AQ30" s="3">
        <f>IF(ISBLANK(AO30),"-",AO30-AP30)</f>
        <v>7.3000000000000009E-2</v>
      </c>
      <c r="AR30" s="201">
        <v>1.7999999999999999E-2</v>
      </c>
      <c r="AS30" s="195">
        <v>2.8000000000000001E-2</v>
      </c>
      <c r="AT30" s="3">
        <f>IF(ISBLANK(AR30),"-",AR30-AS30)</f>
        <v>-1.0000000000000002E-2</v>
      </c>
    </row>
    <row r="31" spans="1:46" x14ac:dyDescent="0.25">
      <c r="A31" s="200" t="s">
        <v>277</v>
      </c>
      <c r="B31" s="196"/>
      <c r="C31" s="196"/>
      <c r="D31" s="9" t="str">
        <f t="array" ref="D31">IFERROR(_xlfn.IFS(ISBLANK(B31),"-",FIND("%",B31,1),(B31-C31)/100),B31-C31)</f>
        <v>-</v>
      </c>
      <c r="E31" s="196"/>
      <c r="F31" s="196"/>
      <c r="G31" s="9" t="str">
        <f t="array" ref="G31">IFERROR(_xlfn.IFS(ISBLANK(E31),"-",FIND("%",E31,1),(E31-F31)/100),E31-F31)</f>
        <v>-</v>
      </c>
      <c r="H31" s="196">
        <v>51.5</v>
      </c>
      <c r="I31" s="196">
        <v>47.2</v>
      </c>
      <c r="J31" s="9">
        <f t="array" ref="J31">IFERROR(_xlfn.IFS(ISBLANK(H31),"-",FIND("%",H31,1),(H31-I31)/100),H31-I31)</f>
        <v>4.2999999999999972</v>
      </c>
      <c r="K31" s="196">
        <v>47.2</v>
      </c>
      <c r="L31" s="196">
        <v>47.5</v>
      </c>
      <c r="M31" s="9">
        <f t="array" ref="M31">IFERROR(_xlfn.IFS(ISBLANK(K31),"-",FIND("%",K31,1),(K31-L31)/100),K31-L31)</f>
        <v>-0.29999999999999716</v>
      </c>
      <c r="N31" s="196">
        <v>47.5</v>
      </c>
      <c r="O31" s="196">
        <v>52.8</v>
      </c>
      <c r="P31" s="9">
        <f t="array" ref="P31">IFERROR(_xlfn.IFS(ISBLANK(N31),"-",FIND("%",N31,1),(N31-O31)/100),N31-O31)</f>
        <v>-5.2999999999999972</v>
      </c>
      <c r="Q31" s="196">
        <v>48.9</v>
      </c>
      <c r="R31" s="196">
        <v>44.1</v>
      </c>
      <c r="S31" s="9">
        <f t="array" ref="S31">IFERROR(_xlfn.IFS(ISBLANK(Q31),"-",FIND("%",Q31,1),(Q31-R31)/100),Q31-R31)</f>
        <v>4.7999999999999972</v>
      </c>
      <c r="T31" s="196">
        <v>44</v>
      </c>
      <c r="U31" s="196">
        <v>48.1</v>
      </c>
      <c r="V31" s="9">
        <f t="array" ref="V31">IFERROR(_xlfn.IFS(ISBLANK(T31),"-",FIND("%",T31,1),(T31-U31)/100),T31-U31)</f>
        <v>-4.1000000000000014</v>
      </c>
      <c r="W31" s="196">
        <v>49.1</v>
      </c>
      <c r="X31" s="196">
        <v>49</v>
      </c>
      <c r="Y31" s="9">
        <f t="array" ref="Y31">IFERROR(_xlfn.IFS(ISBLANK(W31),"-",FIND("%",W31,1),(W31-X31)/100),W31-X31)</f>
        <v>0.10000000000000142</v>
      </c>
      <c r="Z31" s="196">
        <v>49.1</v>
      </c>
      <c r="AA31" s="196">
        <v>50.4</v>
      </c>
      <c r="AB31" s="9">
        <f t="array" ref="AB31">IFERROR(_xlfn.IFS(ISBLANK(Z31),"-",FIND("%",Z31,1),(Z31-AA31)/100),Z31-AA31)</f>
        <v>-1.2999999999999972</v>
      </c>
      <c r="AC31" s="196">
        <v>50.4</v>
      </c>
      <c r="AD31" s="196">
        <v>46.2</v>
      </c>
      <c r="AE31" s="9">
        <f t="array" ref="AE31">IFERROR(_xlfn.IFS(ISBLANK(AC31),"-",FIND("%",AC31,1),(AC31-AD31)/100),AC31-AD31)</f>
        <v>4.1999999999999957</v>
      </c>
      <c r="AF31" s="196">
        <v>46</v>
      </c>
      <c r="AG31" s="196">
        <v>45.7</v>
      </c>
      <c r="AH31" s="9">
        <f t="array" ref="AH31">IFERROR(_xlfn.IFS(ISBLANK(AF31),"-",FIND("%",AF31,1),(AF31-AG31)/100),AF31-AG31)</f>
        <v>0.29999999999999716</v>
      </c>
      <c r="AI31" s="196">
        <v>45.5</v>
      </c>
      <c r="AJ31" s="196">
        <v>45.2</v>
      </c>
      <c r="AK31" s="9">
        <f t="array" ref="AK31">IFERROR(_xlfn.IFS(ISBLANK(AI31),"-",FIND("%",AI31,1),(AI31-AJ31)/100),AI31-AJ31)</f>
        <v>0.29999999999999716</v>
      </c>
      <c r="AL31" s="196">
        <v>40.200000000000003</v>
      </c>
      <c r="AM31" s="196">
        <v>42.6</v>
      </c>
      <c r="AN31" s="9">
        <f t="array" ref="AN31">IFERROR(_xlfn.IFS(ISBLANK(AL31),"-",FIND("%",AL31,1),(AL31-AM31)/100),AL31-AM31)</f>
        <v>-2.3999999999999986</v>
      </c>
      <c r="AO31" s="196">
        <v>40.200000000000003</v>
      </c>
      <c r="AP31" s="196">
        <v>42.6</v>
      </c>
      <c r="AQ31" s="9">
        <f t="array" ref="AQ31">IFERROR(_xlfn.IFS(ISBLANK(AO31),"-",FIND("%",AO31,1),(AO31-AP31)/100),AO31-AP31)</f>
        <v>-2.3999999999999986</v>
      </c>
      <c r="AR31" s="196">
        <v>47.1</v>
      </c>
      <c r="AS31" s="196">
        <v>47.2</v>
      </c>
      <c r="AT31" s="9">
        <f t="array" ref="AT31">IFERROR(_xlfn.IFS(ISBLANK(AR31),"-",FIND("%",AR31,1),(AR31-AS31)/100),AR31-AS31)</f>
        <v>-0.10000000000000142</v>
      </c>
    </row>
    <row r="32" spans="1:46" x14ac:dyDescent="0.25">
      <c r="A32" s="202" t="s">
        <v>278</v>
      </c>
      <c r="B32" s="191"/>
      <c r="C32" s="191"/>
      <c r="D32" s="7" t="str">
        <f>IF(ISBLANK(B32),"-",B32-C32)</f>
        <v>-</v>
      </c>
      <c r="E32" s="191"/>
      <c r="F32" s="191"/>
      <c r="G32" s="7" t="str">
        <f>IF(ISBLANK(E32),"-",E32-F32)</f>
        <v>-</v>
      </c>
      <c r="H32" s="189">
        <v>6.0000000000000001E-3</v>
      </c>
      <c r="I32" s="189">
        <v>2.9000000000000001E-2</v>
      </c>
      <c r="J32" s="7">
        <f>IF(ISBLANK(H32),"-",H32-I32)</f>
        <v>-2.3E-2</v>
      </c>
      <c r="K32" s="189">
        <v>2.9000000000000001E-2</v>
      </c>
      <c r="L32" s="189">
        <v>2.5999999999999999E-2</v>
      </c>
      <c r="M32" s="7">
        <f>IF(ISBLANK(K32),"-",K32-L32)</f>
        <v>3.0000000000000027E-3</v>
      </c>
      <c r="N32" s="189">
        <v>2.5999999999999999E-2</v>
      </c>
      <c r="O32" s="189">
        <v>8.0000000000000002E-3</v>
      </c>
      <c r="P32" s="7">
        <f>IF(ISBLANK(N32),"-",N32-O32)</f>
        <v>1.7999999999999999E-2</v>
      </c>
      <c r="Q32" s="189">
        <v>8.0000000000000002E-3</v>
      </c>
      <c r="R32" s="189">
        <v>2.3E-2</v>
      </c>
      <c r="S32" s="7">
        <f>IF(ISBLANK(Q32),"-",Q32-R32)</f>
        <v>-1.4999999999999999E-2</v>
      </c>
      <c r="T32" s="189">
        <v>2.3E-2</v>
      </c>
      <c r="U32" s="189">
        <v>-1.9E-2</v>
      </c>
      <c r="V32" s="7">
        <f>IF(ISBLANK(T32),"-",T32-U32)</f>
        <v>4.1999999999999996E-2</v>
      </c>
      <c r="W32" s="189">
        <v>-1.9E-2</v>
      </c>
      <c r="X32" s="189">
        <v>1.4999999999999999E-2</v>
      </c>
      <c r="Y32" s="7">
        <f>IF(ISBLANK(W32),"-",W32-X32)</f>
        <v>-3.4000000000000002E-2</v>
      </c>
      <c r="Z32" s="189">
        <v>1.9E-2</v>
      </c>
      <c r="AA32" s="189">
        <v>3.7999999999999999E-2</v>
      </c>
      <c r="AB32" s="7">
        <f>IF(ISBLANK(Z32),"-",Z32-AA32)</f>
        <v>-1.9E-2</v>
      </c>
      <c r="AC32" s="189">
        <v>3.5000000000000003E-2</v>
      </c>
      <c r="AD32" s="189">
        <v>1.2999999999999999E-2</v>
      </c>
      <c r="AE32" s="7">
        <f>IF(ISBLANK(AC32),"-",AC32-AD32)</f>
        <v>2.2000000000000006E-2</v>
      </c>
      <c r="AF32" s="189">
        <v>1.0999999999999999E-2</v>
      </c>
      <c r="AG32" s="189">
        <v>-2.1000000000000001E-2</v>
      </c>
      <c r="AH32" s="7">
        <f>IF(ISBLANK(AF32),"-",AF32-AG32)</f>
        <v>3.2000000000000001E-2</v>
      </c>
      <c r="AI32" s="189">
        <v>-4.2999999999999997E-2</v>
      </c>
      <c r="AJ32" s="189">
        <v>2.1999999999999999E-2</v>
      </c>
      <c r="AK32" s="7">
        <f>IF(ISBLANK(AI32),"-",AI32-AJ32)</f>
        <v>-6.5000000000000002E-2</v>
      </c>
      <c r="AL32" s="190">
        <v>-2E-3</v>
      </c>
      <c r="AM32" s="189">
        <v>0.04</v>
      </c>
      <c r="AN32" s="7">
        <f>IF(ISBLANK(AL32),"-",AL32-AM32)</f>
        <v>-4.2000000000000003E-2</v>
      </c>
      <c r="AO32" s="190">
        <v>0.04</v>
      </c>
      <c r="AP32" s="190">
        <v>-8.7999999999999995E-2</v>
      </c>
      <c r="AQ32" s="7">
        <f>IF(ISBLANK(AO32),"-",AO32-AP32)</f>
        <v>0.128</v>
      </c>
      <c r="AR32" s="189">
        <v>8.9999999999999993E-3</v>
      </c>
      <c r="AS32" s="189">
        <v>7.5999999999999998E-2</v>
      </c>
      <c r="AT32" s="7">
        <f>IF(ISBLANK(AR32),"-",AR32-AS32)</f>
        <v>-6.7000000000000004E-2</v>
      </c>
    </row>
    <row r="33" spans="1:46" x14ac:dyDescent="0.25">
      <c r="A33" s="202" t="s">
        <v>279</v>
      </c>
      <c r="B33" s="191"/>
      <c r="C33" s="191"/>
      <c r="D33" s="7" t="str">
        <f>IF(ISBLANK(B33),"-",B33-C33)</f>
        <v>-</v>
      </c>
      <c r="E33" s="191"/>
      <c r="F33" s="191"/>
      <c r="G33" s="7" t="str">
        <f>IF(ISBLANK(E33),"-",E33-F33)</f>
        <v>-</v>
      </c>
      <c r="H33" s="191"/>
      <c r="I33" s="191"/>
      <c r="J33" s="7" t="str">
        <f>IF(ISBLANK(H33),"-",H33-I33)</f>
        <v>-</v>
      </c>
      <c r="K33" s="191"/>
      <c r="L33" s="189">
        <v>4.1000000000000002E-2</v>
      </c>
      <c r="M33" s="7" t="str">
        <f>IF(ISBLANK(K33),"-",K33-L33)</f>
        <v>-</v>
      </c>
      <c r="N33" s="189">
        <v>4.1000000000000002E-2</v>
      </c>
      <c r="O33" s="189">
        <v>1.9E-2</v>
      </c>
      <c r="P33" s="7">
        <f>IF(ISBLANK(N33),"-",N33-O33)</f>
        <v>2.2000000000000002E-2</v>
      </c>
      <c r="Q33" s="191"/>
      <c r="R33" s="191"/>
      <c r="S33" s="7" t="str">
        <f>IF(ISBLANK(Q33),"-",Q33-R33)</f>
        <v>-</v>
      </c>
      <c r="T33" s="189">
        <v>1.9E-2</v>
      </c>
      <c r="U33" s="189">
        <v>3.2000000000000001E-2</v>
      </c>
      <c r="V33" s="7">
        <f>IF(ISBLANK(T33),"-",T33-U33)</f>
        <v>-1.3000000000000001E-2</v>
      </c>
      <c r="W33" s="189">
        <v>3.1E-2</v>
      </c>
      <c r="X33" s="189">
        <v>2.5000000000000001E-2</v>
      </c>
      <c r="Y33" s="7">
        <f>IF(ISBLANK(W33),"-",W33-X33)</f>
        <v>5.9999999999999984E-3</v>
      </c>
      <c r="Z33" s="189">
        <v>3.1E-2</v>
      </c>
      <c r="AA33" s="189">
        <v>2.5000000000000001E-2</v>
      </c>
      <c r="AB33" s="7">
        <f>IF(ISBLANK(Z33),"-",Z33-AA33)</f>
        <v>5.9999999999999984E-3</v>
      </c>
      <c r="AC33" s="189">
        <v>2.4E-2</v>
      </c>
      <c r="AD33" s="189">
        <v>2.1000000000000001E-2</v>
      </c>
      <c r="AE33" s="7">
        <f>IF(ISBLANK(AC33),"-",AC33-AD33)</f>
        <v>2.9999999999999992E-3</v>
      </c>
      <c r="AF33" s="191"/>
      <c r="AG33" s="191"/>
      <c r="AH33" s="7" t="str">
        <f>IF(ISBLANK(AF33),"-",AF33-AG33)</f>
        <v>-</v>
      </c>
      <c r="AI33" s="189">
        <v>2.1000000000000001E-2</v>
      </c>
      <c r="AJ33" s="189">
        <v>5.0999999999999997E-2</v>
      </c>
      <c r="AK33" s="7">
        <f>IF(ISBLANK(AI33),"-",AI33-AJ33)</f>
        <v>-2.9999999999999995E-2</v>
      </c>
      <c r="AL33" s="191"/>
      <c r="AM33" s="191"/>
      <c r="AN33" s="7" t="str">
        <f>IF(ISBLANK(AL33),"-",AL33-AM33)</f>
        <v>-</v>
      </c>
      <c r="AO33" s="191"/>
      <c r="AP33" s="191"/>
      <c r="AQ33" s="7" t="str">
        <f>IF(ISBLANK(AO33),"-",AO33-AP33)</f>
        <v>-</v>
      </c>
      <c r="AR33" s="191"/>
      <c r="AS33" s="191"/>
      <c r="AT33" s="7" t="str">
        <f>IF(ISBLANK(AR33),"-",AR33-AS33)</f>
        <v>-</v>
      </c>
    </row>
    <row r="34" spans="1:46" x14ac:dyDescent="0.25">
      <c r="A34" s="202" t="s">
        <v>280</v>
      </c>
      <c r="B34" s="191"/>
      <c r="C34" s="191"/>
      <c r="D34" s="7" t="str">
        <f>IF(ISBLANK(B34),"-",B34-C34)</f>
        <v>-</v>
      </c>
      <c r="E34" s="191"/>
      <c r="F34" s="191"/>
      <c r="G34" s="7" t="str">
        <f>IF(ISBLANK(E34),"-",E34-F34)</f>
        <v>-</v>
      </c>
      <c r="H34" s="189">
        <v>2.7E-2</v>
      </c>
      <c r="I34" s="189">
        <v>-2.8000000000000001E-2</v>
      </c>
      <c r="J34" s="7">
        <f>IF(ISBLANK(H34),"-",H34-I34)</f>
        <v>5.5E-2</v>
      </c>
      <c r="K34" s="189">
        <v>-2.8000000000000001E-2</v>
      </c>
      <c r="L34" s="189">
        <v>-0.03</v>
      </c>
      <c r="M34" s="7">
        <f>IF(ISBLANK(K34),"-",K34-L34)</f>
        <v>1.9999999999999983E-3</v>
      </c>
      <c r="N34" s="189">
        <v>-0.03</v>
      </c>
      <c r="O34" s="189">
        <v>-4.1000000000000002E-2</v>
      </c>
      <c r="P34" s="7">
        <f>IF(ISBLANK(N34),"-",N34-O34)</f>
        <v>1.1000000000000003E-2</v>
      </c>
      <c r="Q34" s="190">
        <v>0.1</v>
      </c>
      <c r="R34" s="189">
        <v>8.0000000000000002E-3</v>
      </c>
      <c r="S34" s="7">
        <f>IF(ISBLANK(Q34),"-",Q34-R34)</f>
        <v>9.1999999999999998E-2</v>
      </c>
      <c r="T34" s="189">
        <v>5.0999999999999997E-2</v>
      </c>
      <c r="U34" s="190">
        <v>0.03</v>
      </c>
      <c r="V34" s="7">
        <f>IF(ISBLANK(T34),"-",T34-U34)</f>
        <v>2.0999999999999998E-2</v>
      </c>
      <c r="W34" s="189">
        <v>2.5999999999999999E-2</v>
      </c>
      <c r="X34" s="189">
        <v>2E-3</v>
      </c>
      <c r="Y34" s="7">
        <f>IF(ISBLANK(W34),"-",W34-X34)</f>
        <v>2.4E-2</v>
      </c>
      <c r="Z34" s="189">
        <v>2.5999999999999999E-2</v>
      </c>
      <c r="AA34" s="189">
        <v>2E-3</v>
      </c>
      <c r="AB34" s="7">
        <f>IF(ISBLANK(Z34),"-",Z34-AA34)</f>
        <v>2.4E-2</v>
      </c>
      <c r="AC34" s="189">
        <v>-1E-3</v>
      </c>
      <c r="AD34" s="189">
        <v>8.9999999999999993E-3</v>
      </c>
      <c r="AE34" s="7">
        <f>IF(ISBLANK(AC34),"-",AC34-AD34)</f>
        <v>-9.9999999999999985E-3</v>
      </c>
      <c r="AF34" s="191"/>
      <c r="AG34" s="191"/>
      <c r="AH34" s="7" t="str">
        <f>IF(ISBLANK(AF34),"-",AF34-AG34)</f>
        <v>-</v>
      </c>
      <c r="AI34" s="189">
        <v>1E-3</v>
      </c>
      <c r="AJ34" s="189">
        <v>8.0000000000000002E-3</v>
      </c>
      <c r="AK34" s="7">
        <f>IF(ISBLANK(AI34),"-",AI34-AJ34)</f>
        <v>-7.0000000000000001E-3</v>
      </c>
      <c r="AL34" s="189">
        <v>7.0000000000000001E-3</v>
      </c>
      <c r="AM34" s="189">
        <v>-5.0000000000000001E-3</v>
      </c>
      <c r="AN34" s="7">
        <f>IF(ISBLANK(AL34),"-",AL34-AM34)</f>
        <v>1.2E-2</v>
      </c>
      <c r="AO34" s="191"/>
      <c r="AP34" s="191"/>
      <c r="AQ34" s="7" t="str">
        <f>IF(ISBLANK(AO34),"-",AO34-AP34)</f>
        <v>-</v>
      </c>
      <c r="AR34" s="191"/>
      <c r="AS34" s="191"/>
      <c r="AT34" s="7" t="str">
        <f>IF(ISBLANK(AR34),"-",AR34-AS34)</f>
        <v>-</v>
      </c>
    </row>
    <row r="35" spans="1:46" x14ac:dyDescent="0.25">
      <c r="A35" s="202" t="s">
        <v>281</v>
      </c>
      <c r="B35" s="191"/>
      <c r="C35" s="191"/>
      <c r="D35" s="23" t="str">
        <f>IF(ISBLANK(B35),"-",B35-C35)</f>
        <v>-</v>
      </c>
      <c r="E35" s="191"/>
      <c r="F35" s="191"/>
      <c r="G35" s="23" t="str">
        <f>IF(ISBLANK(E35),"-",E35-F35)</f>
        <v>-</v>
      </c>
      <c r="H35" s="191">
        <v>48</v>
      </c>
      <c r="I35" s="191">
        <v>18</v>
      </c>
      <c r="J35" s="23">
        <f>IF(ISBLANK(H35),"-",H35-I35)</f>
        <v>30</v>
      </c>
      <c r="K35" s="191">
        <v>18</v>
      </c>
      <c r="L35" s="191">
        <v>18</v>
      </c>
      <c r="M35" s="23">
        <f>IF(ISBLANK(K35),"-",K35-L35)</f>
        <v>0</v>
      </c>
      <c r="N35" s="191">
        <v>18</v>
      </c>
      <c r="O35" s="191">
        <v>22</v>
      </c>
      <c r="P35" s="23">
        <f>IF(ISBLANK(N35),"-",N35-O35)</f>
        <v>-4</v>
      </c>
      <c r="Q35" s="191"/>
      <c r="R35" s="191"/>
      <c r="S35" s="23" t="str">
        <f>IF(ISBLANK(Q35),"-",Q35-R35)</f>
        <v>-</v>
      </c>
      <c r="T35" s="191">
        <v>22</v>
      </c>
      <c r="U35" s="191">
        <v>19</v>
      </c>
      <c r="V35" s="23">
        <f>IF(ISBLANK(T35),"-",T35-U35)</f>
        <v>3</v>
      </c>
      <c r="W35" s="191">
        <v>19</v>
      </c>
      <c r="X35" s="191">
        <v>16</v>
      </c>
      <c r="Y35" s="23">
        <f>IF(ISBLANK(W35),"-",W35-X35)</f>
        <v>3</v>
      </c>
      <c r="Z35" s="191">
        <v>19</v>
      </c>
      <c r="AA35" s="191">
        <v>16</v>
      </c>
      <c r="AB35" s="23">
        <f>IF(ISBLANK(Z35),"-",Z35-AA35)</f>
        <v>3</v>
      </c>
      <c r="AC35" s="191">
        <v>16</v>
      </c>
      <c r="AD35" s="191">
        <v>-1</v>
      </c>
      <c r="AE35" s="23">
        <f>IF(ISBLANK(AC35),"-",AC35-AD35)</f>
        <v>17</v>
      </c>
      <c r="AF35" s="191"/>
      <c r="AG35" s="191"/>
      <c r="AH35" s="23" t="str">
        <f>IF(ISBLANK(AF35),"-",AF35-AG35)</f>
        <v>-</v>
      </c>
      <c r="AI35" s="191">
        <v>-1</v>
      </c>
      <c r="AJ35" s="191">
        <v>-44</v>
      </c>
      <c r="AK35" s="23">
        <f>IF(ISBLANK(AI35),"-",AI35-AJ35)</f>
        <v>43</v>
      </c>
      <c r="AL35" s="191">
        <v>-44</v>
      </c>
      <c r="AM35" s="191">
        <v>-25</v>
      </c>
      <c r="AN35" s="23">
        <f>IF(ISBLANK(AL35),"-",AL35-AM35)</f>
        <v>-19</v>
      </c>
      <c r="AO35" s="191"/>
      <c r="AP35" s="191"/>
      <c r="AQ35" s="23" t="str">
        <f>IF(ISBLANK(AO35),"-",AO35-AP35)</f>
        <v>-</v>
      </c>
      <c r="AR35" s="191"/>
      <c r="AS35" s="191"/>
      <c r="AT35" s="23" t="str">
        <f>IF(ISBLANK(AR35),"-",AR35-AS35)</f>
        <v>-</v>
      </c>
    </row>
    <row r="36" spans="1:46" x14ac:dyDescent="0.25">
      <c r="A36" s="203"/>
      <c r="B36" s="204"/>
      <c r="C36" s="204"/>
      <c r="D36" s="193"/>
      <c r="E36" s="204"/>
      <c r="F36" s="204"/>
      <c r="G36" s="193"/>
      <c r="H36" s="204"/>
      <c r="I36" s="204"/>
      <c r="J36" s="193"/>
      <c r="K36" s="204"/>
      <c r="L36" s="204"/>
      <c r="M36" s="193"/>
      <c r="N36" s="204"/>
      <c r="O36" s="204"/>
      <c r="P36" s="193"/>
      <c r="Q36" s="204"/>
      <c r="R36" s="204"/>
      <c r="S36" s="193"/>
      <c r="T36" s="204"/>
      <c r="U36" s="204"/>
      <c r="V36" s="193"/>
      <c r="W36" s="204"/>
      <c r="X36" s="204"/>
      <c r="Y36" s="193"/>
      <c r="Z36" s="204"/>
      <c r="AA36" s="204"/>
      <c r="AB36" s="193"/>
      <c r="AC36" s="204"/>
      <c r="AD36" s="204"/>
      <c r="AE36" s="193"/>
      <c r="AF36" s="204"/>
      <c r="AG36" s="204"/>
      <c r="AH36" s="193"/>
      <c r="AI36" s="204"/>
      <c r="AJ36" s="204"/>
      <c r="AK36" s="193"/>
      <c r="AL36" s="204"/>
      <c r="AM36" s="204"/>
      <c r="AN36" s="193"/>
      <c r="AO36" s="204"/>
      <c r="AP36" s="204"/>
      <c r="AQ36" s="193"/>
      <c r="AR36" s="204"/>
      <c r="AS36" s="204"/>
      <c r="AT36" s="193"/>
    </row>
    <row r="37" spans="1:46" x14ac:dyDescent="0.25">
      <c r="A37" s="2" t="s">
        <v>146</v>
      </c>
      <c r="B37" s="321" t="str">
        <f>IF(D38="-",
    "",
    IF(
        (IF(D38="-", 0, IF(D38&lt;0, -2, IF(D38&gt;0, 2, 0))) / 2) &gt; 0.001,
        "BULLISH",
        IF(
            (IF(D38="-", 0, IF(D38&lt;0, -2, IF(D38&gt;0, 2, 0))) / 2) &lt; -0.001,
            "BEARISH",
            "NEUTRO"
        )
    )
)</f>
        <v/>
      </c>
      <c r="C37" s="321"/>
      <c r="D37" s="319"/>
      <c r="E37" s="321" t="str">
        <f>IF(G38="-",
    "",
    IF(
        (IF(G38="-", 0, IF(G38&lt;0, -2, IF(G38&gt;0, 2, 0))) / 2) &gt; 0.001,
        "BULLISH",
        IF(
            (IF(G38="-", 0, IF(G38&lt;0, -2, IF(G38&gt;0, 2, 0))) / 2) &lt; -0.001,
            "BEARISH",
            "NEUTRO"
        )
    )
)</f>
        <v/>
      </c>
      <c r="F37" s="321"/>
      <c r="G37" s="319"/>
      <c r="H37" s="321" t="str">
        <f>IF(J38="-",
    "",
    IF(
        (IF(J38="-", 0, IF(J38&lt;0, -2, IF(J38&gt;0, 2, 0))) / 2) &gt; 0.001,
        "BULLISH",
        IF(
            (IF(J38="-", 0, IF(J38&lt;0, -2, IF(J38&gt;0, 2, 0))) / 2) &lt; -0.001,
            "BEARISH",
            "NEUTRO"
        )
    )
)</f>
        <v>BEARISH</v>
      </c>
      <c r="I37" s="321"/>
      <c r="J37" s="319"/>
      <c r="K37" s="321" t="str">
        <f>IF(M38="-",
    "",
    IF(
        (IF(M38="-", 0, IF(M38&lt;0, -2, IF(M38&gt;0, 2, 0))) / 2) &gt; 0.001,
        "BULLISH",
        IF(
            (IF(M38="-", 0, IF(M38&lt;0, -2, IF(M38&gt;0, 2, 0))) / 2) &lt; -0.001,
            "BEARISH",
            "NEUTRO"
        )
    )
)</f>
        <v>BEARISH</v>
      </c>
      <c r="L37" s="321"/>
      <c r="M37" s="319"/>
      <c r="N37" s="321" t="str">
        <f>IF(P38="-",
    "",
    IF(
        (IF(P38="-", 0, IF(P38&lt;0, -2, IF(P38&gt;0, 2, 0))) / 2) &gt; 0.001,
        "BULLISH",
        IF(
            (IF(P38="-", 0, IF(P38&lt;0, -2, IF(P38&gt;0, 2, 0))) / 2) &lt; -0.001,
            "BEARISH",
            "NEUTRO"
        )
    )
)</f>
        <v>BULLISH</v>
      </c>
      <c r="O37" s="321"/>
      <c r="P37" s="319"/>
      <c r="Q37" s="321" t="str">
        <f>IF(S38="-",
    "",
    IF(
        (IF(S38="-", 0, IF(S38&lt;0, -2, IF(S38&gt;0, 2, 0))) / 2) &gt; 0.001,
        "BULLISH",
        IF(
            (IF(S38="-", 0, IF(S38&lt;0, -2, IF(S38&gt;0, 2, 0))) / 2) &lt; -0.001,
            "BEARISH",
            "NEUTRO"
        )
    )
)</f>
        <v>BEARISH</v>
      </c>
      <c r="R37" s="321"/>
      <c r="S37" s="319"/>
      <c r="T37" s="321" t="str">
        <f>IF(V38="-",
    "",
    IF(
        (IF(V38="-", 0, IF(V38&lt;0, -2, IF(V38&gt;0, 2, 0))) / 2) &gt; 0.001,
        "BULLISH",
        IF(
            (IF(V38="-", 0, IF(V38&lt;0, -2, IF(V38&gt;0, 2, 0))) / 2) &lt; -0.001,
            "BEARISH",
            "NEUTRO"
        )
    )
)</f>
        <v>BULLISH</v>
      </c>
      <c r="U37" s="321"/>
      <c r="V37" s="319"/>
      <c r="W37" s="321" t="str">
        <f>IF(Y38="-",
    "",
    IF(
        (IF(Y38="-", 0, IF(Y38&lt;0, -2, IF(Y38&gt;0, 2, 0))) / 2) &gt; 0.001,
        "BULLISH",
        IF(
            (IF(Y38="-", 0, IF(Y38&lt;0, -2, IF(Y38&gt;0, 2, 0))) / 2) &lt; -0.001,
            "BEARISH",
            "NEUTRO"
        )
    )
)</f>
        <v>BULLISH</v>
      </c>
      <c r="X37" s="321"/>
      <c r="Y37" s="319"/>
      <c r="Z37" s="321" t="str">
        <f>IF(AB38="-",
    "",
    IF(
        (IF(AB38="-", 0, IF(AB38&lt;0, -2, IF(AB38&gt;0, 2, 0))) / 2) &gt; 0.001,
        "BULLISH",
        IF(
            (IF(AB38="-", 0, IF(AB38&lt;0, -2, IF(AB38&gt;0, 2, 0))) / 2) &lt; -0.001,
            "BEARISH",
            "NEUTRO"
        )
    )
)</f>
        <v>BULLISH</v>
      </c>
      <c r="AA37" s="321"/>
      <c r="AB37" s="319"/>
      <c r="AC37" s="321" t="str">
        <f>IF(AE38="-",
    "",
    IF(
        (IF(AE38="-", 0, IF(AE38&lt;0, -2, IF(AE38&gt;0, 2, 0))) / 2) &gt; 0.001,
        "BULLISH",
        IF(
            (IF(AE38="-", 0, IF(AE38&lt;0, -2, IF(AE38&gt;0, 2, 0))) / 2) &lt; -0.001,
            "BEARISH",
            "NEUTRO"
        )
    )
)</f>
        <v>BEARISH</v>
      </c>
      <c r="AD37" s="321"/>
      <c r="AE37" s="319"/>
      <c r="AF37" s="321" t="str">
        <f>IF(AH38="-",
    "",
    IF(
        (IF(AH38="-", 0, IF(AH38&lt;0, -2, IF(AH38&gt;0, 2, 0))) / 2) &gt; 0.001,
        "BULLISH",
        IF(
            (IF(AH38="-", 0, IF(AH38&lt;0, -2, IF(AH38&gt;0, 2, 0))) / 2) &lt; -0.001,
            "BEARISH",
            "NEUTRO"
        )
    )
)</f>
        <v>BULLISH</v>
      </c>
      <c r="AG37" s="321"/>
      <c r="AH37" s="319"/>
      <c r="AI37" s="321" t="str">
        <f>IF(AK38="-",
    "",
    IF(
        (IF(AK38="-", 0, IF(AK38&lt;0, -2, IF(AK38&gt;0, 2, 0))) / 2) &gt; 0.001,
        "BULLISH",
        IF(
            (IF(AK38="-", 0, IF(AK38&lt;0, -2, IF(AK38&gt;0, 2, 0))) / 2) &lt; -0.001,
            "BEARISH",
            "NEUTRO"
        )
    )
)</f>
        <v>BEARISH</v>
      </c>
      <c r="AJ37" s="321"/>
      <c r="AK37" s="319"/>
      <c r="AL37" s="321" t="str">
        <f>IF(AN38="-",
    "",
    IF(
        (IF(AN38="-", 0, IF(AN38&lt;0, -2, IF(AN38&gt;0, 2, 0))) / 2) &gt; 0.001,
        "BULLISH",
        IF(
            (IF(AN38="-", 0, IF(AN38&lt;0, -2, IF(AN38&gt;0, 2, 0))) / 2) &lt; -0.001,
            "BEARISH",
            "NEUTRO"
        )
    )
)</f>
        <v>BEARISH</v>
      </c>
      <c r="AM37" s="321"/>
      <c r="AN37" s="319"/>
      <c r="AO37" s="321" t="str">
        <f>IF(AQ38="-",
    "",
    IF(
        (IF(AQ38="-", 0, IF(AQ38&lt;0, -2, IF(AQ38&gt;0, 2, 0))) / 2) &gt; 0.001,
        "BULLISH",
        IF(
            (IF(AQ38="-", 0, IF(AQ38&lt;0, -2, IF(AQ38&gt;0, 2, 0))) / 2) &lt; -0.001,
            "BEARISH",
            "NEUTRO"
        )
    )
)</f>
        <v/>
      </c>
      <c r="AP37" s="321"/>
      <c r="AQ37" s="319"/>
      <c r="AR37" s="321" t="str">
        <f>IF(AT38="-",
    "",
    IF(
        (IF(AT38="-", 0, IF(AT38&lt;0, -2, IF(AT38&gt;0, 2, 0))) / 2) &gt; 0.001,
        "BULLISH",
        IF(
            (IF(AT38="-", 0, IF(AT38&lt;0, -2, IF(AT38&gt;0, 2, 0))) / 2) &lt; -0.001,
            "BEARISH",
            "NEUTRO"
        )
    )
)</f>
        <v>BEARISH</v>
      </c>
      <c r="AS37" s="321"/>
      <c r="AT37" s="319"/>
    </row>
    <row r="38" spans="1:46" x14ac:dyDescent="0.25">
      <c r="A38" s="194" t="s">
        <v>282</v>
      </c>
      <c r="B38" s="196"/>
      <c r="C38" s="196"/>
      <c r="D38" s="3" t="str">
        <f>IF(ISBLANK(B38),"-",B38-C38)</f>
        <v>-</v>
      </c>
      <c r="E38" s="196"/>
      <c r="F38" s="196"/>
      <c r="G38" s="3" t="str">
        <f>IF(ISBLANK(E38),"-",E38-F38)</f>
        <v>-</v>
      </c>
      <c r="H38" s="195">
        <v>-4.5999999999999999E-2</v>
      </c>
      <c r="I38" s="195">
        <v>-1.7000000000000001E-2</v>
      </c>
      <c r="J38" s="3">
        <f>IF(ISBLANK(H38),"-",H38-I38)</f>
        <v>-2.8999999999999998E-2</v>
      </c>
      <c r="K38" s="195">
        <v>-1.7000000000000001E-2</v>
      </c>
      <c r="L38" s="195">
        <v>5.8000000000000003E-2</v>
      </c>
      <c r="M38" s="3">
        <f>IF(ISBLANK(K38),"-",K38-L38)</f>
        <v>-7.5000000000000011E-2</v>
      </c>
      <c r="N38" s="195">
        <v>5.8000000000000003E-2</v>
      </c>
      <c r="O38" s="195">
        <v>5.2999999999999999E-2</v>
      </c>
      <c r="P38" s="3">
        <f>IF(ISBLANK(N38),"-",N38-O38)</f>
        <v>5.0000000000000044E-3</v>
      </c>
      <c r="Q38" s="195">
        <v>-6.4000000000000001E-2</v>
      </c>
      <c r="R38" s="195">
        <v>0.10299999999999999</v>
      </c>
      <c r="S38" s="3">
        <f>IF(ISBLANK(Q38),"-",Q38-R38)</f>
        <v>-0.16699999999999998</v>
      </c>
      <c r="T38" s="195">
        <v>0.104</v>
      </c>
      <c r="U38" s="195">
        <v>-0.156</v>
      </c>
      <c r="V38" s="3">
        <f>IF(ISBLANK(T38),"-",T38-U38)</f>
        <v>0.26</v>
      </c>
      <c r="W38" s="195">
        <v>9.6000000000000002E-2</v>
      </c>
      <c r="X38" s="195">
        <v>8.0000000000000002E-3</v>
      </c>
      <c r="Y38" s="3">
        <f>IF(ISBLANK(W38),"-",W38-X38)</f>
        <v>8.7999999999999995E-2</v>
      </c>
      <c r="Z38" s="195">
        <v>7.0000000000000001E-3</v>
      </c>
      <c r="AA38" s="195">
        <v>-5.6000000000000001E-2</v>
      </c>
      <c r="AB38" s="3">
        <f>IF(ISBLANK(Z38),"-",Z38-AA38)</f>
        <v>6.3E-2</v>
      </c>
      <c r="AC38" s="195">
        <v>-5.6000000000000001E-2</v>
      </c>
      <c r="AD38" s="195">
        <v>2.4E-2</v>
      </c>
      <c r="AE38" s="3">
        <f>IF(ISBLANK(AC38),"-",AC38-AD38)</f>
        <v>-0.08</v>
      </c>
      <c r="AF38" s="195">
        <v>2.5999999999999999E-2</v>
      </c>
      <c r="AG38" s="195">
        <v>-5.1999999999999998E-2</v>
      </c>
      <c r="AH38" s="3">
        <f>IF(ISBLANK(AF38),"-",AF38-AG38)</f>
        <v>7.8E-2</v>
      </c>
      <c r="AI38" s="195">
        <v>-5.2999999999999999E-2</v>
      </c>
      <c r="AJ38" s="197">
        <v>0.26400000000000001</v>
      </c>
      <c r="AK38" s="3">
        <f>IF(ISBLANK(AI38),"-",AI38-AJ38)</f>
        <v>-0.317</v>
      </c>
      <c r="AL38" s="195">
        <v>-0.13800000000000001</v>
      </c>
      <c r="AM38" s="195">
        <v>-1.9E-2</v>
      </c>
      <c r="AN38" s="3">
        <f>IF(ISBLANK(AL38),"-",AL38-AM38)</f>
        <v>-0.11900000000000001</v>
      </c>
      <c r="AO38" s="196"/>
      <c r="AP38" s="196"/>
      <c r="AQ38" s="3" t="str">
        <f>IF(ISBLANK(AO38),"-",AO38-AP38)</f>
        <v>-</v>
      </c>
      <c r="AR38" s="195">
        <v>-2E-3</v>
      </c>
      <c r="AS38" s="195">
        <v>0.159</v>
      </c>
      <c r="AT38" s="3">
        <f>IF(ISBLANK(AR38),"-",AR38-AS38)</f>
        <v>-0.161</v>
      </c>
    </row>
    <row r="39" spans="1:46" x14ac:dyDescent="0.25">
      <c r="A39" s="192"/>
      <c r="B39" s="191"/>
      <c r="C39" s="191"/>
      <c r="D39" s="193"/>
      <c r="E39" s="191"/>
      <c r="F39" s="191"/>
      <c r="G39" s="193"/>
      <c r="H39" s="191"/>
      <c r="I39" s="191"/>
      <c r="J39" s="193"/>
      <c r="K39" s="191"/>
      <c r="L39" s="191"/>
      <c r="M39" s="193"/>
      <c r="N39" s="191"/>
      <c r="O39" s="191"/>
      <c r="P39" s="193"/>
      <c r="Q39" s="191"/>
      <c r="R39" s="191"/>
      <c r="S39" s="193"/>
      <c r="T39" s="191"/>
      <c r="U39" s="191"/>
      <c r="V39" s="193"/>
      <c r="W39" s="191"/>
      <c r="X39" s="191"/>
      <c r="Y39" s="193"/>
      <c r="Z39" s="191"/>
      <c r="AA39" s="191"/>
      <c r="AB39" s="193"/>
      <c r="AC39" s="191"/>
      <c r="AD39" s="191"/>
      <c r="AE39" s="193"/>
      <c r="AF39" s="191"/>
      <c r="AG39" s="191"/>
      <c r="AH39" s="193"/>
      <c r="AI39" s="191"/>
      <c r="AJ39" s="191"/>
      <c r="AK39" s="193"/>
      <c r="AL39" s="191"/>
      <c r="AM39" s="191"/>
      <c r="AN39" s="193"/>
      <c r="AO39" s="191"/>
      <c r="AP39" s="191"/>
      <c r="AQ39" s="193"/>
      <c r="AR39" s="191"/>
      <c r="AS39" s="191"/>
      <c r="AT39" s="193"/>
    </row>
    <row r="40" spans="1:46" x14ac:dyDescent="0.25">
      <c r="A40" s="2" t="s">
        <v>83</v>
      </c>
      <c r="B40" s="320" t="str">
        <f>IF(AND(D41="-",D42="-"),
    "",
    IF(
        (SUM(IF(D41="-", 0, IF(D41&lt;0, -2, IF(D41&gt;0, 2, 0))), IF(D42="-", 0, IF(D42&lt;0, -2, IF(D42&gt;0, 2, 0)))) / 4) &gt; 0.1,
        "BULLISH",
        IF(
            (SUM(IF(D41="-", 0, IF(D41&lt;0, -2, IF(D41&gt;0, 2, 0))), IF(D42="-", 0, IF(D42&lt;0, -2, IF(D42&gt;0, 2, 0)))) / 4) &lt; -0.1,
            "BEARISH",
            "NEUTRO"
        )
    )
)</f>
        <v/>
      </c>
      <c r="C40" s="321"/>
      <c r="D40" s="319"/>
      <c r="E40" s="320" t="str">
        <f>IF(AND(G41="-",G42="-"),
    "",
    IF(
        (SUM(IF(G41="-", 0, IF(G41&lt;0, -2, IF(G41&gt;0, 2, 0))), IF(G42="-", 0, IF(G42&lt;0, -2, IF(G42&gt;0, 2, 0)))) / 4) &gt; 0.1,
        "BULLISH",
        IF(
            (SUM(IF(G41="-", 0, IF(G41&lt;0, -2, IF(G41&gt;0, 2, 0))), IF(G42="-", 0, IF(G42&lt;0, -2, IF(G42&gt;0, 2, 0)))) / 4) &lt; -0.1,
            "BEARISH",
            "NEUTRO"
        )
    )
)</f>
        <v/>
      </c>
      <c r="F40" s="321"/>
      <c r="G40" s="319"/>
      <c r="H40" s="320" t="str">
        <f>IF(AND(J41="-",J42="-"),
    "",
    IF(
        (SUM(IF(J41="-", 0, IF(J41&lt;0, -2, IF(J41&gt;0, 2, 0))), IF(J42="-", 0, IF(J42&lt;0, -2, IF(J42&gt;0, 2, 0)))) / 4) &gt; 0.1,
        "BULLISH",
        IF(
            (SUM(IF(J41="-", 0, IF(J41&lt;0, -2, IF(J41&gt;0, 2, 0))), IF(J42="-", 0, IF(J42&lt;0, -2, IF(J42&gt;0, 2, 0)))) / 4) &lt; -0.1,
            "BEARISH",
            "NEUTRO"
        )
    )
)</f>
        <v/>
      </c>
      <c r="I40" s="321"/>
      <c r="J40" s="319"/>
      <c r="K40" s="320" t="str">
        <f>IF(AND(M41="-",M42="-"),
    "",
    IF(
        (SUM(IF(M41="-", 0, IF(M41&lt;0, -2, IF(M41&gt;0, 2, 0))), IF(M42="-", 0, IF(M42&lt;0, -2, IF(M42&gt;0, 2, 0)))) / 4) &gt; 0.1,
        "BULLISH",
        IF(
            (SUM(IF(M41="-", 0, IF(M41&lt;0, -2, IF(M41&gt;0, 2, 0))), IF(M42="-", 0, IF(M42&lt;0, -2, IF(M42&gt;0, 2, 0)))) / 4) &lt; -0.1,
            "BEARISH",
            "NEUTRO"
        )
    )
)</f>
        <v/>
      </c>
      <c r="L40" s="321"/>
      <c r="M40" s="319"/>
      <c r="N40" s="320" t="str">
        <f>IF(AND(P41="-",P42="-"),
    "",
    IF(
        (SUM(IF(P41="-", 0, IF(P41&lt;0, -2, IF(P41&gt;0, 2, 0))), IF(P42="-", 0, IF(P42&lt;0, -2, IF(P42&gt;0, 2, 0)))) / 4) &gt; 0.1,
        "BULLISH",
        IF(
            (SUM(IF(P41="-", 0, IF(P41&lt;0, -2, IF(P41&gt;0, 2, 0))), IF(P42="-", 0, IF(P42&lt;0, -2, IF(P42&gt;0, 2, 0)))) / 4) &lt; -0.1,
            "BEARISH",
            "NEUTRO"
        )
    )
)</f>
        <v/>
      </c>
      <c r="O40" s="321"/>
      <c r="P40" s="319"/>
      <c r="Q40" s="320" t="str">
        <f>IF(AND(S41="-",S42="-"),
    "",
    IF(
        (SUM(IF(S41="-", 0, IF(S41&lt;0, -2, IF(S41&gt;0, 2, 0))), IF(S42="-", 0, IF(S42&lt;0, -2, IF(S42&gt;0, 2, 0)))) / 4) &gt; 0.1,
        "BULLISH",
        IF(
            (SUM(IF(S41="-", 0, IF(S41&lt;0, -2, IF(S41&gt;0, 2, 0))), IF(S42="-", 0, IF(S42&lt;0, -2, IF(S42&gt;0, 2, 0)))) / 4) &lt; -0.1,
            "BEARISH",
            "NEUTRO"
        )
    )
)</f>
        <v/>
      </c>
      <c r="R40" s="321"/>
      <c r="S40" s="319"/>
      <c r="T40" s="320" t="str">
        <f>IF(AND(V41="-",V42="-"),
    "",
    IF(
        (SUM(IF(V41="-", 0, IF(V41&lt;0, -2, IF(V41&gt;0, 2, 0))), IF(V42="-", 0, IF(V42&lt;0, -2, IF(V42&gt;0, 2, 0)))) / 4) &gt; 0.1,
        "BULLISH",
        IF(
            (SUM(IF(V41="-", 0, IF(V41&lt;0, -2, IF(V41&gt;0, 2, 0))), IF(V42="-", 0, IF(V42&lt;0, -2, IF(V42&gt;0, 2, 0)))) / 4) &lt; -0.1,
            "BEARISH",
            "NEUTRO"
        )
    )
)</f>
        <v/>
      </c>
      <c r="U40" s="321"/>
      <c r="V40" s="319"/>
      <c r="W40" s="320" t="str">
        <f>IF(AND(Y41="-",Y42="-"),
    "",
    IF(
        (SUM(IF(Y41="-", 0, IF(Y41&lt;0, -2, IF(Y41&gt;0, 2, 0))), IF(Y42="-", 0, IF(Y42&lt;0, -2, IF(Y42&gt;0, 2, 0)))) / 4) &gt; 0.1,
        "BULLISH",
        IF(
            (SUM(IF(Y41="-", 0, IF(Y41&lt;0, -2, IF(Y41&gt;0, 2, 0))), IF(Y42="-", 0, IF(Y42&lt;0, -2, IF(Y42&gt;0, 2, 0)))) / 4) &lt; -0.1,
            "BEARISH",
            "NEUTRO"
        )
    )
)</f>
        <v/>
      </c>
      <c r="X40" s="321"/>
      <c r="Y40" s="319"/>
      <c r="Z40" s="320" t="str">
        <f>IF(AND(AB41="-",AB42="-"),
    "",
    IF(
        (SUM(IF(AB41="-", 0, IF(AB41&lt;0, -2, IF(AB41&gt;0, 2, 0))), IF(AB42="-", 0, IF(AB42&lt;0, -2, IF(AB42&gt;0, 2, 0)))) / 4) &gt; 0.1,
        "BULLISH",
        IF(
            (SUM(IF(AB41="-", 0, IF(AB41&lt;0, -2, IF(AB41&gt;0, 2, 0))), IF(AB42="-", 0, IF(AB42&lt;0, -2, IF(AB42&gt;0, 2, 0)))) / 4) &lt; -0.1,
            "BEARISH",
            "NEUTRO"
        )
    )
)</f>
        <v/>
      </c>
      <c r="AA40" s="321"/>
      <c r="AB40" s="319"/>
      <c r="AC40" s="320" t="str">
        <f>IF(AND(AE41="-",AE42="-"),
    "",
    IF(
        (SUM(IF(AE41="-", 0, IF(AE41&lt;0, -2, IF(AE41&gt;0, 2, 0))), IF(AE42="-", 0, IF(AE42&lt;0, -2, IF(AE42&gt;0, 2, 0)))) / 4) &gt; 0.1,
        "BULLISH",
        IF(
            (SUM(IF(AE41="-", 0, IF(AE41&lt;0, -2, IF(AE41&gt;0, 2, 0))), IF(AE42="-", 0, IF(AE42&lt;0, -2, IF(AE42&gt;0, 2, 0)))) / 4) &lt; -0.1,
            "BEARISH",
            "NEUTRO"
        )
    )
)</f>
        <v/>
      </c>
      <c r="AD40" s="321"/>
      <c r="AE40" s="319"/>
      <c r="AF40" s="320" t="str">
        <f>IF(AND(AH41="-",AH42="-"),
    "",
    IF(
        (SUM(IF(AH41="-", 0, IF(AH41&lt;0, -2, IF(AH41&gt;0, 2, 0))), IF(AH42="-", 0, IF(AH42&lt;0, -2, IF(AH42&gt;0, 2, 0)))) / 4) &gt; 0.1,
        "BULLISH",
        IF(
            (SUM(IF(AH41="-", 0, IF(AH41&lt;0, -2, IF(AH41&gt;0, 2, 0))), IF(AH42="-", 0, IF(AH42&lt;0, -2, IF(AH42&gt;0, 2, 0)))) / 4) &lt; -0.1,
            "BEARISH",
            "NEUTRO"
        )
    )
)</f>
        <v/>
      </c>
      <c r="AG40" s="321"/>
      <c r="AH40" s="319"/>
      <c r="AI40" s="320" t="str">
        <f>IF(AND(AK41="-",AK42="-"),
    "",
    IF(
        (SUM(IF(AK41="-", 0, IF(AK41&lt;0, -2, IF(AK41&gt;0, 2, 0))), IF(AK42="-", 0, IF(AK42&lt;0, -2, IF(AK42&gt;0, 2, 0)))) / 4) &gt; 0.1,
        "BULLISH",
        IF(
            (SUM(IF(AK41="-", 0, IF(AK41&lt;0, -2, IF(AK41&gt;0, 2, 0))), IF(AK42="-", 0, IF(AK42&lt;0, -2, IF(AK42&gt;0, 2, 0)))) / 4) &lt; -0.1,
            "BEARISH",
            "NEUTRO"
        )
    )
)</f>
        <v/>
      </c>
      <c r="AJ40" s="321"/>
      <c r="AK40" s="319"/>
      <c r="AL40" s="320" t="str">
        <f>IF(AND(AN41="-",AN42="-"),
    "",
    IF(
        (SUM(IF(AN41="-", 0, IF(AN41&lt;0, -2, IF(AN41&gt;0, 2, 0))), IF(AN42="-", 0, IF(AN42&lt;0, -2, IF(AN42&gt;0, 2, 0)))) / 4) &gt; 0.1,
        "BULLISH",
        IF(
            (SUM(IF(AN41="-", 0, IF(AN41&lt;0, -2, IF(AN41&gt;0, 2, 0))), IF(AN42="-", 0, IF(AN42&lt;0, -2, IF(AN42&gt;0, 2, 0)))) / 4) &lt; -0.1,
            "BEARISH",
            "NEUTRO"
        )
    )
)</f>
        <v/>
      </c>
      <c r="AM40" s="321"/>
      <c r="AN40" s="319"/>
      <c r="AO40" s="320" t="str">
        <f>IF(AND(AQ41="-",AQ42="-"),
    "",
    IF(
        (SUM(IF(AQ41="-", 0, IF(AQ41&lt;0, -2, IF(AQ41&gt;0, 2, 0))), IF(AQ42="-", 0, IF(AQ42&lt;0, -2, IF(AQ42&gt;0, 2, 0)))) / 4) &gt; 0.1,
        "BULLISH",
        IF(
            (SUM(IF(AQ41="-", 0, IF(AQ41&lt;0, -2, IF(AQ41&gt;0, 2, 0))), IF(AQ42="-", 0, IF(AQ42&lt;0, -2, IF(AQ42&gt;0, 2, 0)))) / 4) &lt; -0.1,
            "BEARISH",
            "NEUTRO"
        )
    )
)</f>
        <v/>
      </c>
      <c r="AP40" s="321"/>
      <c r="AQ40" s="319"/>
      <c r="AR40" s="320" t="str">
        <f>IF(AND(AT41="-",AT42="-"),
    "",
    IF(
        (SUM(IF(AT41="-", 0, IF(AT41&lt;0, -2, IF(AT41&gt;0, 2, 0))), IF(AT42="-", 0, IF(AT42&lt;0, -2, IF(AT42&gt;0, 2, 0)))) / 4) &gt; 0.1,
        "BULLISH",
        IF(
            (SUM(IF(AT41="-", 0, IF(AT41&lt;0, -2, IF(AT41&gt;0, 2, 0))), IF(AT42="-", 0, IF(AT42&lt;0, -2, IF(AT42&gt;0, 2, 0)))) / 4) &lt; -0.1,
            "BEARISH",
            "NEUTRO"
        )
    )
)</f>
        <v/>
      </c>
      <c r="AS40" s="321"/>
      <c r="AT40" s="319"/>
    </row>
    <row r="41" spans="1:46" x14ac:dyDescent="0.25">
      <c r="A41" s="194" t="s">
        <v>283</v>
      </c>
      <c r="B41" s="196"/>
      <c r="C41" s="196"/>
      <c r="D41" s="62" t="str">
        <f>IF(ISBLANK(B41),"-",B41-C41)</f>
        <v>-</v>
      </c>
      <c r="E41" s="196"/>
      <c r="F41" s="196"/>
      <c r="G41" s="62" t="str">
        <f>IF(ISBLANK(E41),"-",E41-F41)</f>
        <v>-</v>
      </c>
      <c r="H41" s="196"/>
      <c r="I41" s="196"/>
      <c r="J41" s="62" t="str">
        <f>IF(ISBLANK(H41),"-",H41-I41)</f>
        <v>-</v>
      </c>
      <c r="K41" s="196"/>
      <c r="L41" s="196"/>
      <c r="M41" s="62" t="str">
        <f>IF(ISBLANK(K41),"-",K41-L41)</f>
        <v>-</v>
      </c>
      <c r="N41" s="196"/>
      <c r="O41" s="196"/>
      <c r="P41" s="62" t="str">
        <f>IF(ISBLANK(N41),"-",N41-O41)</f>
        <v>-</v>
      </c>
      <c r="Q41" s="196"/>
      <c r="R41" s="196"/>
      <c r="S41" s="62" t="str">
        <f>IF(ISBLANK(Q41),"-",Q41-R41)</f>
        <v>-</v>
      </c>
      <c r="T41" s="196"/>
      <c r="U41" s="196"/>
      <c r="V41" s="62" t="str">
        <f>IF(ISBLANK(T41),"-",T41-U41)</f>
        <v>-</v>
      </c>
      <c r="W41" s="196"/>
      <c r="X41" s="196"/>
      <c r="Y41" s="62" t="str">
        <f>IF(ISBLANK(W41),"-",W41-X41)</f>
        <v>-</v>
      </c>
      <c r="Z41" s="196"/>
      <c r="AA41" s="196"/>
      <c r="AB41" s="62" t="str">
        <f>IF(ISBLANK(Z41),"-",Z41-AA41)</f>
        <v>-</v>
      </c>
      <c r="AC41" s="196"/>
      <c r="AD41" s="196"/>
      <c r="AE41" s="62" t="str">
        <f>IF(ISBLANK(AC41),"-",AC41-AD41)</f>
        <v>-</v>
      </c>
      <c r="AF41" s="196"/>
      <c r="AG41" s="196"/>
      <c r="AH41" s="62" t="str">
        <f>IF(ISBLANK(AF41),"-",AF41-AG41)</f>
        <v>-</v>
      </c>
      <c r="AI41" s="196"/>
      <c r="AJ41" s="196"/>
      <c r="AK41" s="62" t="str">
        <f>IF(ISBLANK(AI41),"-",AI41-AJ41)</f>
        <v>-</v>
      </c>
      <c r="AL41" s="196"/>
      <c r="AM41" s="196"/>
      <c r="AN41" s="62" t="str">
        <f>IF(ISBLANK(AL41),"-",AL41-AM41)</f>
        <v>-</v>
      </c>
      <c r="AO41" s="196"/>
      <c r="AP41" s="205"/>
      <c r="AQ41" s="62" t="str">
        <f>IF(ISBLANK(AO41),"-",AO41-AP41)</f>
        <v>-</v>
      </c>
      <c r="AR41" s="205"/>
      <c r="AS41" s="199"/>
      <c r="AT41" s="62" t="str">
        <f>IF(ISBLANK(AR41),"-",AR41-AS41)</f>
        <v>-</v>
      </c>
    </row>
    <row r="42" spans="1:46" x14ac:dyDescent="0.25">
      <c r="A42" s="206" t="s">
        <v>284</v>
      </c>
      <c r="B42" s="196"/>
      <c r="C42" s="196"/>
      <c r="D42" s="78" t="str">
        <f>IF(ISBLANK(B42),"-",B42-C42)</f>
        <v>-</v>
      </c>
      <c r="E42" s="196"/>
      <c r="F42" s="196"/>
      <c r="G42" s="78" t="str">
        <f>IF(ISBLANK(E42),"-",E42-F42)</f>
        <v>-</v>
      </c>
      <c r="H42" s="196"/>
      <c r="I42" s="196"/>
      <c r="J42" s="78" t="str">
        <f>IF(ISBLANK(H42),"-",H42-I42)</f>
        <v>-</v>
      </c>
      <c r="K42" s="196"/>
      <c r="L42" s="196"/>
      <c r="M42" s="78" t="str">
        <f>IF(ISBLANK(K42),"-",K42-L42)</f>
        <v>-</v>
      </c>
      <c r="N42" s="196"/>
      <c r="O42" s="196"/>
      <c r="P42" s="78" t="str">
        <f>IF(ISBLANK(N42),"-",N42-O42)</f>
        <v>-</v>
      </c>
      <c r="Q42" s="196"/>
      <c r="R42" s="196"/>
      <c r="S42" s="78" t="str">
        <f>IF(ISBLANK(Q42),"-",Q42-R42)</f>
        <v>-</v>
      </c>
      <c r="T42" s="196"/>
      <c r="U42" s="196"/>
      <c r="V42" s="78" t="str">
        <f>IF(ISBLANK(T42),"-",T42-U42)</f>
        <v>-</v>
      </c>
      <c r="W42" s="196"/>
      <c r="X42" s="196"/>
      <c r="Y42" s="78" t="str">
        <f>IF(ISBLANK(W42),"-",W42-X42)</f>
        <v>-</v>
      </c>
      <c r="Z42" s="196"/>
      <c r="AA42" s="196"/>
      <c r="AB42" s="78" t="str">
        <f>IF(ISBLANK(Z42),"-",Z42-AA42)</f>
        <v>-</v>
      </c>
      <c r="AC42" s="196"/>
      <c r="AD42" s="196"/>
      <c r="AE42" s="78" t="str">
        <f>IF(ISBLANK(AC42),"-",AC42-AD42)</f>
        <v>-</v>
      </c>
      <c r="AF42" s="196"/>
      <c r="AG42" s="196"/>
      <c r="AH42" s="78" t="str">
        <f>IF(ISBLANK(AF42),"-",AF42-AG42)</f>
        <v>-</v>
      </c>
      <c r="AI42" s="196"/>
      <c r="AJ42" s="196"/>
      <c r="AK42" s="78" t="str">
        <f>IF(ISBLANK(AI42),"-",AI42-AJ42)</f>
        <v>-</v>
      </c>
      <c r="AL42" s="196"/>
      <c r="AM42" s="196"/>
      <c r="AN42" s="78" t="str">
        <f>IF(ISBLANK(AL42),"-",AL42-AM42)</f>
        <v>-</v>
      </c>
      <c r="AO42" s="196"/>
      <c r="AP42" s="207"/>
      <c r="AQ42" s="78" t="str">
        <f>IF(ISBLANK(AO42),"-",AO42-AP42)</f>
        <v>-</v>
      </c>
      <c r="AR42" s="207"/>
      <c r="AS42" s="208"/>
      <c r="AT42" s="78" t="str">
        <f>IF(ISBLANK(AR42),"-",AR42-AS42)</f>
        <v>-</v>
      </c>
    </row>
  </sheetData>
  <mergeCells count="120">
    <mergeCell ref="E2:G2"/>
    <mergeCell ref="E10:G10"/>
    <mergeCell ref="E13:G13"/>
    <mergeCell ref="E18:G18"/>
    <mergeCell ref="E24:G24"/>
    <mergeCell ref="E37:G37"/>
    <mergeCell ref="E40:G40"/>
    <mergeCell ref="E1:F1"/>
    <mergeCell ref="B2:D2"/>
    <mergeCell ref="B10:D10"/>
    <mergeCell ref="B13:D13"/>
    <mergeCell ref="B18:D18"/>
    <mergeCell ref="B24:D24"/>
    <mergeCell ref="B37:D37"/>
    <mergeCell ref="B40:D40"/>
    <mergeCell ref="B1:C1"/>
    <mergeCell ref="H2:J2"/>
    <mergeCell ref="H10:J10"/>
    <mergeCell ref="H13:J13"/>
    <mergeCell ref="H18:J18"/>
    <mergeCell ref="H24:J24"/>
    <mergeCell ref="H37:J37"/>
    <mergeCell ref="H40:J40"/>
    <mergeCell ref="H1:I1"/>
    <mergeCell ref="K37:M37"/>
    <mergeCell ref="K40:M40"/>
    <mergeCell ref="K1:L1"/>
    <mergeCell ref="K2:M2"/>
    <mergeCell ref="K10:M10"/>
    <mergeCell ref="K13:M13"/>
    <mergeCell ref="K18:M18"/>
    <mergeCell ref="K24:M24"/>
    <mergeCell ref="AR37:AT37"/>
    <mergeCell ref="W40:Y40"/>
    <mergeCell ref="Z40:AB40"/>
    <mergeCell ref="AC40:AE40"/>
    <mergeCell ref="AF40:AH40"/>
    <mergeCell ref="AI40:AK40"/>
    <mergeCell ref="AL40:AN40"/>
    <mergeCell ref="AO40:AQ40"/>
    <mergeCell ref="AR40:AT40"/>
    <mergeCell ref="W37:Y37"/>
    <mergeCell ref="Z37:AB37"/>
    <mergeCell ref="AC37:AE37"/>
    <mergeCell ref="AF37:AH37"/>
    <mergeCell ref="AI37:AK37"/>
    <mergeCell ref="AL37:AN37"/>
    <mergeCell ref="AL24:AN24"/>
    <mergeCell ref="AO24:AQ24"/>
    <mergeCell ref="AR24:AT24"/>
    <mergeCell ref="W18:Y18"/>
    <mergeCell ref="Z18:AB18"/>
    <mergeCell ref="AC18:AE18"/>
    <mergeCell ref="AF18:AH18"/>
    <mergeCell ref="AI18:AK18"/>
    <mergeCell ref="AL18:AN18"/>
    <mergeCell ref="AR18:AT18"/>
    <mergeCell ref="W24:Y24"/>
    <mergeCell ref="Z24:AB24"/>
    <mergeCell ref="AC24:AE24"/>
    <mergeCell ref="AF24:AH24"/>
    <mergeCell ref="AI24:AK24"/>
    <mergeCell ref="AI13:AK13"/>
    <mergeCell ref="AL13:AN13"/>
    <mergeCell ref="AO13:AQ13"/>
    <mergeCell ref="AR13:AT13"/>
    <mergeCell ref="W10:Y10"/>
    <mergeCell ref="Z10:AB10"/>
    <mergeCell ref="AC10:AE10"/>
    <mergeCell ref="AF10:AH10"/>
    <mergeCell ref="AI10:AK10"/>
    <mergeCell ref="AL10:AN10"/>
    <mergeCell ref="AO1:AP1"/>
    <mergeCell ref="AO10:AQ10"/>
    <mergeCell ref="AO18:AQ18"/>
    <mergeCell ref="AO37:AQ37"/>
    <mergeCell ref="AR1:AS1"/>
    <mergeCell ref="W2:Y2"/>
    <mergeCell ref="Z2:AB2"/>
    <mergeCell ref="AC2:AE2"/>
    <mergeCell ref="AF2:AH2"/>
    <mergeCell ref="AI2:AK2"/>
    <mergeCell ref="AL2:AN2"/>
    <mergeCell ref="AO2:AQ2"/>
    <mergeCell ref="AR2:AT2"/>
    <mergeCell ref="W1:X1"/>
    <mergeCell ref="Z1:AA1"/>
    <mergeCell ref="AC1:AD1"/>
    <mergeCell ref="AF1:AG1"/>
    <mergeCell ref="AI1:AJ1"/>
    <mergeCell ref="AL1:AM1"/>
    <mergeCell ref="AR10:AT10"/>
    <mergeCell ref="W13:Y13"/>
    <mergeCell ref="Z13:AB13"/>
    <mergeCell ref="AC13:AE13"/>
    <mergeCell ref="AF13:AH13"/>
    <mergeCell ref="T40:V40"/>
    <mergeCell ref="T2:V2"/>
    <mergeCell ref="T10:V10"/>
    <mergeCell ref="T13:V13"/>
    <mergeCell ref="T18:V18"/>
    <mergeCell ref="T24:V24"/>
    <mergeCell ref="T37:V37"/>
    <mergeCell ref="Q1:R1"/>
    <mergeCell ref="N2:P2"/>
    <mergeCell ref="N10:P10"/>
    <mergeCell ref="N13:P13"/>
    <mergeCell ref="N18:P18"/>
    <mergeCell ref="N24:P24"/>
    <mergeCell ref="T1:U1"/>
    <mergeCell ref="Q2:S2"/>
    <mergeCell ref="Q10:S10"/>
    <mergeCell ref="Q13:S13"/>
    <mergeCell ref="Q18:S18"/>
    <mergeCell ref="Q24:S24"/>
    <mergeCell ref="Q37:S37"/>
    <mergeCell ref="Q40:S40"/>
    <mergeCell ref="N37:P37"/>
    <mergeCell ref="N40:P40"/>
    <mergeCell ref="N1:O1"/>
  </mergeCells>
  <conditionalFormatting sqref="A2">
    <cfRule type="containsBlanks" dxfId="1096" priority="1351">
      <formula>LEN(TRIM(A2))=0</formula>
    </cfRule>
    <cfRule type="containsText" dxfId="1095" priority="1352" operator="containsText" text="NEUTRO">
      <formula>NOT(ISERROR(SEARCH("NEUTRO",A2)))</formula>
    </cfRule>
    <cfRule type="containsText" dxfId="1094" priority="1353" operator="containsText" text="BULLISH">
      <formula>NOT(ISERROR(SEARCH("BULLISH",A2)))</formula>
    </cfRule>
    <cfRule type="containsText" dxfId="1093" priority="1354" operator="containsText" text="BEARISH">
      <formula>NOT(ISERROR(SEARCH("BEARISH",A2)))</formula>
    </cfRule>
  </conditionalFormatting>
  <conditionalFormatting sqref="A10">
    <cfRule type="containsBlanks" dxfId="1092" priority="1347">
      <formula>LEN(TRIM(A10))=0</formula>
    </cfRule>
    <cfRule type="containsText" dxfId="1091" priority="1348" operator="containsText" text="NEUTRO">
      <formula>NOT(ISERROR(SEARCH("NEUTRO",A10)))</formula>
    </cfRule>
    <cfRule type="containsText" dxfId="1090" priority="1349" operator="containsText" text="BULLISH">
      <formula>NOT(ISERROR(SEARCH("BULLISH",A10)))</formula>
    </cfRule>
    <cfRule type="containsText" dxfId="1089" priority="1350" operator="containsText" text="BEARISH">
      <formula>NOT(ISERROR(SEARCH("BEARISH",A10)))</formula>
    </cfRule>
  </conditionalFormatting>
  <conditionalFormatting sqref="A13">
    <cfRule type="containsBlanks" dxfId="1088" priority="1343">
      <formula>LEN(TRIM(A13))=0</formula>
    </cfRule>
    <cfRule type="containsText" dxfId="1087" priority="1344" operator="containsText" text="NEUTRO">
      <formula>NOT(ISERROR(SEARCH("NEUTRO",A13)))</formula>
    </cfRule>
    <cfRule type="containsText" dxfId="1086" priority="1345" operator="containsText" text="BULLISH">
      <formula>NOT(ISERROR(SEARCH("BULLISH",A13)))</formula>
    </cfRule>
    <cfRule type="containsText" dxfId="1085" priority="1346" operator="containsText" text="BEARISH">
      <formula>NOT(ISERROR(SEARCH("BEARISH",A13)))</formula>
    </cfRule>
  </conditionalFormatting>
  <conditionalFormatting sqref="A18">
    <cfRule type="containsBlanks" dxfId="1084" priority="1339">
      <formula>LEN(TRIM(A18))=0</formula>
    </cfRule>
    <cfRule type="containsText" dxfId="1083" priority="1340" operator="containsText" text="NEUTRO">
      <formula>NOT(ISERROR(SEARCH("NEUTRO",A18)))</formula>
    </cfRule>
    <cfRule type="containsText" dxfId="1082" priority="1341" operator="containsText" text="BULLISH">
      <formula>NOT(ISERROR(SEARCH("BULLISH",A18)))</formula>
    </cfRule>
    <cfRule type="containsText" dxfId="1081" priority="1342" operator="containsText" text="BEARISH">
      <formula>NOT(ISERROR(SEARCH("BEARISH",A18)))</formula>
    </cfRule>
  </conditionalFormatting>
  <conditionalFormatting sqref="A24">
    <cfRule type="containsBlanks" dxfId="1080" priority="1335">
      <formula>LEN(TRIM(A24))=0</formula>
    </cfRule>
    <cfRule type="containsText" dxfId="1079" priority="1336" operator="containsText" text="NEUTRO">
      <formula>NOT(ISERROR(SEARCH("NEUTRO",A24)))</formula>
    </cfRule>
    <cfRule type="containsText" dxfId="1078" priority="1337" operator="containsText" text="BULLISH">
      <formula>NOT(ISERROR(SEARCH("BULLISH",A24)))</formula>
    </cfRule>
    <cfRule type="containsText" dxfId="1077" priority="1338" operator="containsText" text="BEARISH">
      <formula>NOT(ISERROR(SEARCH("BEARISH",A24)))</formula>
    </cfRule>
  </conditionalFormatting>
  <conditionalFormatting sqref="A37">
    <cfRule type="containsBlanks" dxfId="1076" priority="1331">
      <formula>LEN(TRIM(A37))=0</formula>
    </cfRule>
    <cfRule type="containsText" dxfId="1075" priority="1332" operator="containsText" text="NEUTRO">
      <formula>NOT(ISERROR(SEARCH("NEUTRO",A37)))</formula>
    </cfRule>
    <cfRule type="containsText" dxfId="1074" priority="1333" operator="containsText" text="BULLISH">
      <formula>NOT(ISERROR(SEARCH("BULLISH",A37)))</formula>
    </cfRule>
    <cfRule type="containsText" dxfId="1073" priority="1334" operator="containsText" text="BEARISH">
      <formula>NOT(ISERROR(SEARCH("BEARISH",A37)))</formula>
    </cfRule>
  </conditionalFormatting>
  <conditionalFormatting sqref="A40">
    <cfRule type="containsBlanks" dxfId="1072" priority="1327">
      <formula>LEN(TRIM(A40))=0</formula>
    </cfRule>
    <cfRule type="containsText" dxfId="1071" priority="1328" operator="containsText" text="NEUTRO">
      <formula>NOT(ISERROR(SEARCH("NEUTRO",A40)))</formula>
    </cfRule>
    <cfRule type="containsText" dxfId="1070" priority="1329" operator="containsText" text="BULLISH">
      <formula>NOT(ISERROR(SEARCH("BULLISH",A40)))</formula>
    </cfRule>
    <cfRule type="containsText" dxfId="1069" priority="1330" operator="containsText" text="BEARISH">
      <formula>NOT(ISERROR(SEARCH("BEARISH",A40)))</formula>
    </cfRule>
  </conditionalFormatting>
  <conditionalFormatting sqref="AT42">
    <cfRule type="cellIs" dxfId="1068" priority="1264" operator="equal">
      <formula>"-"</formula>
    </cfRule>
    <cfRule type="cellIs" dxfId="1067" priority="1265" operator="lessThan">
      <formula>0</formula>
    </cfRule>
    <cfRule type="cellIs" dxfId="1066" priority="1266" operator="greaterThan">
      <formula>0</formula>
    </cfRule>
  </conditionalFormatting>
  <conditionalFormatting sqref="AR2:AT2 AR10:AT10 AR13:AT13 AR18:AT18 AR37:AT37 B10:P10 B13:P13 B18:P18 B37:P37 B2:P2">
    <cfRule type="containsText" dxfId="1065" priority="1323" operator="containsText" text="NEUTRO">
      <formula>NOT(ISERROR(SEARCH("NEUTRO",B2)))</formula>
    </cfRule>
    <cfRule type="containsText" dxfId="1064" priority="1324" operator="containsText" text="BULLISH">
      <formula>NOT(ISERROR(SEARCH("BULLISH",B2)))</formula>
    </cfRule>
    <cfRule type="containsText" dxfId="1063" priority="1325" operator="containsText" text="BEARISH">
      <formula>NOT(ISERROR(SEARCH("BEARISH",B2)))</formula>
    </cfRule>
    <cfRule type="containsBlanks" dxfId="1062" priority="1326">
      <formula>LEN(TRIM(B2))=0</formula>
    </cfRule>
  </conditionalFormatting>
  <conditionalFormatting sqref="AT6:AT8">
    <cfRule type="cellIs" dxfId="1061" priority="1320" operator="equal">
      <formula>"-"</formula>
    </cfRule>
    <cfRule type="cellIs" dxfId="1060" priority="1321" operator="lessThan">
      <formula>0</formula>
    </cfRule>
    <cfRule type="cellIs" dxfId="1059" priority="1322" operator="greaterThan">
      <formula>0</formula>
    </cfRule>
  </conditionalFormatting>
  <conditionalFormatting sqref="AT22">
    <cfRule type="cellIs" dxfId="1058" priority="1318" operator="lessThan">
      <formula>0</formula>
    </cfRule>
    <cfRule type="cellIs" dxfId="1057" priority="1319" operator="greaterThan">
      <formula>0</formula>
    </cfRule>
  </conditionalFormatting>
  <conditionalFormatting sqref="AT22">
    <cfRule type="cellIs" dxfId="1056" priority="1317" operator="equal">
      <formula>"-"</formula>
    </cfRule>
  </conditionalFormatting>
  <conditionalFormatting sqref="AT30">
    <cfRule type="cellIs" dxfId="1055" priority="1314" operator="equal">
      <formula>"-"</formula>
    </cfRule>
    <cfRule type="cellIs" dxfId="1054" priority="1315" operator="lessThan">
      <formula>0</formula>
    </cfRule>
    <cfRule type="cellIs" dxfId="1053" priority="1316" operator="greaterThan">
      <formula>0</formula>
    </cfRule>
  </conditionalFormatting>
  <conditionalFormatting sqref="AT25:AT29">
    <cfRule type="cellIs" dxfId="1052" priority="1311" operator="equal">
      <formula>"-"</formula>
    </cfRule>
    <cfRule type="cellIs" dxfId="1051" priority="1312" operator="lessThan">
      <formula>0</formula>
    </cfRule>
    <cfRule type="cellIs" dxfId="1050" priority="1313" operator="greaterThan">
      <formula>0</formula>
    </cfRule>
  </conditionalFormatting>
  <conditionalFormatting sqref="AT31">
    <cfRule type="cellIs" dxfId="1049" priority="1308" operator="equal">
      <formula>"-"</formula>
    </cfRule>
    <cfRule type="cellIs" dxfId="1048" priority="1309" operator="lessThan">
      <formula>0</formula>
    </cfRule>
    <cfRule type="cellIs" dxfId="1047" priority="1310" operator="greaterThan">
      <formula>0</formula>
    </cfRule>
  </conditionalFormatting>
  <conditionalFormatting sqref="AT32:AT34">
    <cfRule type="cellIs" dxfId="1046" priority="1306" operator="lessThan">
      <formula>0</formula>
    </cfRule>
    <cfRule type="cellIs" dxfId="1045" priority="1307" operator="greaterThan">
      <formula>0</formula>
    </cfRule>
  </conditionalFormatting>
  <conditionalFormatting sqref="AT32:AT34">
    <cfRule type="cellIs" dxfId="1044" priority="1305" operator="equal">
      <formula>"-"</formula>
    </cfRule>
  </conditionalFormatting>
  <conditionalFormatting sqref="AT35">
    <cfRule type="cellIs" dxfId="1043" priority="1303" operator="lessThan">
      <formula>0</formula>
    </cfRule>
    <cfRule type="cellIs" dxfId="1042" priority="1304" operator="greaterThan">
      <formula>0</formula>
    </cfRule>
  </conditionalFormatting>
  <conditionalFormatting sqref="AT35">
    <cfRule type="cellIs" dxfId="1041" priority="1302" operator="equal">
      <formula>"-"</formula>
    </cfRule>
  </conditionalFormatting>
  <conditionalFormatting sqref="AR24">
    <cfRule type="containsText" dxfId="1040" priority="1298" operator="containsText" text="NEUTRO">
      <formula>NOT(ISERROR(SEARCH("NEUTRO",AR24)))</formula>
    </cfRule>
    <cfRule type="containsText" dxfId="1039" priority="1299" operator="containsText" text="BULLISH">
      <formula>NOT(ISERROR(SEARCH("BULLISH",AR24)))</formula>
    </cfRule>
    <cfRule type="containsText" dxfId="1038" priority="1300" operator="containsText" text="BEARISH">
      <formula>NOT(ISERROR(SEARCH("BEARISH",AR24)))</formula>
    </cfRule>
    <cfRule type="containsBlanks" dxfId="1037" priority="1301">
      <formula>LEN(TRIM(AR24))=0</formula>
    </cfRule>
  </conditionalFormatting>
  <conditionalFormatting sqref="AR40">
    <cfRule type="containsText" dxfId="1036" priority="1294" operator="containsText" text="NEUTRO">
      <formula>NOT(ISERROR(SEARCH("NEUTRO",AR40)))</formula>
    </cfRule>
    <cfRule type="containsText" dxfId="1035" priority="1295" operator="containsText" text="BULLISH">
      <formula>NOT(ISERROR(SEARCH("BULLISH",AR40)))</formula>
    </cfRule>
    <cfRule type="containsText" dxfId="1034" priority="1296" operator="containsText" text="BEARISH">
      <formula>NOT(ISERROR(SEARCH("BEARISH",AR40)))</formula>
    </cfRule>
    <cfRule type="containsBlanks" dxfId="1033" priority="1297">
      <formula>LEN(TRIM(AR40))=0</formula>
    </cfRule>
  </conditionalFormatting>
  <conditionalFormatting sqref="AT3:AT5">
    <cfRule type="cellIs" dxfId="1032" priority="1291" operator="equal">
      <formula>"-"</formula>
    </cfRule>
    <cfRule type="cellIs" dxfId="1031" priority="1292" operator="lessThan">
      <formula>0</formula>
    </cfRule>
    <cfRule type="cellIs" dxfId="1030" priority="1293" operator="greaterThan">
      <formula>0</formula>
    </cfRule>
  </conditionalFormatting>
  <conditionalFormatting sqref="AT11">
    <cfRule type="cellIs" dxfId="1029" priority="1288" operator="equal">
      <formula>"-"</formula>
    </cfRule>
    <cfRule type="cellIs" dxfId="1028" priority="1289" operator="lessThan">
      <formula>0</formula>
    </cfRule>
    <cfRule type="cellIs" dxfId="1027" priority="1290" operator="greaterThan">
      <formula>0</formula>
    </cfRule>
  </conditionalFormatting>
  <conditionalFormatting sqref="AT15">
    <cfRule type="cellIs" dxfId="1026" priority="1286" operator="lessThan">
      <formula>0</formula>
    </cfRule>
    <cfRule type="cellIs" dxfId="1025" priority="1287" operator="greaterThan">
      <formula>0</formula>
    </cfRule>
  </conditionalFormatting>
  <conditionalFormatting sqref="AT15">
    <cfRule type="cellIs" dxfId="1024" priority="1285" operator="equal">
      <formula>"-"</formula>
    </cfRule>
  </conditionalFormatting>
  <conditionalFormatting sqref="AT14">
    <cfRule type="cellIs" dxfId="1023" priority="1282" operator="equal">
      <formula>"-"</formula>
    </cfRule>
    <cfRule type="cellIs" dxfId="1022" priority="1283" operator="lessThan">
      <formula>0</formula>
    </cfRule>
    <cfRule type="cellIs" dxfId="1021" priority="1284" operator="greaterThan">
      <formula>0</formula>
    </cfRule>
  </conditionalFormatting>
  <conditionalFormatting sqref="AT16">
    <cfRule type="cellIs" dxfId="1020" priority="1279" operator="equal">
      <formula>"-"</formula>
    </cfRule>
    <cfRule type="cellIs" dxfId="1019" priority="1280" operator="lessThan">
      <formula>0</formula>
    </cfRule>
    <cfRule type="cellIs" dxfId="1018" priority="1281" operator="greaterThan">
      <formula>0</formula>
    </cfRule>
  </conditionalFormatting>
  <conditionalFormatting sqref="AT19:AT20">
    <cfRule type="cellIs" dxfId="1017" priority="1276" operator="equal">
      <formula>"-"</formula>
    </cfRule>
    <cfRule type="cellIs" dxfId="1016" priority="1277" operator="lessThan">
      <formula>0</formula>
    </cfRule>
    <cfRule type="cellIs" dxfId="1015" priority="1278" operator="greaterThan">
      <formula>0</formula>
    </cfRule>
  </conditionalFormatting>
  <conditionalFormatting sqref="AT21">
    <cfRule type="cellIs" dxfId="1014" priority="1273" operator="equal">
      <formula>"-"</formula>
    </cfRule>
    <cfRule type="cellIs" dxfId="1013" priority="1274" operator="lessThan">
      <formula>0</formula>
    </cfRule>
    <cfRule type="cellIs" dxfId="1012" priority="1275" operator="greaterThan">
      <formula>0</formula>
    </cfRule>
  </conditionalFormatting>
  <conditionalFormatting sqref="AT38">
    <cfRule type="cellIs" dxfId="1011" priority="1270" operator="equal">
      <formula>"-"</formula>
    </cfRule>
    <cfRule type="cellIs" dxfId="1010" priority="1271" operator="lessThan">
      <formula>0</formula>
    </cfRule>
    <cfRule type="cellIs" dxfId="1009" priority="1272" operator="greaterThan">
      <formula>0</formula>
    </cfRule>
  </conditionalFormatting>
  <conditionalFormatting sqref="AT41">
    <cfRule type="cellIs" dxfId="1008" priority="1267" operator="equal">
      <formula>"-"</formula>
    </cfRule>
    <cfRule type="cellIs" dxfId="1007" priority="1268" operator="lessThan">
      <formula>0</formula>
    </cfRule>
    <cfRule type="cellIs" dxfId="1006" priority="1269" operator="greaterThan">
      <formula>0</formula>
    </cfRule>
  </conditionalFormatting>
  <conditionalFormatting sqref="AQ42">
    <cfRule type="cellIs" dxfId="1005" priority="1213" operator="equal">
      <formula>"-"</formula>
    </cfRule>
    <cfRule type="cellIs" dxfId="1004" priority="1214" operator="lessThan">
      <formula>0</formula>
    </cfRule>
    <cfRule type="cellIs" dxfId="1003" priority="1215" operator="greaterThan">
      <formula>0</formula>
    </cfRule>
  </conditionalFormatting>
  <conditionalFormatting sqref="AQ6:AQ8">
    <cfRule type="cellIs" dxfId="1002" priority="1261" operator="equal">
      <formula>"-"</formula>
    </cfRule>
    <cfRule type="cellIs" dxfId="1001" priority="1262" operator="lessThan">
      <formula>0</formula>
    </cfRule>
    <cfRule type="cellIs" dxfId="1000" priority="1263" operator="greaterThan">
      <formula>0</formula>
    </cfRule>
  </conditionalFormatting>
  <conditionalFormatting sqref="AQ22">
    <cfRule type="cellIs" dxfId="999" priority="1259" operator="lessThan">
      <formula>0</formula>
    </cfRule>
    <cfRule type="cellIs" dxfId="998" priority="1260" operator="greaterThan">
      <formula>0</formula>
    </cfRule>
  </conditionalFormatting>
  <conditionalFormatting sqref="AQ22">
    <cfRule type="cellIs" dxfId="997" priority="1258" operator="equal">
      <formula>"-"</formula>
    </cfRule>
  </conditionalFormatting>
  <conditionalFormatting sqref="AQ30">
    <cfRule type="cellIs" dxfId="996" priority="1255" operator="equal">
      <formula>"-"</formula>
    </cfRule>
    <cfRule type="cellIs" dxfId="995" priority="1256" operator="lessThan">
      <formula>0</formula>
    </cfRule>
    <cfRule type="cellIs" dxfId="994" priority="1257" operator="greaterThan">
      <formula>0</formula>
    </cfRule>
  </conditionalFormatting>
  <conditionalFormatting sqref="AQ25:AQ29">
    <cfRule type="cellIs" dxfId="993" priority="1252" operator="equal">
      <formula>"-"</formula>
    </cfRule>
    <cfRule type="cellIs" dxfId="992" priority="1253" operator="lessThan">
      <formula>0</formula>
    </cfRule>
    <cfRule type="cellIs" dxfId="991" priority="1254" operator="greaterThan">
      <formula>0</formula>
    </cfRule>
  </conditionalFormatting>
  <conditionalFormatting sqref="AQ31">
    <cfRule type="cellIs" dxfId="990" priority="1249" operator="equal">
      <formula>"-"</formula>
    </cfRule>
    <cfRule type="cellIs" dxfId="989" priority="1250" operator="lessThan">
      <formula>0</formula>
    </cfRule>
    <cfRule type="cellIs" dxfId="988" priority="1251" operator="greaterThan">
      <formula>0</formula>
    </cfRule>
  </conditionalFormatting>
  <conditionalFormatting sqref="AQ32:AQ34">
    <cfRule type="cellIs" dxfId="987" priority="1247" operator="lessThan">
      <formula>0</formula>
    </cfRule>
    <cfRule type="cellIs" dxfId="986" priority="1248" operator="greaterThan">
      <formula>0</formula>
    </cfRule>
  </conditionalFormatting>
  <conditionalFormatting sqref="AQ32:AQ34">
    <cfRule type="cellIs" dxfId="985" priority="1246" operator="equal">
      <formula>"-"</formula>
    </cfRule>
  </conditionalFormatting>
  <conditionalFormatting sqref="AQ35">
    <cfRule type="cellIs" dxfId="984" priority="1244" operator="lessThan">
      <formula>0</formula>
    </cfRule>
    <cfRule type="cellIs" dxfId="983" priority="1245" operator="greaterThan">
      <formula>0</formula>
    </cfRule>
  </conditionalFormatting>
  <conditionalFormatting sqref="AQ35">
    <cfRule type="cellIs" dxfId="982" priority="1243" operator="equal">
      <formula>"-"</formula>
    </cfRule>
  </conditionalFormatting>
  <conditionalFormatting sqref="AQ3:AQ5">
    <cfRule type="cellIs" dxfId="981" priority="1240" operator="equal">
      <formula>"-"</formula>
    </cfRule>
    <cfRule type="cellIs" dxfId="980" priority="1241" operator="lessThan">
      <formula>0</formula>
    </cfRule>
    <cfRule type="cellIs" dxfId="979" priority="1242" operator="greaterThan">
      <formula>0</formula>
    </cfRule>
  </conditionalFormatting>
  <conditionalFormatting sqref="AQ11">
    <cfRule type="cellIs" dxfId="978" priority="1237" operator="equal">
      <formula>"-"</formula>
    </cfRule>
    <cfRule type="cellIs" dxfId="977" priority="1238" operator="lessThan">
      <formula>0</formula>
    </cfRule>
    <cfRule type="cellIs" dxfId="976" priority="1239" operator="greaterThan">
      <formula>0</formula>
    </cfRule>
  </conditionalFormatting>
  <conditionalFormatting sqref="AQ15">
    <cfRule type="cellIs" dxfId="975" priority="1235" operator="lessThan">
      <formula>0</formula>
    </cfRule>
    <cfRule type="cellIs" dxfId="974" priority="1236" operator="greaterThan">
      <formula>0</formula>
    </cfRule>
  </conditionalFormatting>
  <conditionalFormatting sqref="AQ15">
    <cfRule type="cellIs" dxfId="973" priority="1234" operator="equal">
      <formula>"-"</formula>
    </cfRule>
  </conditionalFormatting>
  <conditionalFormatting sqref="AQ14">
    <cfRule type="cellIs" dxfId="972" priority="1231" operator="equal">
      <formula>"-"</formula>
    </cfRule>
    <cfRule type="cellIs" dxfId="971" priority="1232" operator="lessThan">
      <formula>0</formula>
    </cfRule>
    <cfRule type="cellIs" dxfId="970" priority="1233" operator="greaterThan">
      <formula>0</formula>
    </cfRule>
  </conditionalFormatting>
  <conditionalFormatting sqref="AQ16">
    <cfRule type="cellIs" dxfId="969" priority="1228" operator="equal">
      <formula>"-"</formula>
    </cfRule>
    <cfRule type="cellIs" dxfId="968" priority="1229" operator="lessThan">
      <formula>0</formula>
    </cfRule>
    <cfRule type="cellIs" dxfId="967" priority="1230" operator="greaterThan">
      <formula>0</formula>
    </cfRule>
  </conditionalFormatting>
  <conditionalFormatting sqref="AQ19:AQ20">
    <cfRule type="cellIs" dxfId="966" priority="1225" operator="equal">
      <formula>"-"</formula>
    </cfRule>
    <cfRule type="cellIs" dxfId="965" priority="1226" operator="lessThan">
      <formula>0</formula>
    </cfRule>
    <cfRule type="cellIs" dxfId="964" priority="1227" operator="greaterThan">
      <formula>0</formula>
    </cfRule>
  </conditionalFormatting>
  <conditionalFormatting sqref="AQ21">
    <cfRule type="cellIs" dxfId="963" priority="1222" operator="equal">
      <formula>"-"</formula>
    </cfRule>
    <cfRule type="cellIs" dxfId="962" priority="1223" operator="lessThan">
      <formula>0</formula>
    </cfRule>
    <cfRule type="cellIs" dxfId="961" priority="1224" operator="greaterThan">
      <formula>0</formula>
    </cfRule>
  </conditionalFormatting>
  <conditionalFormatting sqref="AQ38">
    <cfRule type="cellIs" dxfId="960" priority="1219" operator="equal">
      <formula>"-"</formula>
    </cfRule>
    <cfRule type="cellIs" dxfId="959" priority="1220" operator="lessThan">
      <formula>0</formula>
    </cfRule>
    <cfRule type="cellIs" dxfId="958" priority="1221" operator="greaterThan">
      <formula>0</formula>
    </cfRule>
  </conditionalFormatting>
  <conditionalFormatting sqref="AQ41">
    <cfRule type="cellIs" dxfId="957" priority="1216" operator="equal">
      <formula>"-"</formula>
    </cfRule>
    <cfRule type="cellIs" dxfId="956" priority="1217" operator="lessThan">
      <formula>0</formula>
    </cfRule>
    <cfRule type="cellIs" dxfId="955" priority="1218" operator="greaterThan">
      <formula>0</formula>
    </cfRule>
  </conditionalFormatting>
  <conditionalFormatting sqref="AO2:AQ2">
    <cfRule type="containsText" dxfId="954" priority="1209" operator="containsText" text="NEUTRO">
      <formula>NOT(ISERROR(SEARCH("NEUTRO",AO2)))</formula>
    </cfRule>
    <cfRule type="containsText" dxfId="953" priority="1210" operator="containsText" text="BULLISH">
      <formula>NOT(ISERROR(SEARCH("BULLISH",AO2)))</formula>
    </cfRule>
    <cfRule type="containsText" dxfId="952" priority="1211" operator="containsText" text="BEARISH">
      <formula>NOT(ISERROR(SEARCH("BEARISH",AO2)))</formula>
    </cfRule>
    <cfRule type="containsBlanks" dxfId="951" priority="1212">
      <formula>LEN(TRIM(AO2))=0</formula>
    </cfRule>
  </conditionalFormatting>
  <conditionalFormatting sqref="AO10:AQ10">
    <cfRule type="containsText" dxfId="950" priority="1205" operator="containsText" text="NEUTRO">
      <formula>NOT(ISERROR(SEARCH("NEUTRO",AO10)))</formula>
    </cfRule>
    <cfRule type="containsText" dxfId="949" priority="1206" operator="containsText" text="BULLISH">
      <formula>NOT(ISERROR(SEARCH("BULLISH",AO10)))</formula>
    </cfRule>
    <cfRule type="containsText" dxfId="948" priority="1207" operator="containsText" text="BEARISH">
      <formula>NOT(ISERROR(SEARCH("BEARISH",AO10)))</formula>
    </cfRule>
    <cfRule type="containsBlanks" dxfId="947" priority="1208">
      <formula>LEN(TRIM(AO10))=0</formula>
    </cfRule>
  </conditionalFormatting>
  <conditionalFormatting sqref="AO13:AQ13">
    <cfRule type="containsText" dxfId="946" priority="1201" operator="containsText" text="NEUTRO">
      <formula>NOT(ISERROR(SEARCH("NEUTRO",AO13)))</formula>
    </cfRule>
    <cfRule type="containsText" dxfId="945" priority="1202" operator="containsText" text="BULLISH">
      <formula>NOT(ISERROR(SEARCH("BULLISH",AO13)))</formula>
    </cfRule>
    <cfRule type="containsText" dxfId="944" priority="1203" operator="containsText" text="BEARISH">
      <formula>NOT(ISERROR(SEARCH("BEARISH",AO13)))</formula>
    </cfRule>
    <cfRule type="containsBlanks" dxfId="943" priority="1204">
      <formula>LEN(TRIM(AO13))=0</formula>
    </cfRule>
  </conditionalFormatting>
  <conditionalFormatting sqref="AO18:AQ18">
    <cfRule type="containsText" dxfId="942" priority="1197" operator="containsText" text="NEUTRO">
      <formula>NOT(ISERROR(SEARCH("NEUTRO",AO18)))</formula>
    </cfRule>
    <cfRule type="containsText" dxfId="941" priority="1198" operator="containsText" text="BULLISH">
      <formula>NOT(ISERROR(SEARCH("BULLISH",AO18)))</formula>
    </cfRule>
    <cfRule type="containsText" dxfId="940" priority="1199" operator="containsText" text="BEARISH">
      <formula>NOT(ISERROR(SEARCH("BEARISH",AO18)))</formula>
    </cfRule>
    <cfRule type="containsBlanks" dxfId="939" priority="1200">
      <formula>LEN(TRIM(AO18))=0</formula>
    </cfRule>
  </conditionalFormatting>
  <conditionalFormatting sqref="AO24">
    <cfRule type="containsText" dxfId="938" priority="1193" operator="containsText" text="NEUTRO">
      <formula>NOT(ISERROR(SEARCH("NEUTRO",AO24)))</formula>
    </cfRule>
    <cfRule type="containsText" dxfId="937" priority="1194" operator="containsText" text="BULLISH">
      <formula>NOT(ISERROR(SEARCH("BULLISH",AO24)))</formula>
    </cfRule>
    <cfRule type="containsText" dxfId="936" priority="1195" operator="containsText" text="BEARISH">
      <formula>NOT(ISERROR(SEARCH("BEARISH",AO24)))</formula>
    </cfRule>
    <cfRule type="containsBlanks" dxfId="935" priority="1196">
      <formula>LEN(TRIM(AO24))=0</formula>
    </cfRule>
  </conditionalFormatting>
  <conditionalFormatting sqref="AO37:AQ37">
    <cfRule type="containsText" dxfId="934" priority="1189" operator="containsText" text="NEUTRO">
      <formula>NOT(ISERROR(SEARCH("NEUTRO",AO37)))</formula>
    </cfRule>
    <cfRule type="containsText" dxfId="933" priority="1190" operator="containsText" text="BULLISH">
      <formula>NOT(ISERROR(SEARCH("BULLISH",AO37)))</formula>
    </cfRule>
    <cfRule type="containsText" dxfId="932" priority="1191" operator="containsText" text="BEARISH">
      <formula>NOT(ISERROR(SEARCH("BEARISH",AO37)))</formula>
    </cfRule>
    <cfRule type="containsBlanks" dxfId="931" priority="1192">
      <formula>LEN(TRIM(AO37))=0</formula>
    </cfRule>
  </conditionalFormatting>
  <conditionalFormatting sqref="AO40">
    <cfRule type="containsText" dxfId="930" priority="1185" operator="containsText" text="NEUTRO">
      <formula>NOT(ISERROR(SEARCH("NEUTRO",AO40)))</formula>
    </cfRule>
    <cfRule type="containsText" dxfId="929" priority="1186" operator="containsText" text="BULLISH">
      <formula>NOT(ISERROR(SEARCH("BULLISH",AO40)))</formula>
    </cfRule>
    <cfRule type="containsText" dxfId="928" priority="1187" operator="containsText" text="BEARISH">
      <formula>NOT(ISERROR(SEARCH("BEARISH",AO40)))</formula>
    </cfRule>
    <cfRule type="containsBlanks" dxfId="927" priority="1188">
      <formula>LEN(TRIM(AO40))=0</formula>
    </cfRule>
  </conditionalFormatting>
  <conditionalFormatting sqref="AN42">
    <cfRule type="cellIs" dxfId="926" priority="1134" operator="equal">
      <formula>"-"</formula>
    </cfRule>
    <cfRule type="cellIs" dxfId="925" priority="1135" operator="lessThan">
      <formula>0</formula>
    </cfRule>
    <cfRule type="cellIs" dxfId="924" priority="1136" operator="greaterThan">
      <formula>0</formula>
    </cfRule>
  </conditionalFormatting>
  <conditionalFormatting sqref="AN6:AN8">
    <cfRule type="cellIs" dxfId="923" priority="1182" operator="equal">
      <formula>"-"</formula>
    </cfRule>
    <cfRule type="cellIs" dxfId="922" priority="1183" operator="lessThan">
      <formula>0</formula>
    </cfRule>
    <cfRule type="cellIs" dxfId="921" priority="1184" operator="greaterThan">
      <formula>0</formula>
    </cfRule>
  </conditionalFormatting>
  <conditionalFormatting sqref="AN22">
    <cfRule type="cellIs" dxfId="920" priority="1180" operator="lessThan">
      <formula>0</formula>
    </cfRule>
    <cfRule type="cellIs" dxfId="919" priority="1181" operator="greaterThan">
      <formula>0</formula>
    </cfRule>
  </conditionalFormatting>
  <conditionalFormatting sqref="AN22">
    <cfRule type="cellIs" dxfId="918" priority="1179" operator="equal">
      <formula>"-"</formula>
    </cfRule>
  </conditionalFormatting>
  <conditionalFormatting sqref="AN30">
    <cfRule type="cellIs" dxfId="917" priority="1176" operator="equal">
      <formula>"-"</formula>
    </cfRule>
    <cfRule type="cellIs" dxfId="916" priority="1177" operator="lessThan">
      <formula>0</formula>
    </cfRule>
    <cfRule type="cellIs" dxfId="915" priority="1178" operator="greaterThan">
      <formula>0</formula>
    </cfRule>
  </conditionalFormatting>
  <conditionalFormatting sqref="AN25:AN29">
    <cfRule type="cellIs" dxfId="914" priority="1173" operator="equal">
      <formula>"-"</formula>
    </cfRule>
    <cfRule type="cellIs" dxfId="913" priority="1174" operator="lessThan">
      <formula>0</formula>
    </cfRule>
    <cfRule type="cellIs" dxfId="912" priority="1175" operator="greaterThan">
      <formula>0</formula>
    </cfRule>
  </conditionalFormatting>
  <conditionalFormatting sqref="AN31">
    <cfRule type="cellIs" dxfId="911" priority="1170" operator="equal">
      <formula>"-"</formula>
    </cfRule>
    <cfRule type="cellIs" dxfId="910" priority="1171" operator="lessThan">
      <formula>0</formula>
    </cfRule>
    <cfRule type="cellIs" dxfId="909" priority="1172" operator="greaterThan">
      <formula>0</formula>
    </cfRule>
  </conditionalFormatting>
  <conditionalFormatting sqref="AN32:AN34">
    <cfRule type="cellIs" dxfId="908" priority="1168" operator="lessThan">
      <formula>0</formula>
    </cfRule>
    <cfRule type="cellIs" dxfId="907" priority="1169" operator="greaterThan">
      <formula>0</formula>
    </cfRule>
  </conditionalFormatting>
  <conditionalFormatting sqref="AN32:AN34">
    <cfRule type="cellIs" dxfId="906" priority="1167" operator="equal">
      <formula>"-"</formula>
    </cfRule>
  </conditionalFormatting>
  <conditionalFormatting sqref="AN35">
    <cfRule type="cellIs" dxfId="905" priority="1165" operator="lessThan">
      <formula>0</formula>
    </cfRule>
    <cfRule type="cellIs" dxfId="904" priority="1166" operator="greaterThan">
      <formula>0</formula>
    </cfRule>
  </conditionalFormatting>
  <conditionalFormatting sqref="AN35">
    <cfRule type="cellIs" dxfId="903" priority="1164" operator="equal">
      <formula>"-"</formula>
    </cfRule>
  </conditionalFormatting>
  <conditionalFormatting sqref="AN3:AN5">
    <cfRule type="cellIs" dxfId="902" priority="1161" operator="equal">
      <formula>"-"</formula>
    </cfRule>
    <cfRule type="cellIs" dxfId="901" priority="1162" operator="lessThan">
      <formula>0</formula>
    </cfRule>
    <cfRule type="cellIs" dxfId="900" priority="1163" operator="greaterThan">
      <formula>0</formula>
    </cfRule>
  </conditionalFormatting>
  <conditionalFormatting sqref="AN11">
    <cfRule type="cellIs" dxfId="899" priority="1158" operator="equal">
      <formula>"-"</formula>
    </cfRule>
    <cfRule type="cellIs" dxfId="898" priority="1159" operator="lessThan">
      <formula>0</formula>
    </cfRule>
    <cfRule type="cellIs" dxfId="897" priority="1160" operator="greaterThan">
      <formula>0</formula>
    </cfRule>
  </conditionalFormatting>
  <conditionalFormatting sqref="AN15">
    <cfRule type="cellIs" dxfId="896" priority="1156" operator="lessThan">
      <formula>0</formula>
    </cfRule>
    <cfRule type="cellIs" dxfId="895" priority="1157" operator="greaterThan">
      <formula>0</formula>
    </cfRule>
  </conditionalFormatting>
  <conditionalFormatting sqref="AN15">
    <cfRule type="cellIs" dxfId="894" priority="1155" operator="equal">
      <formula>"-"</formula>
    </cfRule>
  </conditionalFormatting>
  <conditionalFormatting sqref="AN14">
    <cfRule type="cellIs" dxfId="893" priority="1152" operator="equal">
      <formula>"-"</formula>
    </cfRule>
    <cfRule type="cellIs" dxfId="892" priority="1153" operator="lessThan">
      <formula>0</formula>
    </cfRule>
    <cfRule type="cellIs" dxfId="891" priority="1154" operator="greaterThan">
      <formula>0</formula>
    </cfRule>
  </conditionalFormatting>
  <conditionalFormatting sqref="AN16">
    <cfRule type="cellIs" dxfId="890" priority="1149" operator="equal">
      <formula>"-"</formula>
    </cfRule>
    <cfRule type="cellIs" dxfId="889" priority="1150" operator="lessThan">
      <formula>0</formula>
    </cfRule>
    <cfRule type="cellIs" dxfId="888" priority="1151" operator="greaterThan">
      <formula>0</formula>
    </cfRule>
  </conditionalFormatting>
  <conditionalFormatting sqref="AN19:AN20">
    <cfRule type="cellIs" dxfId="887" priority="1146" operator="equal">
      <formula>"-"</formula>
    </cfRule>
    <cfRule type="cellIs" dxfId="886" priority="1147" operator="lessThan">
      <formula>0</formula>
    </cfRule>
    <cfRule type="cellIs" dxfId="885" priority="1148" operator="greaterThan">
      <formula>0</formula>
    </cfRule>
  </conditionalFormatting>
  <conditionalFormatting sqref="AN21">
    <cfRule type="cellIs" dxfId="884" priority="1143" operator="equal">
      <formula>"-"</formula>
    </cfRule>
    <cfRule type="cellIs" dxfId="883" priority="1144" operator="lessThan">
      <formula>0</formula>
    </cfRule>
    <cfRule type="cellIs" dxfId="882" priority="1145" operator="greaterThan">
      <formula>0</formula>
    </cfRule>
  </conditionalFormatting>
  <conditionalFormatting sqref="AN38">
    <cfRule type="cellIs" dxfId="881" priority="1140" operator="equal">
      <formula>"-"</formula>
    </cfRule>
    <cfRule type="cellIs" dxfId="880" priority="1141" operator="lessThan">
      <formula>0</formula>
    </cfRule>
    <cfRule type="cellIs" dxfId="879" priority="1142" operator="greaterThan">
      <formula>0</formula>
    </cfRule>
  </conditionalFormatting>
  <conditionalFormatting sqref="AN41">
    <cfRule type="cellIs" dxfId="878" priority="1137" operator="equal">
      <formula>"-"</formula>
    </cfRule>
    <cfRule type="cellIs" dxfId="877" priority="1138" operator="lessThan">
      <formula>0</formula>
    </cfRule>
    <cfRule type="cellIs" dxfId="876" priority="1139" operator="greaterThan">
      <formula>0</formula>
    </cfRule>
  </conditionalFormatting>
  <conditionalFormatting sqref="AL13:AN13">
    <cfRule type="containsText" dxfId="875" priority="1122" operator="containsText" text="NEUTRO">
      <formula>NOT(ISERROR(SEARCH("NEUTRO",AL13)))</formula>
    </cfRule>
    <cfRule type="containsText" dxfId="874" priority="1123" operator="containsText" text="BULLISH">
      <formula>NOT(ISERROR(SEARCH("BULLISH",AL13)))</formula>
    </cfRule>
    <cfRule type="containsText" dxfId="873" priority="1124" operator="containsText" text="BEARISH">
      <formula>NOT(ISERROR(SEARCH("BEARISH",AL13)))</formula>
    </cfRule>
    <cfRule type="containsBlanks" dxfId="872" priority="1125">
      <formula>LEN(TRIM(AL13))=0</formula>
    </cfRule>
  </conditionalFormatting>
  <conditionalFormatting sqref="AL10:AN10">
    <cfRule type="containsText" dxfId="871" priority="1126" operator="containsText" text="NEUTRO">
      <formula>NOT(ISERROR(SEARCH("NEUTRO",AL10)))</formula>
    </cfRule>
    <cfRule type="containsText" dxfId="870" priority="1127" operator="containsText" text="BULLISH">
      <formula>NOT(ISERROR(SEARCH("BULLISH",AL10)))</formula>
    </cfRule>
    <cfRule type="containsText" dxfId="869" priority="1128" operator="containsText" text="BEARISH">
      <formula>NOT(ISERROR(SEARCH("BEARISH",AL10)))</formula>
    </cfRule>
    <cfRule type="containsBlanks" dxfId="868" priority="1129">
      <formula>LEN(TRIM(AL10))=0</formula>
    </cfRule>
  </conditionalFormatting>
  <conditionalFormatting sqref="AL2:AN2">
    <cfRule type="containsText" dxfId="867" priority="1130" operator="containsText" text="NEUTRO">
      <formula>NOT(ISERROR(SEARCH("NEUTRO",AL2)))</formula>
    </cfRule>
    <cfRule type="containsText" dxfId="866" priority="1131" operator="containsText" text="BULLISH">
      <formula>NOT(ISERROR(SEARCH("BULLISH",AL2)))</formula>
    </cfRule>
    <cfRule type="containsText" dxfId="865" priority="1132" operator="containsText" text="BEARISH">
      <formula>NOT(ISERROR(SEARCH("BEARISH",AL2)))</formula>
    </cfRule>
    <cfRule type="containsBlanks" dxfId="864" priority="1133">
      <formula>LEN(TRIM(AL2))=0</formula>
    </cfRule>
  </conditionalFormatting>
  <conditionalFormatting sqref="AL18:AN18">
    <cfRule type="containsText" dxfId="863" priority="1118" operator="containsText" text="NEUTRO">
      <formula>NOT(ISERROR(SEARCH("NEUTRO",AL18)))</formula>
    </cfRule>
    <cfRule type="containsText" dxfId="862" priority="1119" operator="containsText" text="BULLISH">
      <formula>NOT(ISERROR(SEARCH("BULLISH",AL18)))</formula>
    </cfRule>
    <cfRule type="containsText" dxfId="861" priority="1120" operator="containsText" text="BEARISH">
      <formula>NOT(ISERROR(SEARCH("BEARISH",AL18)))</formula>
    </cfRule>
    <cfRule type="containsBlanks" dxfId="860" priority="1121">
      <formula>LEN(TRIM(AL18))=0</formula>
    </cfRule>
  </conditionalFormatting>
  <conditionalFormatting sqref="AL24">
    <cfRule type="containsText" dxfId="859" priority="1114" operator="containsText" text="NEUTRO">
      <formula>NOT(ISERROR(SEARCH("NEUTRO",AL24)))</formula>
    </cfRule>
    <cfRule type="containsText" dxfId="858" priority="1115" operator="containsText" text="BULLISH">
      <formula>NOT(ISERROR(SEARCH("BULLISH",AL24)))</formula>
    </cfRule>
    <cfRule type="containsText" dxfId="857" priority="1116" operator="containsText" text="BEARISH">
      <formula>NOT(ISERROR(SEARCH("BEARISH",AL24)))</formula>
    </cfRule>
    <cfRule type="containsBlanks" dxfId="856" priority="1117">
      <formula>LEN(TRIM(AL24))=0</formula>
    </cfRule>
  </conditionalFormatting>
  <conditionalFormatting sqref="AL37:AN37">
    <cfRule type="containsText" dxfId="855" priority="1110" operator="containsText" text="NEUTRO">
      <formula>NOT(ISERROR(SEARCH("NEUTRO",AL37)))</formula>
    </cfRule>
    <cfRule type="containsText" dxfId="854" priority="1111" operator="containsText" text="BULLISH">
      <formula>NOT(ISERROR(SEARCH("BULLISH",AL37)))</formula>
    </cfRule>
    <cfRule type="containsText" dxfId="853" priority="1112" operator="containsText" text="BEARISH">
      <formula>NOT(ISERROR(SEARCH("BEARISH",AL37)))</formula>
    </cfRule>
    <cfRule type="containsBlanks" dxfId="852" priority="1113">
      <formula>LEN(TRIM(AL37))=0</formula>
    </cfRule>
  </conditionalFormatting>
  <conditionalFormatting sqref="AL40">
    <cfRule type="containsText" dxfId="851" priority="1106" operator="containsText" text="NEUTRO">
      <formula>NOT(ISERROR(SEARCH("NEUTRO",AL40)))</formula>
    </cfRule>
    <cfRule type="containsText" dxfId="850" priority="1107" operator="containsText" text="BULLISH">
      <formula>NOT(ISERROR(SEARCH("BULLISH",AL40)))</formula>
    </cfRule>
    <cfRule type="containsText" dxfId="849" priority="1108" operator="containsText" text="BEARISH">
      <formula>NOT(ISERROR(SEARCH("BEARISH",AL40)))</formula>
    </cfRule>
    <cfRule type="containsBlanks" dxfId="848" priority="1109">
      <formula>LEN(TRIM(AL40))=0</formula>
    </cfRule>
  </conditionalFormatting>
  <conditionalFormatting sqref="AK42">
    <cfRule type="cellIs" dxfId="847" priority="1055" operator="equal">
      <formula>"-"</formula>
    </cfRule>
    <cfRule type="cellIs" dxfId="846" priority="1056" operator="lessThan">
      <formula>0</formula>
    </cfRule>
    <cfRule type="cellIs" dxfId="845" priority="1057" operator="greaterThan">
      <formula>0</formula>
    </cfRule>
  </conditionalFormatting>
  <conditionalFormatting sqref="AK6:AK8">
    <cfRule type="cellIs" dxfId="844" priority="1103" operator="equal">
      <formula>"-"</formula>
    </cfRule>
    <cfRule type="cellIs" dxfId="843" priority="1104" operator="lessThan">
      <formula>0</formula>
    </cfRule>
    <cfRule type="cellIs" dxfId="842" priority="1105" operator="greaterThan">
      <formula>0</formula>
    </cfRule>
  </conditionalFormatting>
  <conditionalFormatting sqref="AK22">
    <cfRule type="cellIs" dxfId="841" priority="1101" operator="lessThan">
      <formula>0</formula>
    </cfRule>
    <cfRule type="cellIs" dxfId="840" priority="1102" operator="greaterThan">
      <formula>0</formula>
    </cfRule>
  </conditionalFormatting>
  <conditionalFormatting sqref="AK22">
    <cfRule type="cellIs" dxfId="839" priority="1100" operator="equal">
      <formula>"-"</formula>
    </cfRule>
  </conditionalFormatting>
  <conditionalFormatting sqref="AK30">
    <cfRule type="cellIs" dxfId="838" priority="1097" operator="equal">
      <formula>"-"</formula>
    </cfRule>
    <cfRule type="cellIs" dxfId="837" priority="1098" operator="lessThan">
      <formula>0</formula>
    </cfRule>
    <cfRule type="cellIs" dxfId="836" priority="1099" operator="greaterThan">
      <formula>0</formula>
    </cfRule>
  </conditionalFormatting>
  <conditionalFormatting sqref="AK25:AK29">
    <cfRule type="cellIs" dxfId="835" priority="1094" operator="equal">
      <formula>"-"</formula>
    </cfRule>
    <cfRule type="cellIs" dxfId="834" priority="1095" operator="lessThan">
      <formula>0</formula>
    </cfRule>
    <cfRule type="cellIs" dxfId="833" priority="1096" operator="greaterThan">
      <formula>0</formula>
    </cfRule>
  </conditionalFormatting>
  <conditionalFormatting sqref="AK31">
    <cfRule type="cellIs" dxfId="832" priority="1091" operator="equal">
      <formula>"-"</formula>
    </cfRule>
    <cfRule type="cellIs" dxfId="831" priority="1092" operator="lessThan">
      <formula>0</formula>
    </cfRule>
    <cfRule type="cellIs" dxfId="830" priority="1093" operator="greaterThan">
      <formula>0</formula>
    </cfRule>
  </conditionalFormatting>
  <conditionalFormatting sqref="AK32:AK34">
    <cfRule type="cellIs" dxfId="829" priority="1089" operator="lessThan">
      <formula>0</formula>
    </cfRule>
    <cfRule type="cellIs" dxfId="828" priority="1090" operator="greaterThan">
      <formula>0</formula>
    </cfRule>
  </conditionalFormatting>
  <conditionalFormatting sqref="AK32:AK34">
    <cfRule type="cellIs" dxfId="827" priority="1088" operator="equal">
      <formula>"-"</formula>
    </cfRule>
  </conditionalFormatting>
  <conditionalFormatting sqref="AK35">
    <cfRule type="cellIs" dxfId="826" priority="1086" operator="lessThan">
      <formula>0</formula>
    </cfRule>
    <cfRule type="cellIs" dxfId="825" priority="1087" operator="greaterThan">
      <formula>0</formula>
    </cfRule>
  </conditionalFormatting>
  <conditionalFormatting sqref="AK35">
    <cfRule type="cellIs" dxfId="824" priority="1085" operator="equal">
      <formula>"-"</formula>
    </cfRule>
  </conditionalFormatting>
  <conditionalFormatting sqref="AK3:AK5">
    <cfRule type="cellIs" dxfId="823" priority="1082" operator="equal">
      <formula>"-"</formula>
    </cfRule>
    <cfRule type="cellIs" dxfId="822" priority="1083" operator="lessThan">
      <formula>0</formula>
    </cfRule>
    <cfRule type="cellIs" dxfId="821" priority="1084" operator="greaterThan">
      <formula>0</formula>
    </cfRule>
  </conditionalFormatting>
  <conditionalFormatting sqref="AK11">
    <cfRule type="cellIs" dxfId="820" priority="1079" operator="equal">
      <formula>"-"</formula>
    </cfRule>
    <cfRule type="cellIs" dxfId="819" priority="1080" operator="lessThan">
      <formula>0</formula>
    </cfRule>
    <cfRule type="cellIs" dxfId="818" priority="1081" operator="greaterThan">
      <formula>0</formula>
    </cfRule>
  </conditionalFormatting>
  <conditionalFormatting sqref="AK15">
    <cfRule type="cellIs" dxfId="817" priority="1077" operator="lessThan">
      <formula>0</formula>
    </cfRule>
    <cfRule type="cellIs" dxfId="816" priority="1078" operator="greaterThan">
      <formula>0</formula>
    </cfRule>
  </conditionalFormatting>
  <conditionalFormatting sqref="AK15">
    <cfRule type="cellIs" dxfId="815" priority="1076" operator="equal">
      <formula>"-"</formula>
    </cfRule>
  </conditionalFormatting>
  <conditionalFormatting sqref="AK14">
    <cfRule type="cellIs" dxfId="814" priority="1073" operator="equal">
      <formula>"-"</formula>
    </cfRule>
    <cfRule type="cellIs" dxfId="813" priority="1074" operator="lessThan">
      <formula>0</formula>
    </cfRule>
    <cfRule type="cellIs" dxfId="812" priority="1075" operator="greaterThan">
      <formula>0</formula>
    </cfRule>
  </conditionalFormatting>
  <conditionalFormatting sqref="AK16">
    <cfRule type="cellIs" dxfId="811" priority="1070" operator="equal">
      <formula>"-"</formula>
    </cfRule>
    <cfRule type="cellIs" dxfId="810" priority="1071" operator="lessThan">
      <formula>0</formula>
    </cfRule>
    <cfRule type="cellIs" dxfId="809" priority="1072" operator="greaterThan">
      <formula>0</formula>
    </cfRule>
  </conditionalFormatting>
  <conditionalFormatting sqref="AK19:AK20">
    <cfRule type="cellIs" dxfId="808" priority="1067" operator="equal">
      <formula>"-"</formula>
    </cfRule>
    <cfRule type="cellIs" dxfId="807" priority="1068" operator="lessThan">
      <formula>0</formula>
    </cfRule>
    <cfRule type="cellIs" dxfId="806" priority="1069" operator="greaterThan">
      <formula>0</formula>
    </cfRule>
  </conditionalFormatting>
  <conditionalFormatting sqref="AK21">
    <cfRule type="cellIs" dxfId="805" priority="1064" operator="equal">
      <formula>"-"</formula>
    </cfRule>
    <cfRule type="cellIs" dxfId="804" priority="1065" operator="lessThan">
      <formula>0</formula>
    </cfRule>
    <cfRule type="cellIs" dxfId="803" priority="1066" operator="greaterThan">
      <formula>0</formula>
    </cfRule>
  </conditionalFormatting>
  <conditionalFormatting sqref="AK38">
    <cfRule type="cellIs" dxfId="802" priority="1061" operator="equal">
      <formula>"-"</formula>
    </cfRule>
    <cfRule type="cellIs" dxfId="801" priority="1062" operator="lessThan">
      <formula>0</formula>
    </cfRule>
    <cfRule type="cellIs" dxfId="800" priority="1063" operator="greaterThan">
      <formula>0</formula>
    </cfRule>
  </conditionalFormatting>
  <conditionalFormatting sqref="AK41">
    <cfRule type="cellIs" dxfId="799" priority="1058" operator="equal">
      <formula>"-"</formula>
    </cfRule>
    <cfRule type="cellIs" dxfId="798" priority="1059" operator="lessThan">
      <formula>0</formula>
    </cfRule>
    <cfRule type="cellIs" dxfId="797" priority="1060" operator="greaterThan">
      <formula>0</formula>
    </cfRule>
  </conditionalFormatting>
  <conditionalFormatting sqref="AI2:AK2">
    <cfRule type="containsText" dxfId="796" priority="1051" operator="containsText" text="NEUTRO">
      <formula>NOT(ISERROR(SEARCH("NEUTRO",AI2)))</formula>
    </cfRule>
    <cfRule type="containsText" dxfId="795" priority="1052" operator="containsText" text="BULLISH">
      <formula>NOT(ISERROR(SEARCH("BULLISH",AI2)))</formula>
    </cfRule>
    <cfRule type="containsText" dxfId="794" priority="1053" operator="containsText" text="BEARISH">
      <formula>NOT(ISERROR(SEARCH("BEARISH",AI2)))</formula>
    </cfRule>
    <cfRule type="containsBlanks" dxfId="793" priority="1054">
      <formula>LEN(TRIM(AI2))=0</formula>
    </cfRule>
  </conditionalFormatting>
  <conditionalFormatting sqref="AI10:AK10">
    <cfRule type="containsText" dxfId="792" priority="1047" operator="containsText" text="NEUTRO">
      <formula>NOT(ISERROR(SEARCH("NEUTRO",AI10)))</formula>
    </cfRule>
    <cfRule type="containsText" dxfId="791" priority="1048" operator="containsText" text="BULLISH">
      <formula>NOT(ISERROR(SEARCH("BULLISH",AI10)))</formula>
    </cfRule>
    <cfRule type="containsText" dxfId="790" priority="1049" operator="containsText" text="BEARISH">
      <formula>NOT(ISERROR(SEARCH("BEARISH",AI10)))</formula>
    </cfRule>
    <cfRule type="containsBlanks" dxfId="789" priority="1050">
      <formula>LEN(TRIM(AI10))=0</formula>
    </cfRule>
  </conditionalFormatting>
  <conditionalFormatting sqref="AI13:AK13">
    <cfRule type="containsText" dxfId="788" priority="1043" operator="containsText" text="NEUTRO">
      <formula>NOT(ISERROR(SEARCH("NEUTRO",AI13)))</formula>
    </cfRule>
    <cfRule type="containsText" dxfId="787" priority="1044" operator="containsText" text="BULLISH">
      <formula>NOT(ISERROR(SEARCH("BULLISH",AI13)))</formula>
    </cfRule>
    <cfRule type="containsText" dxfId="786" priority="1045" operator="containsText" text="BEARISH">
      <formula>NOT(ISERROR(SEARCH("BEARISH",AI13)))</formula>
    </cfRule>
    <cfRule type="containsBlanks" dxfId="785" priority="1046">
      <formula>LEN(TRIM(AI13))=0</formula>
    </cfRule>
  </conditionalFormatting>
  <conditionalFormatting sqref="AI18:AK18">
    <cfRule type="containsText" dxfId="784" priority="1039" operator="containsText" text="NEUTRO">
      <formula>NOT(ISERROR(SEARCH("NEUTRO",AI18)))</formula>
    </cfRule>
    <cfRule type="containsText" dxfId="783" priority="1040" operator="containsText" text="BULLISH">
      <formula>NOT(ISERROR(SEARCH("BULLISH",AI18)))</formula>
    </cfRule>
    <cfRule type="containsText" dxfId="782" priority="1041" operator="containsText" text="BEARISH">
      <formula>NOT(ISERROR(SEARCH("BEARISH",AI18)))</formula>
    </cfRule>
    <cfRule type="containsBlanks" dxfId="781" priority="1042">
      <formula>LEN(TRIM(AI18))=0</formula>
    </cfRule>
  </conditionalFormatting>
  <conditionalFormatting sqref="AI24">
    <cfRule type="containsText" dxfId="780" priority="1035" operator="containsText" text="NEUTRO">
      <formula>NOT(ISERROR(SEARCH("NEUTRO",AI24)))</formula>
    </cfRule>
    <cfRule type="containsText" dxfId="779" priority="1036" operator="containsText" text="BULLISH">
      <formula>NOT(ISERROR(SEARCH("BULLISH",AI24)))</formula>
    </cfRule>
    <cfRule type="containsText" dxfId="778" priority="1037" operator="containsText" text="BEARISH">
      <formula>NOT(ISERROR(SEARCH("BEARISH",AI24)))</formula>
    </cfRule>
    <cfRule type="containsBlanks" dxfId="777" priority="1038">
      <formula>LEN(TRIM(AI24))=0</formula>
    </cfRule>
  </conditionalFormatting>
  <conditionalFormatting sqref="AI37:AK37">
    <cfRule type="containsText" dxfId="776" priority="1031" operator="containsText" text="NEUTRO">
      <formula>NOT(ISERROR(SEARCH("NEUTRO",AI37)))</formula>
    </cfRule>
    <cfRule type="containsText" dxfId="775" priority="1032" operator="containsText" text="BULLISH">
      <formula>NOT(ISERROR(SEARCH("BULLISH",AI37)))</formula>
    </cfRule>
    <cfRule type="containsText" dxfId="774" priority="1033" operator="containsText" text="BEARISH">
      <formula>NOT(ISERROR(SEARCH("BEARISH",AI37)))</formula>
    </cfRule>
    <cfRule type="containsBlanks" dxfId="773" priority="1034">
      <formula>LEN(TRIM(AI37))=0</formula>
    </cfRule>
  </conditionalFormatting>
  <conditionalFormatting sqref="AI40">
    <cfRule type="containsText" dxfId="772" priority="1027" operator="containsText" text="NEUTRO">
      <formula>NOT(ISERROR(SEARCH("NEUTRO",AI40)))</formula>
    </cfRule>
    <cfRule type="containsText" dxfId="771" priority="1028" operator="containsText" text="BULLISH">
      <formula>NOT(ISERROR(SEARCH("BULLISH",AI40)))</formula>
    </cfRule>
    <cfRule type="containsText" dxfId="770" priority="1029" operator="containsText" text="BEARISH">
      <formula>NOT(ISERROR(SEARCH("BEARISH",AI40)))</formula>
    </cfRule>
    <cfRule type="containsBlanks" dxfId="769" priority="1030">
      <formula>LEN(TRIM(AI40))=0</formula>
    </cfRule>
  </conditionalFormatting>
  <conditionalFormatting sqref="AH42">
    <cfRule type="cellIs" dxfId="768" priority="976" operator="equal">
      <formula>"-"</formula>
    </cfRule>
    <cfRule type="cellIs" dxfId="767" priority="977" operator="lessThan">
      <formula>0</formula>
    </cfRule>
    <cfRule type="cellIs" dxfId="766" priority="978" operator="greaterThan">
      <formula>0</formula>
    </cfRule>
  </conditionalFormatting>
  <conditionalFormatting sqref="AH6:AH8">
    <cfRule type="cellIs" dxfId="765" priority="1024" operator="equal">
      <formula>"-"</formula>
    </cfRule>
    <cfRule type="cellIs" dxfId="764" priority="1025" operator="lessThan">
      <formula>0</formula>
    </cfRule>
    <cfRule type="cellIs" dxfId="763" priority="1026" operator="greaterThan">
      <formula>0</formula>
    </cfRule>
  </conditionalFormatting>
  <conditionalFormatting sqref="AH22">
    <cfRule type="cellIs" dxfId="762" priority="1022" operator="lessThan">
      <formula>0</formula>
    </cfRule>
    <cfRule type="cellIs" dxfId="761" priority="1023" operator="greaterThan">
      <formula>0</formula>
    </cfRule>
  </conditionalFormatting>
  <conditionalFormatting sqref="AH22">
    <cfRule type="cellIs" dxfId="760" priority="1021" operator="equal">
      <formula>"-"</formula>
    </cfRule>
  </conditionalFormatting>
  <conditionalFormatting sqref="AH30">
    <cfRule type="cellIs" dxfId="759" priority="1018" operator="equal">
      <formula>"-"</formula>
    </cfRule>
    <cfRule type="cellIs" dxfId="758" priority="1019" operator="lessThan">
      <formula>0</formula>
    </cfRule>
    <cfRule type="cellIs" dxfId="757" priority="1020" operator="greaterThan">
      <formula>0</formula>
    </cfRule>
  </conditionalFormatting>
  <conditionalFormatting sqref="AH25:AH29">
    <cfRule type="cellIs" dxfId="756" priority="1015" operator="equal">
      <formula>"-"</formula>
    </cfRule>
    <cfRule type="cellIs" dxfId="755" priority="1016" operator="lessThan">
      <formula>0</formula>
    </cfRule>
    <cfRule type="cellIs" dxfId="754" priority="1017" operator="greaterThan">
      <formula>0</formula>
    </cfRule>
  </conditionalFormatting>
  <conditionalFormatting sqref="AH31">
    <cfRule type="cellIs" dxfId="753" priority="1012" operator="equal">
      <formula>"-"</formula>
    </cfRule>
    <cfRule type="cellIs" dxfId="752" priority="1013" operator="lessThan">
      <formula>0</formula>
    </cfRule>
    <cfRule type="cellIs" dxfId="751" priority="1014" operator="greaterThan">
      <formula>0</formula>
    </cfRule>
  </conditionalFormatting>
  <conditionalFormatting sqref="AH32:AH34">
    <cfRule type="cellIs" dxfId="750" priority="1010" operator="lessThan">
      <formula>0</formula>
    </cfRule>
    <cfRule type="cellIs" dxfId="749" priority="1011" operator="greaterThan">
      <formula>0</formula>
    </cfRule>
  </conditionalFormatting>
  <conditionalFormatting sqref="AH32:AH34">
    <cfRule type="cellIs" dxfId="748" priority="1009" operator="equal">
      <formula>"-"</formula>
    </cfRule>
  </conditionalFormatting>
  <conditionalFormatting sqref="AH35">
    <cfRule type="cellIs" dxfId="747" priority="1007" operator="lessThan">
      <formula>0</formula>
    </cfRule>
    <cfRule type="cellIs" dxfId="746" priority="1008" operator="greaterThan">
      <formula>0</formula>
    </cfRule>
  </conditionalFormatting>
  <conditionalFormatting sqref="AH35">
    <cfRule type="cellIs" dxfId="745" priority="1006" operator="equal">
      <formula>"-"</formula>
    </cfRule>
  </conditionalFormatting>
  <conditionalFormatting sqref="AH3:AH5">
    <cfRule type="cellIs" dxfId="744" priority="1003" operator="equal">
      <formula>"-"</formula>
    </cfRule>
    <cfRule type="cellIs" dxfId="743" priority="1004" operator="lessThan">
      <formula>0</formula>
    </cfRule>
    <cfRule type="cellIs" dxfId="742" priority="1005" operator="greaterThan">
      <formula>0</formula>
    </cfRule>
  </conditionalFormatting>
  <conditionalFormatting sqref="AH11">
    <cfRule type="cellIs" dxfId="741" priority="1000" operator="equal">
      <formula>"-"</formula>
    </cfRule>
    <cfRule type="cellIs" dxfId="740" priority="1001" operator="lessThan">
      <formula>0</formula>
    </cfRule>
    <cfRule type="cellIs" dxfId="739" priority="1002" operator="greaterThan">
      <formula>0</formula>
    </cfRule>
  </conditionalFormatting>
  <conditionalFormatting sqref="AH15">
    <cfRule type="cellIs" dxfId="738" priority="998" operator="lessThan">
      <formula>0</formula>
    </cfRule>
    <cfRule type="cellIs" dxfId="737" priority="999" operator="greaterThan">
      <formula>0</formula>
    </cfRule>
  </conditionalFormatting>
  <conditionalFormatting sqref="AH15">
    <cfRule type="cellIs" dxfId="736" priority="997" operator="equal">
      <formula>"-"</formula>
    </cfRule>
  </conditionalFormatting>
  <conditionalFormatting sqref="AH14">
    <cfRule type="cellIs" dxfId="735" priority="994" operator="equal">
      <formula>"-"</formula>
    </cfRule>
    <cfRule type="cellIs" dxfId="734" priority="995" operator="lessThan">
      <formula>0</formula>
    </cfRule>
    <cfRule type="cellIs" dxfId="733" priority="996" operator="greaterThan">
      <formula>0</formula>
    </cfRule>
  </conditionalFormatting>
  <conditionalFormatting sqref="AH16">
    <cfRule type="cellIs" dxfId="732" priority="991" operator="equal">
      <formula>"-"</formula>
    </cfRule>
    <cfRule type="cellIs" dxfId="731" priority="992" operator="lessThan">
      <formula>0</formula>
    </cfRule>
    <cfRule type="cellIs" dxfId="730" priority="993" operator="greaterThan">
      <formula>0</formula>
    </cfRule>
  </conditionalFormatting>
  <conditionalFormatting sqref="AH19:AH20">
    <cfRule type="cellIs" dxfId="729" priority="988" operator="equal">
      <formula>"-"</formula>
    </cfRule>
    <cfRule type="cellIs" dxfId="728" priority="989" operator="lessThan">
      <formula>0</formula>
    </cfRule>
    <cfRule type="cellIs" dxfId="727" priority="990" operator="greaterThan">
      <formula>0</formula>
    </cfRule>
  </conditionalFormatting>
  <conditionalFormatting sqref="AH21">
    <cfRule type="cellIs" dxfId="726" priority="985" operator="equal">
      <formula>"-"</formula>
    </cfRule>
    <cfRule type="cellIs" dxfId="725" priority="986" operator="lessThan">
      <formula>0</formula>
    </cfRule>
    <cfRule type="cellIs" dxfId="724" priority="987" operator="greaterThan">
      <formula>0</formula>
    </cfRule>
  </conditionalFormatting>
  <conditionalFormatting sqref="AH38">
    <cfRule type="cellIs" dxfId="723" priority="982" operator="equal">
      <formula>"-"</formula>
    </cfRule>
    <cfRule type="cellIs" dxfId="722" priority="983" operator="lessThan">
      <formula>0</formula>
    </cfRule>
    <cfRule type="cellIs" dxfId="721" priority="984" operator="greaterThan">
      <formula>0</formula>
    </cfRule>
  </conditionalFormatting>
  <conditionalFormatting sqref="AH41">
    <cfRule type="cellIs" dxfId="720" priority="979" operator="equal">
      <formula>"-"</formula>
    </cfRule>
    <cfRule type="cellIs" dxfId="719" priority="980" operator="lessThan">
      <formula>0</formula>
    </cfRule>
    <cfRule type="cellIs" dxfId="718" priority="981" operator="greaterThan">
      <formula>0</formula>
    </cfRule>
  </conditionalFormatting>
  <conditionalFormatting sqref="AF2:AH2">
    <cfRule type="containsText" dxfId="717" priority="972" operator="containsText" text="NEUTRO">
      <formula>NOT(ISERROR(SEARCH("NEUTRO",AF2)))</formula>
    </cfRule>
    <cfRule type="containsText" dxfId="716" priority="973" operator="containsText" text="BULLISH">
      <formula>NOT(ISERROR(SEARCH("BULLISH",AF2)))</formula>
    </cfRule>
    <cfRule type="containsText" dxfId="715" priority="974" operator="containsText" text="BEARISH">
      <formula>NOT(ISERROR(SEARCH("BEARISH",AF2)))</formula>
    </cfRule>
    <cfRule type="containsBlanks" dxfId="714" priority="975">
      <formula>LEN(TRIM(AF2))=0</formula>
    </cfRule>
  </conditionalFormatting>
  <conditionalFormatting sqref="AF10:AH10">
    <cfRule type="containsText" dxfId="713" priority="968" operator="containsText" text="NEUTRO">
      <formula>NOT(ISERROR(SEARCH("NEUTRO",AF10)))</formula>
    </cfRule>
    <cfRule type="containsText" dxfId="712" priority="969" operator="containsText" text="BULLISH">
      <formula>NOT(ISERROR(SEARCH("BULLISH",AF10)))</formula>
    </cfRule>
    <cfRule type="containsText" dxfId="711" priority="970" operator="containsText" text="BEARISH">
      <formula>NOT(ISERROR(SEARCH("BEARISH",AF10)))</formula>
    </cfRule>
    <cfRule type="containsBlanks" dxfId="710" priority="971">
      <formula>LEN(TRIM(AF10))=0</formula>
    </cfRule>
  </conditionalFormatting>
  <conditionalFormatting sqref="AF13:AH13">
    <cfRule type="containsText" dxfId="709" priority="964" operator="containsText" text="NEUTRO">
      <formula>NOT(ISERROR(SEARCH("NEUTRO",AF13)))</formula>
    </cfRule>
    <cfRule type="containsText" dxfId="708" priority="965" operator="containsText" text="BULLISH">
      <formula>NOT(ISERROR(SEARCH("BULLISH",AF13)))</formula>
    </cfRule>
    <cfRule type="containsText" dxfId="707" priority="966" operator="containsText" text="BEARISH">
      <formula>NOT(ISERROR(SEARCH("BEARISH",AF13)))</formula>
    </cfRule>
    <cfRule type="containsBlanks" dxfId="706" priority="967">
      <formula>LEN(TRIM(AF13))=0</formula>
    </cfRule>
  </conditionalFormatting>
  <conditionalFormatting sqref="AF18:AH18">
    <cfRule type="containsText" dxfId="705" priority="960" operator="containsText" text="NEUTRO">
      <formula>NOT(ISERROR(SEARCH("NEUTRO",AF18)))</formula>
    </cfRule>
    <cfRule type="containsText" dxfId="704" priority="961" operator="containsText" text="BULLISH">
      <formula>NOT(ISERROR(SEARCH("BULLISH",AF18)))</formula>
    </cfRule>
    <cfRule type="containsText" dxfId="703" priority="962" operator="containsText" text="BEARISH">
      <formula>NOT(ISERROR(SEARCH("BEARISH",AF18)))</formula>
    </cfRule>
    <cfRule type="containsBlanks" dxfId="702" priority="963">
      <formula>LEN(TRIM(AF18))=0</formula>
    </cfRule>
  </conditionalFormatting>
  <conditionalFormatting sqref="AF24">
    <cfRule type="containsText" dxfId="701" priority="956" operator="containsText" text="NEUTRO">
      <formula>NOT(ISERROR(SEARCH("NEUTRO",AF24)))</formula>
    </cfRule>
    <cfRule type="containsText" dxfId="700" priority="957" operator="containsText" text="BULLISH">
      <formula>NOT(ISERROR(SEARCH("BULLISH",AF24)))</formula>
    </cfRule>
    <cfRule type="containsText" dxfId="699" priority="958" operator="containsText" text="BEARISH">
      <formula>NOT(ISERROR(SEARCH("BEARISH",AF24)))</formula>
    </cfRule>
    <cfRule type="containsBlanks" dxfId="698" priority="959">
      <formula>LEN(TRIM(AF24))=0</formula>
    </cfRule>
  </conditionalFormatting>
  <conditionalFormatting sqref="AF37:AH37">
    <cfRule type="containsText" dxfId="697" priority="952" operator="containsText" text="NEUTRO">
      <formula>NOT(ISERROR(SEARCH("NEUTRO",AF37)))</formula>
    </cfRule>
    <cfRule type="containsText" dxfId="696" priority="953" operator="containsText" text="BULLISH">
      <formula>NOT(ISERROR(SEARCH("BULLISH",AF37)))</formula>
    </cfRule>
    <cfRule type="containsText" dxfId="695" priority="954" operator="containsText" text="BEARISH">
      <formula>NOT(ISERROR(SEARCH("BEARISH",AF37)))</formula>
    </cfRule>
    <cfRule type="containsBlanks" dxfId="694" priority="955">
      <formula>LEN(TRIM(AF37))=0</formula>
    </cfRule>
  </conditionalFormatting>
  <conditionalFormatting sqref="AF40">
    <cfRule type="containsText" dxfId="693" priority="948" operator="containsText" text="NEUTRO">
      <formula>NOT(ISERROR(SEARCH("NEUTRO",AF40)))</formula>
    </cfRule>
    <cfRule type="containsText" dxfId="692" priority="949" operator="containsText" text="BULLISH">
      <formula>NOT(ISERROR(SEARCH("BULLISH",AF40)))</formula>
    </cfRule>
    <cfRule type="containsText" dxfId="691" priority="950" operator="containsText" text="BEARISH">
      <formula>NOT(ISERROR(SEARCH("BEARISH",AF40)))</formula>
    </cfRule>
    <cfRule type="containsBlanks" dxfId="690" priority="951">
      <formula>LEN(TRIM(AF40))=0</formula>
    </cfRule>
  </conditionalFormatting>
  <conditionalFormatting sqref="AE42">
    <cfRule type="cellIs" dxfId="689" priority="897" operator="equal">
      <formula>"-"</formula>
    </cfRule>
    <cfRule type="cellIs" dxfId="688" priority="898" operator="lessThan">
      <formula>0</formula>
    </cfRule>
    <cfRule type="cellIs" dxfId="687" priority="899" operator="greaterThan">
      <formula>0</formula>
    </cfRule>
  </conditionalFormatting>
  <conditionalFormatting sqref="AE6:AE8">
    <cfRule type="cellIs" dxfId="686" priority="945" operator="equal">
      <formula>"-"</formula>
    </cfRule>
    <cfRule type="cellIs" dxfId="685" priority="946" operator="lessThan">
      <formula>0</formula>
    </cfRule>
    <cfRule type="cellIs" dxfId="684" priority="947" operator="greaterThan">
      <formula>0</formula>
    </cfRule>
  </conditionalFormatting>
  <conditionalFormatting sqref="AE22">
    <cfRule type="cellIs" dxfId="683" priority="943" operator="lessThan">
      <formula>0</formula>
    </cfRule>
    <cfRule type="cellIs" dxfId="682" priority="944" operator="greaterThan">
      <formula>0</formula>
    </cfRule>
  </conditionalFormatting>
  <conditionalFormatting sqref="AE22">
    <cfRule type="cellIs" dxfId="681" priority="942" operator="equal">
      <formula>"-"</formula>
    </cfRule>
  </conditionalFormatting>
  <conditionalFormatting sqref="AE30">
    <cfRule type="cellIs" dxfId="680" priority="939" operator="equal">
      <formula>"-"</formula>
    </cfRule>
    <cfRule type="cellIs" dxfId="679" priority="940" operator="lessThan">
      <formula>0</formula>
    </cfRule>
    <cfRule type="cellIs" dxfId="678" priority="941" operator="greaterThan">
      <formula>0</formula>
    </cfRule>
  </conditionalFormatting>
  <conditionalFormatting sqref="AE25:AE29">
    <cfRule type="cellIs" dxfId="677" priority="936" operator="equal">
      <formula>"-"</formula>
    </cfRule>
    <cfRule type="cellIs" dxfId="676" priority="937" operator="lessThan">
      <formula>0</formula>
    </cfRule>
    <cfRule type="cellIs" dxfId="675" priority="938" operator="greaterThan">
      <formula>0</formula>
    </cfRule>
  </conditionalFormatting>
  <conditionalFormatting sqref="AE31">
    <cfRule type="cellIs" dxfId="674" priority="933" operator="equal">
      <formula>"-"</formula>
    </cfRule>
    <cfRule type="cellIs" dxfId="673" priority="934" operator="lessThan">
      <formula>0</formula>
    </cfRule>
    <cfRule type="cellIs" dxfId="672" priority="935" operator="greaterThan">
      <formula>0</formula>
    </cfRule>
  </conditionalFormatting>
  <conditionalFormatting sqref="AE32:AE34">
    <cfRule type="cellIs" dxfId="671" priority="931" operator="lessThan">
      <formula>0</formula>
    </cfRule>
    <cfRule type="cellIs" dxfId="670" priority="932" operator="greaterThan">
      <formula>0</formula>
    </cfRule>
  </conditionalFormatting>
  <conditionalFormatting sqref="AE32:AE34">
    <cfRule type="cellIs" dxfId="669" priority="930" operator="equal">
      <formula>"-"</formula>
    </cfRule>
  </conditionalFormatting>
  <conditionalFormatting sqref="AE35">
    <cfRule type="cellIs" dxfId="668" priority="928" operator="lessThan">
      <formula>0</formula>
    </cfRule>
    <cfRule type="cellIs" dxfId="667" priority="929" operator="greaterThan">
      <formula>0</formula>
    </cfRule>
  </conditionalFormatting>
  <conditionalFormatting sqref="AE35">
    <cfRule type="cellIs" dxfId="666" priority="927" operator="equal">
      <formula>"-"</formula>
    </cfRule>
  </conditionalFormatting>
  <conditionalFormatting sqref="AE3:AE5">
    <cfRule type="cellIs" dxfId="665" priority="924" operator="equal">
      <formula>"-"</formula>
    </cfRule>
    <cfRule type="cellIs" dxfId="664" priority="925" operator="lessThan">
      <formula>0</formula>
    </cfRule>
    <cfRule type="cellIs" dxfId="663" priority="926" operator="greaterThan">
      <formula>0</formula>
    </cfRule>
  </conditionalFormatting>
  <conditionalFormatting sqref="AE11">
    <cfRule type="cellIs" dxfId="662" priority="921" operator="equal">
      <formula>"-"</formula>
    </cfRule>
    <cfRule type="cellIs" dxfId="661" priority="922" operator="lessThan">
      <formula>0</formula>
    </cfRule>
    <cfRule type="cellIs" dxfId="660" priority="923" operator="greaterThan">
      <formula>0</formula>
    </cfRule>
  </conditionalFormatting>
  <conditionalFormatting sqref="AE15">
    <cfRule type="cellIs" dxfId="659" priority="919" operator="lessThan">
      <formula>0</formula>
    </cfRule>
    <cfRule type="cellIs" dxfId="658" priority="920" operator="greaterThan">
      <formula>0</formula>
    </cfRule>
  </conditionalFormatting>
  <conditionalFormatting sqref="AE15">
    <cfRule type="cellIs" dxfId="657" priority="918" operator="equal">
      <formula>"-"</formula>
    </cfRule>
  </conditionalFormatting>
  <conditionalFormatting sqref="AE14">
    <cfRule type="cellIs" dxfId="656" priority="915" operator="equal">
      <formula>"-"</formula>
    </cfRule>
    <cfRule type="cellIs" dxfId="655" priority="916" operator="lessThan">
      <formula>0</formula>
    </cfRule>
    <cfRule type="cellIs" dxfId="654" priority="917" operator="greaterThan">
      <formula>0</formula>
    </cfRule>
  </conditionalFormatting>
  <conditionalFormatting sqref="AE16">
    <cfRule type="cellIs" dxfId="653" priority="912" operator="equal">
      <formula>"-"</formula>
    </cfRule>
    <cfRule type="cellIs" dxfId="652" priority="913" operator="lessThan">
      <formula>0</formula>
    </cfRule>
    <cfRule type="cellIs" dxfId="651" priority="914" operator="greaterThan">
      <formula>0</formula>
    </cfRule>
  </conditionalFormatting>
  <conditionalFormatting sqref="AE19:AE20">
    <cfRule type="cellIs" dxfId="650" priority="909" operator="equal">
      <formula>"-"</formula>
    </cfRule>
    <cfRule type="cellIs" dxfId="649" priority="910" operator="lessThan">
      <formula>0</formula>
    </cfRule>
    <cfRule type="cellIs" dxfId="648" priority="911" operator="greaterThan">
      <formula>0</formula>
    </cfRule>
  </conditionalFormatting>
  <conditionalFormatting sqref="AE21">
    <cfRule type="cellIs" dxfId="647" priority="906" operator="equal">
      <formula>"-"</formula>
    </cfRule>
    <cfRule type="cellIs" dxfId="646" priority="907" operator="lessThan">
      <formula>0</formula>
    </cfRule>
    <cfRule type="cellIs" dxfId="645" priority="908" operator="greaterThan">
      <formula>0</formula>
    </cfRule>
  </conditionalFormatting>
  <conditionalFormatting sqref="AE38">
    <cfRule type="cellIs" dxfId="644" priority="903" operator="equal">
      <formula>"-"</formula>
    </cfRule>
    <cfRule type="cellIs" dxfId="643" priority="904" operator="lessThan">
      <formula>0</formula>
    </cfRule>
    <cfRule type="cellIs" dxfId="642" priority="905" operator="greaterThan">
      <formula>0</formula>
    </cfRule>
  </conditionalFormatting>
  <conditionalFormatting sqref="AE41">
    <cfRule type="cellIs" dxfId="641" priority="900" operator="equal">
      <formula>"-"</formula>
    </cfRule>
    <cfRule type="cellIs" dxfId="640" priority="901" operator="lessThan">
      <formula>0</formula>
    </cfRule>
    <cfRule type="cellIs" dxfId="639" priority="902" operator="greaterThan">
      <formula>0</formula>
    </cfRule>
  </conditionalFormatting>
  <conditionalFormatting sqref="AC2:AE2">
    <cfRule type="containsText" dxfId="638" priority="893" operator="containsText" text="NEUTRO">
      <formula>NOT(ISERROR(SEARCH("NEUTRO",AC2)))</formula>
    </cfRule>
    <cfRule type="containsText" dxfId="637" priority="894" operator="containsText" text="BULLISH">
      <formula>NOT(ISERROR(SEARCH("BULLISH",AC2)))</formula>
    </cfRule>
    <cfRule type="containsText" dxfId="636" priority="895" operator="containsText" text="BEARISH">
      <formula>NOT(ISERROR(SEARCH("BEARISH",AC2)))</formula>
    </cfRule>
    <cfRule type="containsBlanks" dxfId="635" priority="896">
      <formula>LEN(TRIM(AC2))=0</formula>
    </cfRule>
  </conditionalFormatting>
  <conditionalFormatting sqref="AC10:AE10">
    <cfRule type="containsText" dxfId="634" priority="889" operator="containsText" text="NEUTRO">
      <formula>NOT(ISERROR(SEARCH("NEUTRO",AC10)))</formula>
    </cfRule>
    <cfRule type="containsText" dxfId="633" priority="890" operator="containsText" text="BULLISH">
      <formula>NOT(ISERROR(SEARCH("BULLISH",AC10)))</formula>
    </cfRule>
    <cfRule type="containsText" dxfId="632" priority="891" operator="containsText" text="BEARISH">
      <formula>NOT(ISERROR(SEARCH("BEARISH",AC10)))</formula>
    </cfRule>
    <cfRule type="containsBlanks" dxfId="631" priority="892">
      <formula>LEN(TRIM(AC10))=0</formula>
    </cfRule>
  </conditionalFormatting>
  <conditionalFormatting sqref="AC13:AE13">
    <cfRule type="containsText" dxfId="630" priority="885" operator="containsText" text="NEUTRO">
      <formula>NOT(ISERROR(SEARCH("NEUTRO",AC13)))</formula>
    </cfRule>
    <cfRule type="containsText" dxfId="629" priority="886" operator="containsText" text="BULLISH">
      <formula>NOT(ISERROR(SEARCH("BULLISH",AC13)))</formula>
    </cfRule>
    <cfRule type="containsText" dxfId="628" priority="887" operator="containsText" text="BEARISH">
      <formula>NOT(ISERROR(SEARCH("BEARISH",AC13)))</formula>
    </cfRule>
    <cfRule type="containsBlanks" dxfId="627" priority="888">
      <formula>LEN(TRIM(AC13))=0</formula>
    </cfRule>
  </conditionalFormatting>
  <conditionalFormatting sqref="AC18:AE18">
    <cfRule type="containsText" dxfId="626" priority="881" operator="containsText" text="NEUTRO">
      <formula>NOT(ISERROR(SEARCH("NEUTRO",AC18)))</formula>
    </cfRule>
    <cfRule type="containsText" dxfId="625" priority="882" operator="containsText" text="BULLISH">
      <formula>NOT(ISERROR(SEARCH("BULLISH",AC18)))</formula>
    </cfRule>
    <cfRule type="containsText" dxfId="624" priority="883" operator="containsText" text="BEARISH">
      <formula>NOT(ISERROR(SEARCH("BEARISH",AC18)))</formula>
    </cfRule>
    <cfRule type="containsBlanks" dxfId="623" priority="884">
      <formula>LEN(TRIM(AC18))=0</formula>
    </cfRule>
  </conditionalFormatting>
  <conditionalFormatting sqref="AC24">
    <cfRule type="containsText" dxfId="622" priority="877" operator="containsText" text="NEUTRO">
      <formula>NOT(ISERROR(SEARCH("NEUTRO",AC24)))</formula>
    </cfRule>
    <cfRule type="containsText" dxfId="621" priority="878" operator="containsText" text="BULLISH">
      <formula>NOT(ISERROR(SEARCH("BULLISH",AC24)))</formula>
    </cfRule>
    <cfRule type="containsText" dxfId="620" priority="879" operator="containsText" text="BEARISH">
      <formula>NOT(ISERROR(SEARCH("BEARISH",AC24)))</formula>
    </cfRule>
    <cfRule type="containsBlanks" dxfId="619" priority="880">
      <formula>LEN(TRIM(AC24))=0</formula>
    </cfRule>
  </conditionalFormatting>
  <conditionalFormatting sqref="AC37:AE37">
    <cfRule type="containsText" dxfId="618" priority="873" operator="containsText" text="NEUTRO">
      <formula>NOT(ISERROR(SEARCH("NEUTRO",AC37)))</formula>
    </cfRule>
    <cfRule type="containsText" dxfId="617" priority="874" operator="containsText" text="BULLISH">
      <formula>NOT(ISERROR(SEARCH("BULLISH",AC37)))</formula>
    </cfRule>
    <cfRule type="containsText" dxfId="616" priority="875" operator="containsText" text="BEARISH">
      <formula>NOT(ISERROR(SEARCH("BEARISH",AC37)))</formula>
    </cfRule>
    <cfRule type="containsBlanks" dxfId="615" priority="876">
      <formula>LEN(TRIM(AC37))=0</formula>
    </cfRule>
  </conditionalFormatting>
  <conditionalFormatting sqref="AC40">
    <cfRule type="containsText" dxfId="614" priority="869" operator="containsText" text="NEUTRO">
      <formula>NOT(ISERROR(SEARCH("NEUTRO",AC40)))</formula>
    </cfRule>
    <cfRule type="containsText" dxfId="613" priority="870" operator="containsText" text="BULLISH">
      <formula>NOT(ISERROR(SEARCH("BULLISH",AC40)))</formula>
    </cfRule>
    <cfRule type="containsText" dxfId="612" priority="871" operator="containsText" text="BEARISH">
      <formula>NOT(ISERROR(SEARCH("BEARISH",AC40)))</formula>
    </cfRule>
    <cfRule type="containsBlanks" dxfId="611" priority="872">
      <formula>LEN(TRIM(AC40))=0</formula>
    </cfRule>
  </conditionalFormatting>
  <conditionalFormatting sqref="AB42">
    <cfRule type="cellIs" dxfId="610" priority="818" operator="equal">
      <formula>"-"</formula>
    </cfRule>
    <cfRule type="cellIs" dxfId="609" priority="819" operator="lessThan">
      <formula>0</formula>
    </cfRule>
    <cfRule type="cellIs" dxfId="608" priority="820" operator="greaterThan">
      <formula>0</formula>
    </cfRule>
  </conditionalFormatting>
  <conditionalFormatting sqref="AB6:AB8">
    <cfRule type="cellIs" dxfId="607" priority="866" operator="equal">
      <formula>"-"</formula>
    </cfRule>
    <cfRule type="cellIs" dxfId="606" priority="867" operator="lessThan">
      <formula>0</formula>
    </cfRule>
    <cfRule type="cellIs" dxfId="605" priority="868" operator="greaterThan">
      <formula>0</formula>
    </cfRule>
  </conditionalFormatting>
  <conditionalFormatting sqref="AB22">
    <cfRule type="cellIs" dxfId="604" priority="864" operator="lessThan">
      <formula>0</formula>
    </cfRule>
    <cfRule type="cellIs" dxfId="603" priority="865" operator="greaterThan">
      <formula>0</formula>
    </cfRule>
  </conditionalFormatting>
  <conditionalFormatting sqref="AB22">
    <cfRule type="cellIs" dxfId="602" priority="863" operator="equal">
      <formula>"-"</formula>
    </cfRule>
  </conditionalFormatting>
  <conditionalFormatting sqref="AB30">
    <cfRule type="cellIs" dxfId="601" priority="860" operator="equal">
      <formula>"-"</formula>
    </cfRule>
    <cfRule type="cellIs" dxfId="600" priority="861" operator="lessThan">
      <formula>0</formula>
    </cfRule>
    <cfRule type="cellIs" dxfId="599" priority="862" operator="greaterThan">
      <formula>0</formula>
    </cfRule>
  </conditionalFormatting>
  <conditionalFormatting sqref="AB25:AB29">
    <cfRule type="cellIs" dxfId="598" priority="857" operator="equal">
      <formula>"-"</formula>
    </cfRule>
    <cfRule type="cellIs" dxfId="597" priority="858" operator="lessThan">
      <formula>0</formula>
    </cfRule>
    <cfRule type="cellIs" dxfId="596" priority="859" operator="greaterThan">
      <formula>0</formula>
    </cfRule>
  </conditionalFormatting>
  <conditionalFormatting sqref="AB31">
    <cfRule type="cellIs" dxfId="595" priority="854" operator="equal">
      <formula>"-"</formula>
    </cfRule>
    <cfRule type="cellIs" dxfId="594" priority="855" operator="lessThan">
      <formula>0</formula>
    </cfRule>
    <cfRule type="cellIs" dxfId="593" priority="856" operator="greaterThan">
      <formula>0</formula>
    </cfRule>
  </conditionalFormatting>
  <conditionalFormatting sqref="AB32:AB34">
    <cfRule type="cellIs" dxfId="592" priority="852" operator="lessThan">
      <formula>0</formula>
    </cfRule>
    <cfRule type="cellIs" dxfId="591" priority="853" operator="greaterThan">
      <formula>0</formula>
    </cfRule>
  </conditionalFormatting>
  <conditionalFormatting sqref="AB32:AB34">
    <cfRule type="cellIs" dxfId="590" priority="851" operator="equal">
      <formula>"-"</formula>
    </cfRule>
  </conditionalFormatting>
  <conditionalFormatting sqref="AB35">
    <cfRule type="cellIs" dxfId="589" priority="849" operator="lessThan">
      <formula>0</formula>
    </cfRule>
    <cfRule type="cellIs" dxfId="588" priority="850" operator="greaterThan">
      <formula>0</formula>
    </cfRule>
  </conditionalFormatting>
  <conditionalFormatting sqref="AB35">
    <cfRule type="cellIs" dxfId="587" priority="848" operator="equal">
      <formula>"-"</formula>
    </cfRule>
  </conditionalFormatting>
  <conditionalFormatting sqref="AB3:AB5">
    <cfRule type="cellIs" dxfId="586" priority="845" operator="equal">
      <formula>"-"</formula>
    </cfRule>
    <cfRule type="cellIs" dxfId="585" priority="846" operator="lessThan">
      <formula>0</formula>
    </cfRule>
    <cfRule type="cellIs" dxfId="584" priority="847" operator="greaterThan">
      <formula>0</formula>
    </cfRule>
  </conditionalFormatting>
  <conditionalFormatting sqref="AB11">
    <cfRule type="cellIs" dxfId="583" priority="842" operator="equal">
      <formula>"-"</formula>
    </cfRule>
    <cfRule type="cellIs" dxfId="582" priority="843" operator="lessThan">
      <formula>0</formula>
    </cfRule>
    <cfRule type="cellIs" dxfId="581" priority="844" operator="greaterThan">
      <formula>0</formula>
    </cfRule>
  </conditionalFormatting>
  <conditionalFormatting sqref="AB15">
    <cfRule type="cellIs" dxfId="580" priority="840" operator="lessThan">
      <formula>0</formula>
    </cfRule>
    <cfRule type="cellIs" dxfId="579" priority="841" operator="greaterThan">
      <formula>0</formula>
    </cfRule>
  </conditionalFormatting>
  <conditionalFormatting sqref="AB15">
    <cfRule type="cellIs" dxfId="578" priority="839" operator="equal">
      <formula>"-"</formula>
    </cfRule>
  </conditionalFormatting>
  <conditionalFormatting sqref="AB14">
    <cfRule type="cellIs" dxfId="577" priority="836" operator="equal">
      <formula>"-"</formula>
    </cfRule>
    <cfRule type="cellIs" dxfId="576" priority="837" operator="lessThan">
      <formula>0</formula>
    </cfRule>
    <cfRule type="cellIs" dxfId="575" priority="838" operator="greaterThan">
      <formula>0</formula>
    </cfRule>
  </conditionalFormatting>
  <conditionalFormatting sqref="AB16">
    <cfRule type="cellIs" dxfId="574" priority="833" operator="equal">
      <formula>"-"</formula>
    </cfRule>
    <cfRule type="cellIs" dxfId="573" priority="834" operator="lessThan">
      <formula>0</formula>
    </cfRule>
    <cfRule type="cellIs" dxfId="572" priority="835" operator="greaterThan">
      <formula>0</formula>
    </cfRule>
  </conditionalFormatting>
  <conditionalFormatting sqref="AB19:AB20">
    <cfRule type="cellIs" dxfId="571" priority="830" operator="equal">
      <formula>"-"</formula>
    </cfRule>
    <cfRule type="cellIs" dxfId="570" priority="831" operator="lessThan">
      <formula>0</formula>
    </cfRule>
    <cfRule type="cellIs" dxfId="569" priority="832" operator="greaterThan">
      <formula>0</formula>
    </cfRule>
  </conditionalFormatting>
  <conditionalFormatting sqref="AB21">
    <cfRule type="cellIs" dxfId="568" priority="827" operator="equal">
      <formula>"-"</formula>
    </cfRule>
    <cfRule type="cellIs" dxfId="567" priority="828" operator="lessThan">
      <formula>0</formula>
    </cfRule>
    <cfRule type="cellIs" dxfId="566" priority="829" operator="greaterThan">
      <formula>0</formula>
    </cfRule>
  </conditionalFormatting>
  <conditionalFormatting sqref="AB38">
    <cfRule type="cellIs" dxfId="565" priority="824" operator="equal">
      <formula>"-"</formula>
    </cfRule>
    <cfRule type="cellIs" dxfId="564" priority="825" operator="lessThan">
      <formula>0</formula>
    </cfRule>
    <cfRule type="cellIs" dxfId="563" priority="826" operator="greaterThan">
      <formula>0</formula>
    </cfRule>
  </conditionalFormatting>
  <conditionalFormatting sqref="AB41">
    <cfRule type="cellIs" dxfId="562" priority="821" operator="equal">
      <formula>"-"</formula>
    </cfRule>
    <cfRule type="cellIs" dxfId="561" priority="822" operator="lessThan">
      <formula>0</formula>
    </cfRule>
    <cfRule type="cellIs" dxfId="560" priority="823" operator="greaterThan">
      <formula>0</formula>
    </cfRule>
  </conditionalFormatting>
  <conditionalFormatting sqref="Z13:AB13">
    <cfRule type="containsText" dxfId="559" priority="806" operator="containsText" text="NEUTRO">
      <formula>NOT(ISERROR(SEARCH("NEUTRO",Z13)))</formula>
    </cfRule>
    <cfRule type="containsText" dxfId="558" priority="807" operator="containsText" text="BULLISH">
      <formula>NOT(ISERROR(SEARCH("BULLISH",Z13)))</formula>
    </cfRule>
    <cfRule type="containsText" dxfId="557" priority="808" operator="containsText" text="BEARISH">
      <formula>NOT(ISERROR(SEARCH("BEARISH",Z13)))</formula>
    </cfRule>
    <cfRule type="containsBlanks" dxfId="556" priority="809">
      <formula>LEN(TRIM(Z13))=0</formula>
    </cfRule>
  </conditionalFormatting>
  <conditionalFormatting sqref="Z10:AB10">
    <cfRule type="containsText" dxfId="555" priority="810" operator="containsText" text="NEUTRO">
      <formula>NOT(ISERROR(SEARCH("NEUTRO",Z10)))</formula>
    </cfRule>
    <cfRule type="containsText" dxfId="554" priority="811" operator="containsText" text="BULLISH">
      <formula>NOT(ISERROR(SEARCH("BULLISH",Z10)))</formula>
    </cfRule>
    <cfRule type="containsText" dxfId="553" priority="812" operator="containsText" text="BEARISH">
      <formula>NOT(ISERROR(SEARCH("BEARISH",Z10)))</formula>
    </cfRule>
    <cfRule type="containsBlanks" dxfId="552" priority="813">
      <formula>LEN(TRIM(Z10))=0</formula>
    </cfRule>
  </conditionalFormatting>
  <conditionalFormatting sqref="Z2:AB2">
    <cfRule type="containsText" dxfId="551" priority="814" operator="containsText" text="NEUTRO">
      <formula>NOT(ISERROR(SEARCH("NEUTRO",Z2)))</formula>
    </cfRule>
    <cfRule type="containsText" dxfId="550" priority="815" operator="containsText" text="BULLISH">
      <formula>NOT(ISERROR(SEARCH("BULLISH",Z2)))</formula>
    </cfRule>
    <cfRule type="containsText" dxfId="549" priority="816" operator="containsText" text="BEARISH">
      <formula>NOT(ISERROR(SEARCH("BEARISH",Z2)))</formula>
    </cfRule>
    <cfRule type="containsBlanks" dxfId="548" priority="817">
      <formula>LEN(TRIM(Z2))=0</formula>
    </cfRule>
  </conditionalFormatting>
  <conditionalFormatting sqref="Z18:AB18">
    <cfRule type="containsText" dxfId="547" priority="802" operator="containsText" text="NEUTRO">
      <formula>NOT(ISERROR(SEARCH("NEUTRO",Z18)))</formula>
    </cfRule>
    <cfRule type="containsText" dxfId="546" priority="803" operator="containsText" text="BULLISH">
      <formula>NOT(ISERROR(SEARCH("BULLISH",Z18)))</formula>
    </cfRule>
    <cfRule type="containsText" dxfId="545" priority="804" operator="containsText" text="BEARISH">
      <formula>NOT(ISERROR(SEARCH("BEARISH",Z18)))</formula>
    </cfRule>
    <cfRule type="containsBlanks" dxfId="544" priority="805">
      <formula>LEN(TRIM(Z18))=0</formula>
    </cfRule>
  </conditionalFormatting>
  <conditionalFormatting sqref="Z24">
    <cfRule type="containsText" dxfId="543" priority="798" operator="containsText" text="NEUTRO">
      <formula>NOT(ISERROR(SEARCH("NEUTRO",Z24)))</formula>
    </cfRule>
    <cfRule type="containsText" dxfId="542" priority="799" operator="containsText" text="BULLISH">
      <formula>NOT(ISERROR(SEARCH("BULLISH",Z24)))</formula>
    </cfRule>
    <cfRule type="containsText" dxfId="541" priority="800" operator="containsText" text="BEARISH">
      <formula>NOT(ISERROR(SEARCH("BEARISH",Z24)))</formula>
    </cfRule>
    <cfRule type="containsBlanks" dxfId="540" priority="801">
      <formula>LEN(TRIM(Z24))=0</formula>
    </cfRule>
  </conditionalFormatting>
  <conditionalFormatting sqref="Z37:AB37">
    <cfRule type="containsText" dxfId="539" priority="794" operator="containsText" text="NEUTRO">
      <formula>NOT(ISERROR(SEARCH("NEUTRO",Z37)))</formula>
    </cfRule>
    <cfRule type="containsText" dxfId="538" priority="795" operator="containsText" text="BULLISH">
      <formula>NOT(ISERROR(SEARCH("BULLISH",Z37)))</formula>
    </cfRule>
    <cfRule type="containsText" dxfId="537" priority="796" operator="containsText" text="BEARISH">
      <formula>NOT(ISERROR(SEARCH("BEARISH",Z37)))</formula>
    </cfRule>
    <cfRule type="containsBlanks" dxfId="536" priority="797">
      <formula>LEN(TRIM(Z37))=0</formula>
    </cfRule>
  </conditionalFormatting>
  <conditionalFormatting sqref="Z40">
    <cfRule type="containsText" dxfId="535" priority="790" operator="containsText" text="NEUTRO">
      <formula>NOT(ISERROR(SEARCH("NEUTRO",Z40)))</formula>
    </cfRule>
    <cfRule type="containsText" dxfId="534" priority="791" operator="containsText" text="BULLISH">
      <formula>NOT(ISERROR(SEARCH("BULLISH",Z40)))</formula>
    </cfRule>
    <cfRule type="containsText" dxfId="533" priority="792" operator="containsText" text="BEARISH">
      <formula>NOT(ISERROR(SEARCH("BEARISH",Z40)))</formula>
    </cfRule>
    <cfRule type="containsBlanks" dxfId="532" priority="793">
      <formula>LEN(TRIM(Z40))=0</formula>
    </cfRule>
  </conditionalFormatting>
  <conditionalFormatting sqref="Y42">
    <cfRule type="cellIs" dxfId="531" priority="739" operator="equal">
      <formula>"-"</formula>
    </cfRule>
    <cfRule type="cellIs" dxfId="530" priority="740" operator="lessThan">
      <formula>0</formula>
    </cfRule>
    <cfRule type="cellIs" dxfId="529" priority="741" operator="greaterThan">
      <formula>0</formula>
    </cfRule>
  </conditionalFormatting>
  <conditionalFormatting sqref="Y6:Y8">
    <cfRule type="cellIs" dxfId="528" priority="787" operator="equal">
      <formula>"-"</formula>
    </cfRule>
    <cfRule type="cellIs" dxfId="527" priority="788" operator="lessThan">
      <formula>0</formula>
    </cfRule>
    <cfRule type="cellIs" dxfId="526" priority="789" operator="greaterThan">
      <formula>0</formula>
    </cfRule>
  </conditionalFormatting>
  <conditionalFormatting sqref="Y22">
    <cfRule type="cellIs" dxfId="525" priority="785" operator="lessThan">
      <formula>0</formula>
    </cfRule>
    <cfRule type="cellIs" dxfId="524" priority="786" operator="greaterThan">
      <formula>0</formula>
    </cfRule>
  </conditionalFormatting>
  <conditionalFormatting sqref="Y22">
    <cfRule type="cellIs" dxfId="523" priority="784" operator="equal">
      <formula>"-"</formula>
    </cfRule>
  </conditionalFormatting>
  <conditionalFormatting sqref="Y30">
    <cfRule type="cellIs" dxfId="522" priority="781" operator="equal">
      <formula>"-"</formula>
    </cfRule>
    <cfRule type="cellIs" dxfId="521" priority="782" operator="lessThan">
      <formula>0</formula>
    </cfRule>
    <cfRule type="cellIs" dxfId="520" priority="783" operator="greaterThan">
      <formula>0</formula>
    </cfRule>
  </conditionalFormatting>
  <conditionalFormatting sqref="Y25:Y29">
    <cfRule type="cellIs" dxfId="519" priority="778" operator="equal">
      <formula>"-"</formula>
    </cfRule>
    <cfRule type="cellIs" dxfId="518" priority="779" operator="lessThan">
      <formula>0</formula>
    </cfRule>
    <cfRule type="cellIs" dxfId="517" priority="780" operator="greaterThan">
      <formula>0</formula>
    </cfRule>
  </conditionalFormatting>
  <conditionalFormatting sqref="Y31">
    <cfRule type="cellIs" dxfId="516" priority="775" operator="equal">
      <formula>"-"</formula>
    </cfRule>
    <cfRule type="cellIs" dxfId="515" priority="776" operator="lessThan">
      <formula>0</formula>
    </cfRule>
    <cfRule type="cellIs" dxfId="514" priority="777" operator="greaterThan">
      <formula>0</formula>
    </cfRule>
  </conditionalFormatting>
  <conditionalFormatting sqref="Y32:Y34">
    <cfRule type="cellIs" dxfId="513" priority="773" operator="lessThan">
      <formula>0</formula>
    </cfRule>
    <cfRule type="cellIs" dxfId="512" priority="774" operator="greaterThan">
      <formula>0</formula>
    </cfRule>
  </conditionalFormatting>
  <conditionalFormatting sqref="Y32:Y34">
    <cfRule type="cellIs" dxfId="511" priority="772" operator="equal">
      <formula>"-"</formula>
    </cfRule>
  </conditionalFormatting>
  <conditionalFormatting sqref="Y35">
    <cfRule type="cellIs" dxfId="510" priority="770" operator="lessThan">
      <formula>0</formula>
    </cfRule>
    <cfRule type="cellIs" dxfId="509" priority="771" operator="greaterThan">
      <formula>0</formula>
    </cfRule>
  </conditionalFormatting>
  <conditionalFormatting sqref="Y35">
    <cfRule type="cellIs" dxfId="508" priority="769" operator="equal">
      <formula>"-"</formula>
    </cfRule>
  </conditionalFormatting>
  <conditionalFormatting sqref="Y3:Y5">
    <cfRule type="cellIs" dxfId="507" priority="766" operator="equal">
      <formula>"-"</formula>
    </cfRule>
    <cfRule type="cellIs" dxfId="506" priority="767" operator="lessThan">
      <formula>0</formula>
    </cfRule>
    <cfRule type="cellIs" dxfId="505" priority="768" operator="greaterThan">
      <formula>0</formula>
    </cfRule>
  </conditionalFormatting>
  <conditionalFormatting sqref="Y11">
    <cfRule type="cellIs" dxfId="504" priority="763" operator="equal">
      <formula>"-"</formula>
    </cfRule>
    <cfRule type="cellIs" dxfId="503" priority="764" operator="lessThan">
      <formula>0</formula>
    </cfRule>
    <cfRule type="cellIs" dxfId="502" priority="765" operator="greaterThan">
      <formula>0</formula>
    </cfRule>
  </conditionalFormatting>
  <conditionalFormatting sqref="Y15">
    <cfRule type="cellIs" dxfId="501" priority="761" operator="lessThan">
      <formula>0</formula>
    </cfRule>
    <cfRule type="cellIs" dxfId="500" priority="762" operator="greaterThan">
      <formula>0</formula>
    </cfRule>
  </conditionalFormatting>
  <conditionalFormatting sqref="Y15">
    <cfRule type="cellIs" dxfId="499" priority="760" operator="equal">
      <formula>"-"</formula>
    </cfRule>
  </conditionalFormatting>
  <conditionalFormatting sqref="Y14">
    <cfRule type="cellIs" dxfId="498" priority="757" operator="equal">
      <formula>"-"</formula>
    </cfRule>
    <cfRule type="cellIs" dxfId="497" priority="758" operator="lessThan">
      <formula>0</formula>
    </cfRule>
    <cfRule type="cellIs" dxfId="496" priority="759" operator="greaterThan">
      <formula>0</formula>
    </cfRule>
  </conditionalFormatting>
  <conditionalFormatting sqref="Y16">
    <cfRule type="cellIs" dxfId="495" priority="754" operator="equal">
      <formula>"-"</formula>
    </cfRule>
    <cfRule type="cellIs" dxfId="494" priority="755" operator="lessThan">
      <formula>0</formula>
    </cfRule>
    <cfRule type="cellIs" dxfId="493" priority="756" operator="greaterThan">
      <formula>0</formula>
    </cfRule>
  </conditionalFormatting>
  <conditionalFormatting sqref="Y19:Y20">
    <cfRule type="cellIs" dxfId="492" priority="751" operator="equal">
      <formula>"-"</formula>
    </cfRule>
    <cfRule type="cellIs" dxfId="491" priority="752" operator="lessThan">
      <formula>0</formula>
    </cfRule>
    <cfRule type="cellIs" dxfId="490" priority="753" operator="greaterThan">
      <formula>0</formula>
    </cfRule>
  </conditionalFormatting>
  <conditionalFormatting sqref="Y21">
    <cfRule type="cellIs" dxfId="489" priority="748" operator="equal">
      <formula>"-"</formula>
    </cfRule>
    <cfRule type="cellIs" dxfId="488" priority="749" operator="lessThan">
      <formula>0</formula>
    </cfRule>
    <cfRule type="cellIs" dxfId="487" priority="750" operator="greaterThan">
      <formula>0</formula>
    </cfRule>
  </conditionalFormatting>
  <conditionalFormatting sqref="Y38">
    <cfRule type="cellIs" dxfId="486" priority="745" operator="equal">
      <formula>"-"</formula>
    </cfRule>
    <cfRule type="cellIs" dxfId="485" priority="746" operator="lessThan">
      <formula>0</formula>
    </cfRule>
    <cfRule type="cellIs" dxfId="484" priority="747" operator="greaterThan">
      <formula>0</formula>
    </cfRule>
  </conditionalFormatting>
  <conditionalFormatting sqref="Y41">
    <cfRule type="cellIs" dxfId="483" priority="742" operator="equal">
      <formula>"-"</formula>
    </cfRule>
    <cfRule type="cellIs" dxfId="482" priority="743" operator="lessThan">
      <formula>0</formula>
    </cfRule>
    <cfRule type="cellIs" dxfId="481" priority="744" operator="greaterThan">
      <formula>0</formula>
    </cfRule>
  </conditionalFormatting>
  <conditionalFormatting sqref="W2:Y2">
    <cfRule type="containsText" dxfId="480" priority="735" operator="containsText" text="NEUTRO">
      <formula>NOT(ISERROR(SEARCH("NEUTRO",W2)))</formula>
    </cfRule>
    <cfRule type="containsText" dxfId="479" priority="736" operator="containsText" text="BULLISH">
      <formula>NOT(ISERROR(SEARCH("BULLISH",W2)))</formula>
    </cfRule>
    <cfRule type="containsText" dxfId="478" priority="737" operator="containsText" text="BEARISH">
      <formula>NOT(ISERROR(SEARCH("BEARISH",W2)))</formula>
    </cfRule>
    <cfRule type="containsBlanks" dxfId="477" priority="738">
      <formula>LEN(TRIM(W2))=0</formula>
    </cfRule>
  </conditionalFormatting>
  <conditionalFormatting sqref="W10:Y10">
    <cfRule type="containsText" dxfId="476" priority="731" operator="containsText" text="NEUTRO">
      <formula>NOT(ISERROR(SEARCH("NEUTRO",W10)))</formula>
    </cfRule>
    <cfRule type="containsText" dxfId="475" priority="732" operator="containsText" text="BULLISH">
      <formula>NOT(ISERROR(SEARCH("BULLISH",W10)))</formula>
    </cfRule>
    <cfRule type="containsText" dxfId="474" priority="733" operator="containsText" text="BEARISH">
      <formula>NOT(ISERROR(SEARCH("BEARISH",W10)))</formula>
    </cfRule>
    <cfRule type="containsBlanks" dxfId="473" priority="734">
      <formula>LEN(TRIM(W10))=0</formula>
    </cfRule>
  </conditionalFormatting>
  <conditionalFormatting sqref="W13:Y13">
    <cfRule type="containsText" dxfId="472" priority="727" operator="containsText" text="NEUTRO">
      <formula>NOT(ISERROR(SEARCH("NEUTRO",W13)))</formula>
    </cfRule>
    <cfRule type="containsText" dxfId="471" priority="728" operator="containsText" text="BULLISH">
      <formula>NOT(ISERROR(SEARCH("BULLISH",W13)))</formula>
    </cfRule>
    <cfRule type="containsText" dxfId="470" priority="729" operator="containsText" text="BEARISH">
      <formula>NOT(ISERROR(SEARCH("BEARISH",W13)))</formula>
    </cfRule>
    <cfRule type="containsBlanks" dxfId="469" priority="730">
      <formula>LEN(TRIM(W13))=0</formula>
    </cfRule>
  </conditionalFormatting>
  <conditionalFormatting sqref="W18:Y18">
    <cfRule type="containsText" dxfId="468" priority="723" operator="containsText" text="NEUTRO">
      <formula>NOT(ISERROR(SEARCH("NEUTRO",W18)))</formula>
    </cfRule>
    <cfRule type="containsText" dxfId="467" priority="724" operator="containsText" text="BULLISH">
      <formula>NOT(ISERROR(SEARCH("BULLISH",W18)))</formula>
    </cfRule>
    <cfRule type="containsText" dxfId="466" priority="725" operator="containsText" text="BEARISH">
      <formula>NOT(ISERROR(SEARCH("BEARISH",W18)))</formula>
    </cfRule>
    <cfRule type="containsBlanks" dxfId="465" priority="726">
      <formula>LEN(TRIM(W18))=0</formula>
    </cfRule>
  </conditionalFormatting>
  <conditionalFormatting sqref="W24">
    <cfRule type="containsText" dxfId="464" priority="719" operator="containsText" text="NEUTRO">
      <formula>NOT(ISERROR(SEARCH("NEUTRO",W24)))</formula>
    </cfRule>
    <cfRule type="containsText" dxfId="463" priority="720" operator="containsText" text="BULLISH">
      <formula>NOT(ISERROR(SEARCH("BULLISH",W24)))</formula>
    </cfRule>
    <cfRule type="containsText" dxfId="462" priority="721" operator="containsText" text="BEARISH">
      <formula>NOT(ISERROR(SEARCH("BEARISH",W24)))</formula>
    </cfRule>
    <cfRule type="containsBlanks" dxfId="461" priority="722">
      <formula>LEN(TRIM(W24))=0</formula>
    </cfRule>
  </conditionalFormatting>
  <conditionalFormatting sqref="W37:Y37">
    <cfRule type="containsText" dxfId="460" priority="715" operator="containsText" text="NEUTRO">
      <formula>NOT(ISERROR(SEARCH("NEUTRO",W37)))</formula>
    </cfRule>
    <cfRule type="containsText" dxfId="459" priority="716" operator="containsText" text="BULLISH">
      <formula>NOT(ISERROR(SEARCH("BULLISH",W37)))</formula>
    </cfRule>
    <cfRule type="containsText" dxfId="458" priority="717" operator="containsText" text="BEARISH">
      <formula>NOT(ISERROR(SEARCH("BEARISH",W37)))</formula>
    </cfRule>
    <cfRule type="containsBlanks" dxfId="457" priority="718">
      <formula>LEN(TRIM(W37))=0</formula>
    </cfRule>
  </conditionalFormatting>
  <conditionalFormatting sqref="W40">
    <cfRule type="containsText" dxfId="456" priority="711" operator="containsText" text="NEUTRO">
      <formula>NOT(ISERROR(SEARCH("NEUTRO",W40)))</formula>
    </cfRule>
    <cfRule type="containsText" dxfId="455" priority="712" operator="containsText" text="BULLISH">
      <formula>NOT(ISERROR(SEARCH("BULLISH",W40)))</formula>
    </cfRule>
    <cfRule type="containsText" dxfId="454" priority="713" operator="containsText" text="BEARISH">
      <formula>NOT(ISERROR(SEARCH("BEARISH",W40)))</formula>
    </cfRule>
    <cfRule type="containsBlanks" dxfId="453" priority="714">
      <formula>LEN(TRIM(W40))=0</formula>
    </cfRule>
  </conditionalFormatting>
  <conditionalFormatting sqref="V42">
    <cfRule type="cellIs" dxfId="452" priority="660" operator="equal">
      <formula>"-"</formula>
    </cfRule>
    <cfRule type="cellIs" dxfId="451" priority="661" operator="lessThan">
      <formula>0</formula>
    </cfRule>
    <cfRule type="cellIs" dxfId="450" priority="662" operator="greaterThan">
      <formula>0</formula>
    </cfRule>
  </conditionalFormatting>
  <conditionalFormatting sqref="V6:V8">
    <cfRule type="cellIs" dxfId="449" priority="708" operator="equal">
      <formula>"-"</formula>
    </cfRule>
    <cfRule type="cellIs" dxfId="448" priority="709" operator="lessThan">
      <formula>0</formula>
    </cfRule>
    <cfRule type="cellIs" dxfId="447" priority="710" operator="greaterThan">
      <formula>0</formula>
    </cfRule>
  </conditionalFormatting>
  <conditionalFormatting sqref="V22">
    <cfRule type="cellIs" dxfId="446" priority="706" operator="lessThan">
      <formula>0</formula>
    </cfRule>
    <cfRule type="cellIs" dxfId="445" priority="707" operator="greaterThan">
      <formula>0</formula>
    </cfRule>
  </conditionalFormatting>
  <conditionalFormatting sqref="V22">
    <cfRule type="cellIs" dxfId="444" priority="705" operator="equal">
      <formula>"-"</formula>
    </cfRule>
  </conditionalFormatting>
  <conditionalFormatting sqref="V30">
    <cfRule type="cellIs" dxfId="443" priority="702" operator="equal">
      <formula>"-"</formula>
    </cfRule>
    <cfRule type="cellIs" dxfId="442" priority="703" operator="lessThan">
      <formula>0</formula>
    </cfRule>
    <cfRule type="cellIs" dxfId="441" priority="704" operator="greaterThan">
      <formula>0</formula>
    </cfRule>
  </conditionalFormatting>
  <conditionalFormatting sqref="V25:V29">
    <cfRule type="cellIs" dxfId="440" priority="699" operator="equal">
      <formula>"-"</formula>
    </cfRule>
    <cfRule type="cellIs" dxfId="439" priority="700" operator="lessThan">
      <formula>0</formula>
    </cfRule>
    <cfRule type="cellIs" dxfId="438" priority="701" operator="greaterThan">
      <formula>0</formula>
    </cfRule>
  </conditionalFormatting>
  <conditionalFormatting sqref="V31">
    <cfRule type="cellIs" dxfId="437" priority="696" operator="equal">
      <formula>"-"</formula>
    </cfRule>
    <cfRule type="cellIs" dxfId="436" priority="697" operator="lessThan">
      <formula>0</formula>
    </cfRule>
    <cfRule type="cellIs" dxfId="435" priority="698" operator="greaterThan">
      <formula>0</formula>
    </cfRule>
  </conditionalFormatting>
  <conditionalFormatting sqref="V32:V34">
    <cfRule type="cellIs" dxfId="434" priority="694" operator="lessThan">
      <formula>0</formula>
    </cfRule>
    <cfRule type="cellIs" dxfId="433" priority="695" operator="greaterThan">
      <formula>0</formula>
    </cfRule>
  </conditionalFormatting>
  <conditionalFormatting sqref="V32:V34">
    <cfRule type="cellIs" dxfId="432" priority="693" operator="equal">
      <formula>"-"</formula>
    </cfRule>
  </conditionalFormatting>
  <conditionalFormatting sqref="V35">
    <cfRule type="cellIs" dxfId="431" priority="691" operator="lessThan">
      <formula>0</formula>
    </cfRule>
    <cfRule type="cellIs" dxfId="430" priority="692" operator="greaterThan">
      <formula>0</formula>
    </cfRule>
  </conditionalFormatting>
  <conditionalFormatting sqref="V35">
    <cfRule type="cellIs" dxfId="429" priority="690" operator="equal">
      <formula>"-"</formula>
    </cfRule>
  </conditionalFormatting>
  <conditionalFormatting sqref="V3:V5">
    <cfRule type="cellIs" dxfId="428" priority="687" operator="equal">
      <formula>"-"</formula>
    </cfRule>
    <cfRule type="cellIs" dxfId="427" priority="688" operator="lessThan">
      <formula>0</formula>
    </cfRule>
    <cfRule type="cellIs" dxfId="426" priority="689" operator="greaterThan">
      <formula>0</formula>
    </cfRule>
  </conditionalFormatting>
  <conditionalFormatting sqref="V11">
    <cfRule type="cellIs" dxfId="425" priority="684" operator="equal">
      <formula>"-"</formula>
    </cfRule>
    <cfRule type="cellIs" dxfId="424" priority="685" operator="lessThan">
      <formula>0</formula>
    </cfRule>
    <cfRule type="cellIs" dxfId="423" priority="686" operator="greaterThan">
      <formula>0</formula>
    </cfRule>
  </conditionalFormatting>
  <conditionalFormatting sqref="V15">
    <cfRule type="cellIs" dxfId="422" priority="682" operator="lessThan">
      <formula>0</formula>
    </cfRule>
    <cfRule type="cellIs" dxfId="421" priority="683" operator="greaterThan">
      <formula>0</formula>
    </cfRule>
  </conditionalFormatting>
  <conditionalFormatting sqref="V15">
    <cfRule type="cellIs" dxfId="420" priority="681" operator="equal">
      <formula>"-"</formula>
    </cfRule>
  </conditionalFormatting>
  <conditionalFormatting sqref="V14">
    <cfRule type="cellIs" dxfId="419" priority="678" operator="equal">
      <formula>"-"</formula>
    </cfRule>
    <cfRule type="cellIs" dxfId="418" priority="679" operator="lessThan">
      <formula>0</formula>
    </cfRule>
    <cfRule type="cellIs" dxfId="417" priority="680" operator="greaterThan">
      <formula>0</formula>
    </cfRule>
  </conditionalFormatting>
  <conditionalFormatting sqref="V16">
    <cfRule type="cellIs" dxfId="416" priority="675" operator="equal">
      <formula>"-"</formula>
    </cfRule>
    <cfRule type="cellIs" dxfId="415" priority="676" operator="lessThan">
      <formula>0</formula>
    </cfRule>
    <cfRule type="cellIs" dxfId="414" priority="677" operator="greaterThan">
      <formula>0</formula>
    </cfRule>
  </conditionalFormatting>
  <conditionalFormatting sqref="V19:V20">
    <cfRule type="cellIs" dxfId="413" priority="672" operator="equal">
      <formula>"-"</formula>
    </cfRule>
    <cfRule type="cellIs" dxfId="412" priority="673" operator="lessThan">
      <formula>0</formula>
    </cfRule>
    <cfRule type="cellIs" dxfId="411" priority="674" operator="greaterThan">
      <formula>0</formula>
    </cfRule>
  </conditionalFormatting>
  <conditionalFormatting sqref="V21">
    <cfRule type="cellIs" dxfId="410" priority="669" operator="equal">
      <formula>"-"</formula>
    </cfRule>
    <cfRule type="cellIs" dxfId="409" priority="670" operator="lessThan">
      <formula>0</formula>
    </cfRule>
    <cfRule type="cellIs" dxfId="408" priority="671" operator="greaterThan">
      <formula>0</formula>
    </cfRule>
  </conditionalFormatting>
  <conditionalFormatting sqref="V38">
    <cfRule type="cellIs" dxfId="407" priority="666" operator="equal">
      <formula>"-"</formula>
    </cfRule>
    <cfRule type="cellIs" dxfId="406" priority="667" operator="lessThan">
      <formula>0</formula>
    </cfRule>
    <cfRule type="cellIs" dxfId="405" priority="668" operator="greaterThan">
      <formula>0</formula>
    </cfRule>
  </conditionalFormatting>
  <conditionalFormatting sqref="V41">
    <cfRule type="cellIs" dxfId="404" priority="663" operator="equal">
      <formula>"-"</formula>
    </cfRule>
    <cfRule type="cellIs" dxfId="403" priority="664" operator="lessThan">
      <formula>0</formula>
    </cfRule>
    <cfRule type="cellIs" dxfId="402" priority="665" operator="greaterThan">
      <formula>0</formula>
    </cfRule>
  </conditionalFormatting>
  <conditionalFormatting sqref="T2:V2">
    <cfRule type="containsText" dxfId="401" priority="636" operator="containsText" text="NEUTRO">
      <formula>NOT(ISERROR(SEARCH("NEUTRO",T2)))</formula>
    </cfRule>
    <cfRule type="containsText" dxfId="400" priority="637" operator="containsText" text="BULLISH">
      <formula>NOT(ISERROR(SEARCH("BULLISH",T2)))</formula>
    </cfRule>
    <cfRule type="containsText" dxfId="399" priority="638" operator="containsText" text="BEARISH">
      <formula>NOT(ISERROR(SEARCH("BEARISH",T2)))</formula>
    </cfRule>
    <cfRule type="containsBlanks" dxfId="398" priority="639">
      <formula>LEN(TRIM(T2))=0</formula>
    </cfRule>
  </conditionalFormatting>
  <conditionalFormatting sqref="T10:V10">
    <cfRule type="containsText" dxfId="397" priority="632" operator="containsText" text="NEUTRO">
      <formula>NOT(ISERROR(SEARCH("NEUTRO",T10)))</formula>
    </cfRule>
    <cfRule type="containsText" dxfId="396" priority="633" operator="containsText" text="BULLISH">
      <formula>NOT(ISERROR(SEARCH("BULLISH",T10)))</formula>
    </cfRule>
    <cfRule type="containsText" dxfId="395" priority="634" operator="containsText" text="BEARISH">
      <formula>NOT(ISERROR(SEARCH("BEARISH",T10)))</formula>
    </cfRule>
    <cfRule type="containsBlanks" dxfId="394" priority="635">
      <formula>LEN(TRIM(T10))=0</formula>
    </cfRule>
  </conditionalFormatting>
  <conditionalFormatting sqref="T13:V13">
    <cfRule type="containsText" dxfId="393" priority="628" operator="containsText" text="NEUTRO">
      <formula>NOT(ISERROR(SEARCH("NEUTRO",T13)))</formula>
    </cfRule>
    <cfRule type="containsText" dxfId="392" priority="629" operator="containsText" text="BULLISH">
      <formula>NOT(ISERROR(SEARCH("BULLISH",T13)))</formula>
    </cfRule>
    <cfRule type="containsText" dxfId="391" priority="630" operator="containsText" text="BEARISH">
      <formula>NOT(ISERROR(SEARCH("BEARISH",T13)))</formula>
    </cfRule>
    <cfRule type="containsBlanks" dxfId="390" priority="631">
      <formula>LEN(TRIM(T13))=0</formula>
    </cfRule>
  </conditionalFormatting>
  <conditionalFormatting sqref="T18:V18">
    <cfRule type="containsText" dxfId="389" priority="624" operator="containsText" text="NEUTRO">
      <formula>NOT(ISERROR(SEARCH("NEUTRO",T18)))</formula>
    </cfRule>
    <cfRule type="containsText" dxfId="388" priority="625" operator="containsText" text="BULLISH">
      <formula>NOT(ISERROR(SEARCH("BULLISH",T18)))</formula>
    </cfRule>
    <cfRule type="containsText" dxfId="387" priority="626" operator="containsText" text="BEARISH">
      <formula>NOT(ISERROR(SEARCH("BEARISH",T18)))</formula>
    </cfRule>
    <cfRule type="containsBlanks" dxfId="386" priority="627">
      <formula>LEN(TRIM(T18))=0</formula>
    </cfRule>
  </conditionalFormatting>
  <conditionalFormatting sqref="T24">
    <cfRule type="containsText" dxfId="385" priority="620" operator="containsText" text="NEUTRO">
      <formula>NOT(ISERROR(SEARCH("NEUTRO",T24)))</formula>
    </cfRule>
    <cfRule type="containsText" dxfId="384" priority="621" operator="containsText" text="BULLISH">
      <formula>NOT(ISERROR(SEARCH("BULLISH",T24)))</formula>
    </cfRule>
    <cfRule type="containsText" dxfId="383" priority="622" operator="containsText" text="BEARISH">
      <formula>NOT(ISERROR(SEARCH("BEARISH",T24)))</formula>
    </cfRule>
    <cfRule type="containsBlanks" dxfId="382" priority="623">
      <formula>LEN(TRIM(T24))=0</formula>
    </cfRule>
  </conditionalFormatting>
  <conditionalFormatting sqref="T37:V37">
    <cfRule type="containsText" dxfId="381" priority="616" operator="containsText" text="NEUTRO">
      <formula>NOT(ISERROR(SEARCH("NEUTRO",T37)))</formula>
    </cfRule>
    <cfRule type="containsText" dxfId="380" priority="617" operator="containsText" text="BULLISH">
      <formula>NOT(ISERROR(SEARCH("BULLISH",T37)))</formula>
    </cfRule>
    <cfRule type="containsText" dxfId="379" priority="618" operator="containsText" text="BEARISH">
      <formula>NOT(ISERROR(SEARCH("BEARISH",T37)))</formula>
    </cfRule>
    <cfRule type="containsBlanks" dxfId="378" priority="619">
      <formula>LEN(TRIM(T37))=0</formula>
    </cfRule>
  </conditionalFormatting>
  <conditionalFormatting sqref="T40">
    <cfRule type="containsText" dxfId="377" priority="612" operator="containsText" text="NEUTRO">
      <formula>NOT(ISERROR(SEARCH("NEUTRO",T40)))</formula>
    </cfRule>
    <cfRule type="containsText" dxfId="376" priority="613" operator="containsText" text="BULLISH">
      <formula>NOT(ISERROR(SEARCH("BULLISH",T40)))</formula>
    </cfRule>
    <cfRule type="containsText" dxfId="375" priority="614" operator="containsText" text="BEARISH">
      <formula>NOT(ISERROR(SEARCH("BEARISH",T40)))</formula>
    </cfRule>
    <cfRule type="containsBlanks" dxfId="374" priority="615">
      <formula>LEN(TRIM(T40))=0</formula>
    </cfRule>
  </conditionalFormatting>
  <conditionalFormatting sqref="S42">
    <cfRule type="cellIs" dxfId="373" priority="561" operator="equal">
      <formula>"-"</formula>
    </cfRule>
    <cfRule type="cellIs" dxfId="372" priority="562" operator="lessThan">
      <formula>0</formula>
    </cfRule>
    <cfRule type="cellIs" dxfId="371" priority="563" operator="greaterThan">
      <formula>0</formula>
    </cfRule>
  </conditionalFormatting>
  <conditionalFormatting sqref="S6:S8">
    <cfRule type="cellIs" dxfId="370" priority="609" operator="equal">
      <formula>"-"</formula>
    </cfRule>
    <cfRule type="cellIs" dxfId="369" priority="610" operator="lessThan">
      <formula>0</formula>
    </cfRule>
    <cfRule type="cellIs" dxfId="368" priority="611" operator="greaterThan">
      <formula>0</formula>
    </cfRule>
  </conditionalFormatting>
  <conditionalFormatting sqref="S22">
    <cfRule type="cellIs" dxfId="367" priority="607" operator="lessThan">
      <formula>0</formula>
    </cfRule>
    <cfRule type="cellIs" dxfId="366" priority="608" operator="greaterThan">
      <formula>0</formula>
    </cfRule>
  </conditionalFormatting>
  <conditionalFormatting sqref="S22">
    <cfRule type="cellIs" dxfId="365" priority="606" operator="equal">
      <formula>"-"</formula>
    </cfRule>
  </conditionalFormatting>
  <conditionalFormatting sqref="S30">
    <cfRule type="cellIs" dxfId="364" priority="603" operator="equal">
      <formula>"-"</formula>
    </cfRule>
    <cfRule type="cellIs" dxfId="363" priority="604" operator="lessThan">
      <formula>0</formula>
    </cfRule>
    <cfRule type="cellIs" dxfId="362" priority="605" operator="greaterThan">
      <formula>0</formula>
    </cfRule>
  </conditionalFormatting>
  <conditionalFormatting sqref="S25:S29">
    <cfRule type="cellIs" dxfId="361" priority="600" operator="equal">
      <formula>"-"</formula>
    </cfRule>
    <cfRule type="cellIs" dxfId="360" priority="601" operator="lessThan">
      <formula>0</formula>
    </cfRule>
    <cfRule type="cellIs" dxfId="359" priority="602" operator="greaterThan">
      <formula>0</formula>
    </cfRule>
  </conditionalFormatting>
  <conditionalFormatting sqref="S31">
    <cfRule type="cellIs" dxfId="358" priority="597" operator="equal">
      <formula>"-"</formula>
    </cfRule>
    <cfRule type="cellIs" dxfId="357" priority="598" operator="lessThan">
      <formula>0</formula>
    </cfRule>
    <cfRule type="cellIs" dxfId="356" priority="599" operator="greaterThan">
      <formula>0</formula>
    </cfRule>
  </conditionalFormatting>
  <conditionalFormatting sqref="S32:S34">
    <cfRule type="cellIs" dxfId="355" priority="595" operator="lessThan">
      <formula>0</formula>
    </cfRule>
    <cfRule type="cellIs" dxfId="354" priority="596" operator="greaterThan">
      <formula>0</formula>
    </cfRule>
  </conditionalFormatting>
  <conditionalFormatting sqref="S32:S34">
    <cfRule type="cellIs" dxfId="353" priority="594" operator="equal">
      <formula>"-"</formula>
    </cfRule>
  </conditionalFormatting>
  <conditionalFormatting sqref="S35">
    <cfRule type="cellIs" dxfId="352" priority="592" operator="lessThan">
      <formula>0</formula>
    </cfRule>
    <cfRule type="cellIs" dxfId="351" priority="593" operator="greaterThan">
      <formula>0</formula>
    </cfRule>
  </conditionalFormatting>
  <conditionalFormatting sqref="S35">
    <cfRule type="cellIs" dxfId="350" priority="591" operator="equal">
      <formula>"-"</formula>
    </cfRule>
  </conditionalFormatting>
  <conditionalFormatting sqref="S3:S5">
    <cfRule type="cellIs" dxfId="349" priority="588" operator="equal">
      <formula>"-"</formula>
    </cfRule>
    <cfRule type="cellIs" dxfId="348" priority="589" operator="lessThan">
      <formula>0</formula>
    </cfRule>
    <cfRule type="cellIs" dxfId="347" priority="590" operator="greaterThan">
      <formula>0</formula>
    </cfRule>
  </conditionalFormatting>
  <conditionalFormatting sqref="S11">
    <cfRule type="cellIs" dxfId="346" priority="585" operator="equal">
      <formula>"-"</formula>
    </cfRule>
    <cfRule type="cellIs" dxfId="345" priority="586" operator="lessThan">
      <formula>0</formula>
    </cfRule>
    <cfRule type="cellIs" dxfId="344" priority="587" operator="greaterThan">
      <formula>0</formula>
    </cfRule>
  </conditionalFormatting>
  <conditionalFormatting sqref="S15">
    <cfRule type="cellIs" dxfId="343" priority="583" operator="lessThan">
      <formula>0</formula>
    </cfRule>
    <cfRule type="cellIs" dxfId="342" priority="584" operator="greaterThan">
      <formula>0</formula>
    </cfRule>
  </conditionalFormatting>
  <conditionalFormatting sqref="S15">
    <cfRule type="cellIs" dxfId="341" priority="582" operator="equal">
      <formula>"-"</formula>
    </cfRule>
  </conditionalFormatting>
  <conditionalFormatting sqref="S14">
    <cfRule type="cellIs" dxfId="340" priority="579" operator="equal">
      <formula>"-"</formula>
    </cfRule>
    <cfRule type="cellIs" dxfId="339" priority="580" operator="lessThan">
      <formula>0</formula>
    </cfRule>
    <cfRule type="cellIs" dxfId="338" priority="581" operator="greaterThan">
      <formula>0</formula>
    </cfRule>
  </conditionalFormatting>
  <conditionalFormatting sqref="S16">
    <cfRule type="cellIs" dxfId="337" priority="576" operator="equal">
      <formula>"-"</formula>
    </cfRule>
    <cfRule type="cellIs" dxfId="336" priority="577" operator="lessThan">
      <formula>0</formula>
    </cfRule>
    <cfRule type="cellIs" dxfId="335" priority="578" operator="greaterThan">
      <formula>0</formula>
    </cfRule>
  </conditionalFormatting>
  <conditionalFormatting sqref="S19:S20">
    <cfRule type="cellIs" dxfId="334" priority="573" operator="equal">
      <formula>"-"</formula>
    </cfRule>
    <cfRule type="cellIs" dxfId="333" priority="574" operator="lessThan">
      <formula>0</formula>
    </cfRule>
    <cfRule type="cellIs" dxfId="332" priority="575" operator="greaterThan">
      <formula>0</formula>
    </cfRule>
  </conditionalFormatting>
  <conditionalFormatting sqref="S21">
    <cfRule type="cellIs" dxfId="331" priority="570" operator="equal">
      <formula>"-"</formula>
    </cfRule>
    <cfRule type="cellIs" dxfId="330" priority="571" operator="lessThan">
      <formula>0</formula>
    </cfRule>
    <cfRule type="cellIs" dxfId="329" priority="572" operator="greaterThan">
      <formula>0</formula>
    </cfRule>
  </conditionalFormatting>
  <conditionalFormatting sqref="S38">
    <cfRule type="cellIs" dxfId="328" priority="567" operator="equal">
      <formula>"-"</formula>
    </cfRule>
    <cfRule type="cellIs" dxfId="327" priority="568" operator="lessThan">
      <formula>0</formula>
    </cfRule>
    <cfRule type="cellIs" dxfId="326" priority="569" operator="greaterThan">
      <formula>0</formula>
    </cfRule>
  </conditionalFormatting>
  <conditionalFormatting sqref="S41">
    <cfRule type="cellIs" dxfId="325" priority="564" operator="equal">
      <formula>"-"</formula>
    </cfRule>
    <cfRule type="cellIs" dxfId="324" priority="565" operator="lessThan">
      <formula>0</formula>
    </cfRule>
    <cfRule type="cellIs" dxfId="323" priority="566" operator="greaterThan">
      <formula>0</formula>
    </cfRule>
  </conditionalFormatting>
  <conditionalFormatting sqref="Q13:S13">
    <cfRule type="containsText" dxfId="322" priority="529" operator="containsText" text="NEUTRO">
      <formula>NOT(ISERROR(SEARCH("NEUTRO",Q13)))</formula>
    </cfRule>
    <cfRule type="containsText" dxfId="321" priority="530" operator="containsText" text="BULLISH">
      <formula>NOT(ISERROR(SEARCH("BULLISH",Q13)))</formula>
    </cfRule>
    <cfRule type="containsText" dxfId="320" priority="531" operator="containsText" text="BEARISH">
      <formula>NOT(ISERROR(SEARCH("BEARISH",Q13)))</formula>
    </cfRule>
    <cfRule type="containsBlanks" dxfId="319" priority="532">
      <formula>LEN(TRIM(Q13))=0</formula>
    </cfRule>
  </conditionalFormatting>
  <conditionalFormatting sqref="Q10:S10">
    <cfRule type="containsText" dxfId="318" priority="533" operator="containsText" text="NEUTRO">
      <formula>NOT(ISERROR(SEARCH("NEUTRO",Q10)))</formula>
    </cfRule>
    <cfRule type="containsText" dxfId="317" priority="534" operator="containsText" text="BULLISH">
      <formula>NOT(ISERROR(SEARCH("BULLISH",Q10)))</formula>
    </cfRule>
    <cfRule type="containsText" dxfId="316" priority="535" operator="containsText" text="BEARISH">
      <formula>NOT(ISERROR(SEARCH("BEARISH",Q10)))</formula>
    </cfRule>
    <cfRule type="containsBlanks" dxfId="315" priority="536">
      <formula>LEN(TRIM(Q10))=0</formula>
    </cfRule>
  </conditionalFormatting>
  <conditionalFormatting sqref="Q2:S2">
    <cfRule type="containsText" dxfId="314" priority="537" operator="containsText" text="NEUTRO">
      <formula>NOT(ISERROR(SEARCH("NEUTRO",Q2)))</formula>
    </cfRule>
    <cfRule type="containsText" dxfId="313" priority="538" operator="containsText" text="BULLISH">
      <formula>NOT(ISERROR(SEARCH("BULLISH",Q2)))</formula>
    </cfRule>
    <cfRule type="containsText" dxfId="312" priority="539" operator="containsText" text="BEARISH">
      <formula>NOT(ISERROR(SEARCH("BEARISH",Q2)))</formula>
    </cfRule>
    <cfRule type="containsBlanks" dxfId="311" priority="540">
      <formula>LEN(TRIM(Q2))=0</formula>
    </cfRule>
  </conditionalFormatting>
  <conditionalFormatting sqref="Q18:S18">
    <cfRule type="containsText" dxfId="310" priority="525" operator="containsText" text="NEUTRO">
      <formula>NOT(ISERROR(SEARCH("NEUTRO",Q18)))</formula>
    </cfRule>
    <cfRule type="containsText" dxfId="309" priority="526" operator="containsText" text="BULLISH">
      <formula>NOT(ISERROR(SEARCH("BULLISH",Q18)))</formula>
    </cfRule>
    <cfRule type="containsText" dxfId="308" priority="527" operator="containsText" text="BEARISH">
      <formula>NOT(ISERROR(SEARCH("BEARISH",Q18)))</formula>
    </cfRule>
    <cfRule type="containsBlanks" dxfId="307" priority="528">
      <formula>LEN(TRIM(Q18))=0</formula>
    </cfRule>
  </conditionalFormatting>
  <conditionalFormatting sqref="Q24">
    <cfRule type="containsText" dxfId="306" priority="521" operator="containsText" text="NEUTRO">
      <formula>NOT(ISERROR(SEARCH("NEUTRO",Q24)))</formula>
    </cfRule>
    <cfRule type="containsText" dxfId="305" priority="522" operator="containsText" text="BULLISH">
      <formula>NOT(ISERROR(SEARCH("BULLISH",Q24)))</formula>
    </cfRule>
    <cfRule type="containsText" dxfId="304" priority="523" operator="containsText" text="BEARISH">
      <formula>NOT(ISERROR(SEARCH("BEARISH",Q24)))</formula>
    </cfRule>
    <cfRule type="containsBlanks" dxfId="303" priority="524">
      <formula>LEN(TRIM(Q24))=0</formula>
    </cfRule>
  </conditionalFormatting>
  <conditionalFormatting sqref="Q37:S37">
    <cfRule type="containsText" dxfId="302" priority="517" operator="containsText" text="NEUTRO">
      <formula>NOT(ISERROR(SEARCH("NEUTRO",Q37)))</formula>
    </cfRule>
    <cfRule type="containsText" dxfId="301" priority="518" operator="containsText" text="BULLISH">
      <formula>NOT(ISERROR(SEARCH("BULLISH",Q37)))</formula>
    </cfRule>
    <cfRule type="containsText" dxfId="300" priority="519" operator="containsText" text="BEARISH">
      <formula>NOT(ISERROR(SEARCH("BEARISH",Q37)))</formula>
    </cfRule>
    <cfRule type="containsBlanks" dxfId="299" priority="520">
      <formula>LEN(TRIM(Q37))=0</formula>
    </cfRule>
  </conditionalFormatting>
  <conditionalFormatting sqref="Q40">
    <cfRule type="containsText" dxfId="298" priority="513" operator="containsText" text="NEUTRO">
      <formula>NOT(ISERROR(SEARCH("NEUTRO",Q40)))</formula>
    </cfRule>
    <cfRule type="containsText" dxfId="297" priority="514" operator="containsText" text="BULLISH">
      <formula>NOT(ISERROR(SEARCH("BULLISH",Q40)))</formula>
    </cfRule>
    <cfRule type="containsText" dxfId="296" priority="515" operator="containsText" text="BEARISH">
      <formula>NOT(ISERROR(SEARCH("BEARISH",Q40)))</formula>
    </cfRule>
    <cfRule type="containsBlanks" dxfId="295" priority="516">
      <formula>LEN(TRIM(Q40))=0</formula>
    </cfRule>
  </conditionalFormatting>
  <conditionalFormatting sqref="P42">
    <cfRule type="cellIs" dxfId="294" priority="462" operator="equal">
      <formula>"-"</formula>
    </cfRule>
    <cfRule type="cellIs" dxfId="293" priority="463" operator="lessThan">
      <formula>0</formula>
    </cfRule>
    <cfRule type="cellIs" dxfId="292" priority="464" operator="greaterThan">
      <formula>0</formula>
    </cfRule>
  </conditionalFormatting>
  <conditionalFormatting sqref="P6:P8">
    <cfRule type="cellIs" dxfId="291" priority="510" operator="equal">
      <formula>"-"</formula>
    </cfRule>
    <cfRule type="cellIs" dxfId="290" priority="511" operator="lessThan">
      <formula>0</formula>
    </cfRule>
    <cfRule type="cellIs" dxfId="289" priority="512" operator="greaterThan">
      <formula>0</formula>
    </cfRule>
  </conditionalFormatting>
  <conditionalFormatting sqref="P22">
    <cfRule type="cellIs" dxfId="288" priority="508" operator="lessThan">
      <formula>0</formula>
    </cfRule>
    <cfRule type="cellIs" dxfId="287" priority="509" operator="greaterThan">
      <formula>0</formula>
    </cfRule>
  </conditionalFormatting>
  <conditionalFormatting sqref="P22">
    <cfRule type="cellIs" dxfId="286" priority="507" operator="equal">
      <formula>"-"</formula>
    </cfRule>
  </conditionalFormatting>
  <conditionalFormatting sqref="P30">
    <cfRule type="cellIs" dxfId="285" priority="504" operator="equal">
      <formula>"-"</formula>
    </cfRule>
    <cfRule type="cellIs" dxfId="284" priority="505" operator="lessThan">
      <formula>0</formula>
    </cfRule>
    <cfRule type="cellIs" dxfId="283" priority="506" operator="greaterThan">
      <formula>0</formula>
    </cfRule>
  </conditionalFormatting>
  <conditionalFormatting sqref="P25:P29">
    <cfRule type="cellIs" dxfId="282" priority="501" operator="equal">
      <formula>"-"</formula>
    </cfRule>
    <cfRule type="cellIs" dxfId="281" priority="502" operator="lessThan">
      <formula>0</formula>
    </cfRule>
    <cfRule type="cellIs" dxfId="280" priority="503" operator="greaterThan">
      <formula>0</formula>
    </cfRule>
  </conditionalFormatting>
  <conditionalFormatting sqref="P31">
    <cfRule type="cellIs" dxfId="279" priority="498" operator="equal">
      <formula>"-"</formula>
    </cfRule>
    <cfRule type="cellIs" dxfId="278" priority="499" operator="lessThan">
      <formula>0</formula>
    </cfRule>
    <cfRule type="cellIs" dxfId="277" priority="500" operator="greaterThan">
      <formula>0</formula>
    </cfRule>
  </conditionalFormatting>
  <conditionalFormatting sqref="P32:P34">
    <cfRule type="cellIs" dxfId="276" priority="496" operator="lessThan">
      <formula>0</formula>
    </cfRule>
    <cfRule type="cellIs" dxfId="275" priority="497" operator="greaterThan">
      <formula>0</formula>
    </cfRule>
  </conditionalFormatting>
  <conditionalFormatting sqref="P32:P34">
    <cfRule type="cellIs" dxfId="274" priority="495" operator="equal">
      <formula>"-"</formula>
    </cfRule>
  </conditionalFormatting>
  <conditionalFormatting sqref="P35">
    <cfRule type="cellIs" dxfId="273" priority="493" operator="lessThan">
      <formula>0</formula>
    </cfRule>
    <cfRule type="cellIs" dxfId="272" priority="494" operator="greaterThan">
      <formula>0</formula>
    </cfRule>
  </conditionalFormatting>
  <conditionalFormatting sqref="P35">
    <cfRule type="cellIs" dxfId="271" priority="492" operator="equal">
      <formula>"-"</formula>
    </cfRule>
  </conditionalFormatting>
  <conditionalFormatting sqref="P3:P5">
    <cfRule type="cellIs" dxfId="270" priority="489" operator="equal">
      <formula>"-"</formula>
    </cfRule>
    <cfRule type="cellIs" dxfId="269" priority="490" operator="lessThan">
      <formula>0</formula>
    </cfRule>
    <cfRule type="cellIs" dxfId="268" priority="491" operator="greaterThan">
      <formula>0</formula>
    </cfRule>
  </conditionalFormatting>
  <conditionalFormatting sqref="P11">
    <cfRule type="cellIs" dxfId="267" priority="486" operator="equal">
      <formula>"-"</formula>
    </cfRule>
    <cfRule type="cellIs" dxfId="266" priority="487" operator="lessThan">
      <formula>0</formula>
    </cfRule>
    <cfRule type="cellIs" dxfId="265" priority="488" operator="greaterThan">
      <formula>0</formula>
    </cfRule>
  </conditionalFormatting>
  <conditionalFormatting sqref="P15">
    <cfRule type="cellIs" dxfId="264" priority="484" operator="lessThan">
      <formula>0</formula>
    </cfRule>
    <cfRule type="cellIs" dxfId="263" priority="485" operator="greaterThan">
      <formula>0</formula>
    </cfRule>
  </conditionalFormatting>
  <conditionalFormatting sqref="P15">
    <cfRule type="cellIs" dxfId="262" priority="483" operator="equal">
      <formula>"-"</formula>
    </cfRule>
  </conditionalFormatting>
  <conditionalFormatting sqref="P14">
    <cfRule type="cellIs" dxfId="261" priority="480" operator="equal">
      <formula>"-"</formula>
    </cfRule>
    <cfRule type="cellIs" dxfId="260" priority="481" operator="lessThan">
      <formula>0</formula>
    </cfRule>
    <cfRule type="cellIs" dxfId="259" priority="482" operator="greaterThan">
      <formula>0</formula>
    </cfRule>
  </conditionalFormatting>
  <conditionalFormatting sqref="P16">
    <cfRule type="cellIs" dxfId="258" priority="477" operator="equal">
      <formula>"-"</formula>
    </cfRule>
    <cfRule type="cellIs" dxfId="257" priority="478" operator="lessThan">
      <formula>0</formula>
    </cfRule>
    <cfRule type="cellIs" dxfId="256" priority="479" operator="greaterThan">
      <formula>0</formula>
    </cfRule>
  </conditionalFormatting>
  <conditionalFormatting sqref="P19:P20">
    <cfRule type="cellIs" dxfId="255" priority="474" operator="equal">
      <formula>"-"</formula>
    </cfRule>
    <cfRule type="cellIs" dxfId="254" priority="475" operator="lessThan">
      <formula>0</formula>
    </cfRule>
    <cfRule type="cellIs" dxfId="253" priority="476" operator="greaterThan">
      <formula>0</formula>
    </cfRule>
  </conditionalFormatting>
  <conditionalFormatting sqref="P21">
    <cfRule type="cellIs" dxfId="252" priority="471" operator="equal">
      <formula>"-"</formula>
    </cfRule>
    <cfRule type="cellIs" dxfId="251" priority="472" operator="lessThan">
      <formula>0</formula>
    </cfRule>
    <cfRule type="cellIs" dxfId="250" priority="473" operator="greaterThan">
      <formula>0</formula>
    </cfRule>
  </conditionalFormatting>
  <conditionalFormatting sqref="P38">
    <cfRule type="cellIs" dxfId="249" priority="468" operator="equal">
      <formula>"-"</formula>
    </cfRule>
    <cfRule type="cellIs" dxfId="248" priority="469" operator="lessThan">
      <formula>0</formula>
    </cfRule>
    <cfRule type="cellIs" dxfId="247" priority="470" operator="greaterThan">
      <formula>0</formula>
    </cfRule>
  </conditionalFormatting>
  <conditionalFormatting sqref="P41">
    <cfRule type="cellIs" dxfId="246" priority="465" operator="equal">
      <formula>"-"</formula>
    </cfRule>
    <cfRule type="cellIs" dxfId="245" priority="466" operator="lessThan">
      <formula>0</formula>
    </cfRule>
    <cfRule type="cellIs" dxfId="244" priority="467" operator="greaterThan">
      <formula>0</formula>
    </cfRule>
  </conditionalFormatting>
  <conditionalFormatting sqref="N24">
    <cfRule type="containsText" dxfId="243" priority="422" operator="containsText" text="NEUTRO">
      <formula>NOT(ISERROR(SEARCH("NEUTRO",N24)))</formula>
    </cfRule>
    <cfRule type="containsText" dxfId="242" priority="423" operator="containsText" text="BULLISH">
      <formula>NOT(ISERROR(SEARCH("BULLISH",N24)))</formula>
    </cfRule>
    <cfRule type="containsText" dxfId="241" priority="424" operator="containsText" text="BEARISH">
      <formula>NOT(ISERROR(SEARCH("BEARISH",N24)))</formula>
    </cfRule>
    <cfRule type="containsBlanks" dxfId="240" priority="425">
      <formula>LEN(TRIM(N24))=0</formula>
    </cfRule>
  </conditionalFormatting>
  <conditionalFormatting sqref="N40">
    <cfRule type="containsText" dxfId="239" priority="414" operator="containsText" text="NEUTRO">
      <formula>NOT(ISERROR(SEARCH("NEUTRO",N40)))</formula>
    </cfRule>
    <cfRule type="containsText" dxfId="238" priority="415" operator="containsText" text="BULLISH">
      <formula>NOT(ISERROR(SEARCH("BULLISH",N40)))</formula>
    </cfRule>
    <cfRule type="containsText" dxfId="237" priority="416" operator="containsText" text="BEARISH">
      <formula>NOT(ISERROR(SEARCH("BEARISH",N40)))</formula>
    </cfRule>
    <cfRule type="containsBlanks" dxfId="236" priority="417">
      <formula>LEN(TRIM(N40))=0</formula>
    </cfRule>
  </conditionalFormatting>
  <conditionalFormatting sqref="M42">
    <cfRule type="cellIs" dxfId="235" priority="363" operator="equal">
      <formula>"-"</formula>
    </cfRule>
    <cfRule type="cellIs" dxfId="234" priority="364" operator="lessThan">
      <formula>0</formula>
    </cfRule>
    <cfRule type="cellIs" dxfId="233" priority="365" operator="greaterThan">
      <formula>0</formula>
    </cfRule>
  </conditionalFormatting>
  <conditionalFormatting sqref="M6:M8">
    <cfRule type="cellIs" dxfId="232" priority="411" operator="equal">
      <formula>"-"</formula>
    </cfRule>
    <cfRule type="cellIs" dxfId="231" priority="412" operator="lessThan">
      <formula>0</formula>
    </cfRule>
    <cfRule type="cellIs" dxfId="230" priority="413" operator="greaterThan">
      <formula>0</formula>
    </cfRule>
  </conditionalFormatting>
  <conditionalFormatting sqref="M22">
    <cfRule type="cellIs" dxfId="229" priority="409" operator="lessThan">
      <formula>0</formula>
    </cfRule>
    <cfRule type="cellIs" dxfId="228" priority="410" operator="greaterThan">
      <formula>0</formula>
    </cfRule>
  </conditionalFormatting>
  <conditionalFormatting sqref="M22">
    <cfRule type="cellIs" dxfId="227" priority="408" operator="equal">
      <formula>"-"</formula>
    </cfRule>
  </conditionalFormatting>
  <conditionalFormatting sqref="M30">
    <cfRule type="cellIs" dxfId="226" priority="405" operator="equal">
      <formula>"-"</formula>
    </cfRule>
    <cfRule type="cellIs" dxfId="225" priority="406" operator="lessThan">
      <formula>0</formula>
    </cfRule>
    <cfRule type="cellIs" dxfId="224" priority="407" operator="greaterThan">
      <formula>0</formula>
    </cfRule>
  </conditionalFormatting>
  <conditionalFormatting sqref="M25:M29">
    <cfRule type="cellIs" dxfId="223" priority="402" operator="equal">
      <formula>"-"</formula>
    </cfRule>
    <cfRule type="cellIs" dxfId="222" priority="403" operator="lessThan">
      <formula>0</formula>
    </cfRule>
    <cfRule type="cellIs" dxfId="221" priority="404" operator="greaterThan">
      <formula>0</formula>
    </cfRule>
  </conditionalFormatting>
  <conditionalFormatting sqref="M31">
    <cfRule type="cellIs" dxfId="220" priority="399" operator="equal">
      <formula>"-"</formula>
    </cfRule>
    <cfRule type="cellIs" dxfId="219" priority="400" operator="lessThan">
      <formula>0</formula>
    </cfRule>
    <cfRule type="cellIs" dxfId="218" priority="401" operator="greaterThan">
      <formula>0</formula>
    </cfRule>
  </conditionalFormatting>
  <conditionalFormatting sqref="M32:M34">
    <cfRule type="cellIs" dxfId="217" priority="397" operator="lessThan">
      <formula>0</formula>
    </cfRule>
    <cfRule type="cellIs" dxfId="216" priority="398" operator="greaterThan">
      <formula>0</formula>
    </cfRule>
  </conditionalFormatting>
  <conditionalFormatting sqref="M32:M34">
    <cfRule type="cellIs" dxfId="215" priority="396" operator="equal">
      <formula>"-"</formula>
    </cfRule>
  </conditionalFormatting>
  <conditionalFormatting sqref="M35">
    <cfRule type="cellIs" dxfId="214" priority="394" operator="lessThan">
      <formula>0</formula>
    </cfRule>
    <cfRule type="cellIs" dxfId="213" priority="395" operator="greaterThan">
      <formula>0</formula>
    </cfRule>
  </conditionalFormatting>
  <conditionalFormatting sqref="M35">
    <cfRule type="cellIs" dxfId="212" priority="393" operator="equal">
      <formula>"-"</formula>
    </cfRule>
  </conditionalFormatting>
  <conditionalFormatting sqref="M3:M5">
    <cfRule type="cellIs" dxfId="211" priority="390" operator="equal">
      <formula>"-"</formula>
    </cfRule>
    <cfRule type="cellIs" dxfId="210" priority="391" operator="lessThan">
      <formula>0</formula>
    </cfRule>
    <cfRule type="cellIs" dxfId="209" priority="392" operator="greaterThan">
      <formula>0</formula>
    </cfRule>
  </conditionalFormatting>
  <conditionalFormatting sqref="M11">
    <cfRule type="cellIs" dxfId="208" priority="387" operator="equal">
      <formula>"-"</formula>
    </cfRule>
    <cfRule type="cellIs" dxfId="207" priority="388" operator="lessThan">
      <formula>0</formula>
    </cfRule>
    <cfRule type="cellIs" dxfId="206" priority="389" operator="greaterThan">
      <formula>0</formula>
    </cfRule>
  </conditionalFormatting>
  <conditionalFormatting sqref="M15">
    <cfRule type="cellIs" dxfId="205" priority="385" operator="lessThan">
      <formula>0</formula>
    </cfRule>
    <cfRule type="cellIs" dxfId="204" priority="386" operator="greaterThan">
      <formula>0</formula>
    </cfRule>
  </conditionalFormatting>
  <conditionalFormatting sqref="M15">
    <cfRule type="cellIs" dxfId="203" priority="384" operator="equal">
      <formula>"-"</formula>
    </cfRule>
  </conditionalFormatting>
  <conditionalFormatting sqref="M14">
    <cfRule type="cellIs" dxfId="202" priority="381" operator="equal">
      <formula>"-"</formula>
    </cfRule>
    <cfRule type="cellIs" dxfId="201" priority="382" operator="lessThan">
      <formula>0</formula>
    </cfRule>
    <cfRule type="cellIs" dxfId="200" priority="383" operator="greaterThan">
      <formula>0</formula>
    </cfRule>
  </conditionalFormatting>
  <conditionalFormatting sqref="M16">
    <cfRule type="cellIs" dxfId="199" priority="378" operator="equal">
      <formula>"-"</formula>
    </cfRule>
    <cfRule type="cellIs" dxfId="198" priority="379" operator="lessThan">
      <formula>0</formula>
    </cfRule>
    <cfRule type="cellIs" dxfId="197" priority="380" operator="greaterThan">
      <formula>0</formula>
    </cfRule>
  </conditionalFormatting>
  <conditionalFormatting sqref="M19:M20">
    <cfRule type="cellIs" dxfId="196" priority="375" operator="equal">
      <formula>"-"</formula>
    </cfRule>
    <cfRule type="cellIs" dxfId="195" priority="376" operator="lessThan">
      <formula>0</formula>
    </cfRule>
    <cfRule type="cellIs" dxfId="194" priority="377" operator="greaterThan">
      <formula>0</formula>
    </cfRule>
  </conditionalFormatting>
  <conditionalFormatting sqref="M21">
    <cfRule type="cellIs" dxfId="193" priority="372" operator="equal">
      <formula>"-"</formula>
    </cfRule>
    <cfRule type="cellIs" dxfId="192" priority="373" operator="lessThan">
      <formula>0</formula>
    </cfRule>
    <cfRule type="cellIs" dxfId="191" priority="374" operator="greaterThan">
      <formula>0</formula>
    </cfRule>
  </conditionalFormatting>
  <conditionalFormatting sqref="M38">
    <cfRule type="cellIs" dxfId="190" priority="369" operator="equal">
      <formula>"-"</formula>
    </cfRule>
    <cfRule type="cellIs" dxfId="189" priority="370" operator="lessThan">
      <formula>0</formula>
    </cfRule>
    <cfRule type="cellIs" dxfId="188" priority="371" operator="greaterThan">
      <formula>0</formula>
    </cfRule>
  </conditionalFormatting>
  <conditionalFormatting sqref="M41">
    <cfRule type="cellIs" dxfId="187" priority="366" operator="equal">
      <formula>"-"</formula>
    </cfRule>
    <cfRule type="cellIs" dxfId="186" priority="367" operator="lessThan">
      <formula>0</formula>
    </cfRule>
    <cfRule type="cellIs" dxfId="185" priority="368" operator="greaterThan">
      <formula>0</formula>
    </cfRule>
  </conditionalFormatting>
  <conditionalFormatting sqref="K24">
    <cfRule type="containsText" dxfId="184" priority="359" operator="containsText" text="NEUTRO">
      <formula>NOT(ISERROR(SEARCH("NEUTRO",K24)))</formula>
    </cfRule>
    <cfRule type="containsText" dxfId="183" priority="360" operator="containsText" text="BULLISH">
      <formula>NOT(ISERROR(SEARCH("BULLISH",K24)))</formula>
    </cfRule>
    <cfRule type="containsText" dxfId="182" priority="361" operator="containsText" text="BEARISH">
      <formula>NOT(ISERROR(SEARCH("BEARISH",K24)))</formula>
    </cfRule>
    <cfRule type="containsBlanks" dxfId="181" priority="362">
      <formula>LEN(TRIM(K24))=0</formula>
    </cfRule>
  </conditionalFormatting>
  <conditionalFormatting sqref="K40">
    <cfRule type="containsText" dxfId="180" priority="355" operator="containsText" text="NEUTRO">
      <formula>NOT(ISERROR(SEARCH("NEUTRO",K40)))</formula>
    </cfRule>
    <cfRule type="containsText" dxfId="179" priority="356" operator="containsText" text="BULLISH">
      <formula>NOT(ISERROR(SEARCH("BULLISH",K40)))</formula>
    </cfRule>
    <cfRule type="containsText" dxfId="178" priority="357" operator="containsText" text="BEARISH">
      <formula>NOT(ISERROR(SEARCH("BEARISH",K40)))</formula>
    </cfRule>
    <cfRule type="containsBlanks" dxfId="177" priority="358">
      <formula>LEN(TRIM(K40))=0</formula>
    </cfRule>
  </conditionalFormatting>
  <conditionalFormatting sqref="J42">
    <cfRule type="cellIs" dxfId="176" priority="127" operator="equal">
      <formula>"-"</formula>
    </cfRule>
    <cfRule type="cellIs" dxfId="175" priority="128" operator="lessThan">
      <formula>0</formula>
    </cfRule>
    <cfRule type="cellIs" dxfId="174" priority="129" operator="greaterThan">
      <formula>0</formula>
    </cfRule>
  </conditionalFormatting>
  <conditionalFormatting sqref="J6:J8">
    <cfRule type="cellIs" dxfId="173" priority="175" operator="equal">
      <formula>"-"</formula>
    </cfRule>
    <cfRule type="cellIs" dxfId="172" priority="176" operator="lessThan">
      <formula>0</formula>
    </cfRule>
    <cfRule type="cellIs" dxfId="171" priority="177" operator="greaterThan">
      <formula>0</formula>
    </cfRule>
  </conditionalFormatting>
  <conditionalFormatting sqref="J22">
    <cfRule type="cellIs" dxfId="170" priority="173" operator="lessThan">
      <formula>0</formula>
    </cfRule>
    <cfRule type="cellIs" dxfId="169" priority="174" operator="greaterThan">
      <formula>0</formula>
    </cfRule>
  </conditionalFormatting>
  <conditionalFormatting sqref="J22">
    <cfRule type="cellIs" dxfId="168" priority="172" operator="equal">
      <formula>"-"</formula>
    </cfRule>
  </conditionalFormatting>
  <conditionalFormatting sqref="J30">
    <cfRule type="cellIs" dxfId="167" priority="169" operator="equal">
      <formula>"-"</formula>
    </cfRule>
    <cfRule type="cellIs" dxfId="166" priority="170" operator="lessThan">
      <formula>0</formula>
    </cfRule>
    <cfRule type="cellIs" dxfId="165" priority="171" operator="greaterThan">
      <formula>0</formula>
    </cfRule>
  </conditionalFormatting>
  <conditionalFormatting sqref="J25:J29">
    <cfRule type="cellIs" dxfId="164" priority="166" operator="equal">
      <formula>"-"</formula>
    </cfRule>
    <cfRule type="cellIs" dxfId="163" priority="167" operator="lessThan">
      <formula>0</formula>
    </cfRule>
    <cfRule type="cellIs" dxfId="162" priority="168" operator="greaterThan">
      <formula>0</formula>
    </cfRule>
  </conditionalFormatting>
  <conditionalFormatting sqref="J31">
    <cfRule type="cellIs" dxfId="161" priority="163" operator="equal">
      <formula>"-"</formula>
    </cfRule>
    <cfRule type="cellIs" dxfId="160" priority="164" operator="lessThan">
      <formula>0</formula>
    </cfRule>
    <cfRule type="cellIs" dxfId="159" priority="165" operator="greaterThan">
      <formula>0</formula>
    </cfRule>
  </conditionalFormatting>
  <conditionalFormatting sqref="J32:J34">
    <cfRule type="cellIs" dxfId="158" priority="161" operator="lessThan">
      <formula>0</formula>
    </cfRule>
    <cfRule type="cellIs" dxfId="157" priority="162" operator="greaterThan">
      <formula>0</formula>
    </cfRule>
  </conditionalFormatting>
  <conditionalFormatting sqref="J32:J34">
    <cfRule type="cellIs" dxfId="156" priority="160" operator="equal">
      <formula>"-"</formula>
    </cfRule>
  </conditionalFormatting>
  <conditionalFormatting sqref="J35">
    <cfRule type="cellIs" dxfId="155" priority="158" operator="lessThan">
      <formula>0</formula>
    </cfRule>
    <cfRule type="cellIs" dxfId="154" priority="159" operator="greaterThan">
      <formula>0</formula>
    </cfRule>
  </conditionalFormatting>
  <conditionalFormatting sqref="J35">
    <cfRule type="cellIs" dxfId="153" priority="157" operator="equal">
      <formula>"-"</formula>
    </cfRule>
  </conditionalFormatting>
  <conditionalFormatting sqref="J3:J5">
    <cfRule type="cellIs" dxfId="152" priority="154" operator="equal">
      <formula>"-"</formula>
    </cfRule>
    <cfRule type="cellIs" dxfId="151" priority="155" operator="lessThan">
      <formula>0</formula>
    </cfRule>
    <cfRule type="cellIs" dxfId="150" priority="156" operator="greaterThan">
      <formula>0</formula>
    </cfRule>
  </conditionalFormatting>
  <conditionalFormatting sqref="J11">
    <cfRule type="cellIs" dxfId="149" priority="151" operator="equal">
      <formula>"-"</formula>
    </cfRule>
    <cfRule type="cellIs" dxfId="148" priority="152" operator="lessThan">
      <formula>0</formula>
    </cfRule>
    <cfRule type="cellIs" dxfId="147" priority="153" operator="greaterThan">
      <formula>0</formula>
    </cfRule>
  </conditionalFormatting>
  <conditionalFormatting sqref="J15">
    <cfRule type="cellIs" dxfId="146" priority="149" operator="lessThan">
      <formula>0</formula>
    </cfRule>
    <cfRule type="cellIs" dxfId="145" priority="150" operator="greaterThan">
      <formula>0</formula>
    </cfRule>
  </conditionalFormatting>
  <conditionalFormatting sqref="J15">
    <cfRule type="cellIs" dxfId="144" priority="148" operator="equal">
      <formula>"-"</formula>
    </cfRule>
  </conditionalFormatting>
  <conditionalFormatting sqref="J14">
    <cfRule type="cellIs" dxfId="143" priority="145" operator="equal">
      <formula>"-"</formula>
    </cfRule>
    <cfRule type="cellIs" dxfId="142" priority="146" operator="lessThan">
      <formula>0</formula>
    </cfRule>
    <cfRule type="cellIs" dxfId="141" priority="147" operator="greaterThan">
      <formula>0</formula>
    </cfRule>
  </conditionalFormatting>
  <conditionalFormatting sqref="J16">
    <cfRule type="cellIs" dxfId="140" priority="142" operator="equal">
      <formula>"-"</formula>
    </cfRule>
    <cfRule type="cellIs" dxfId="139" priority="143" operator="lessThan">
      <formula>0</formula>
    </cfRule>
    <cfRule type="cellIs" dxfId="138" priority="144" operator="greaterThan">
      <formula>0</formula>
    </cfRule>
  </conditionalFormatting>
  <conditionalFormatting sqref="J19:J20">
    <cfRule type="cellIs" dxfId="137" priority="139" operator="equal">
      <formula>"-"</formula>
    </cfRule>
    <cfRule type="cellIs" dxfId="136" priority="140" operator="lessThan">
      <formula>0</formula>
    </cfRule>
    <cfRule type="cellIs" dxfId="135" priority="141" operator="greaterThan">
      <formula>0</formula>
    </cfRule>
  </conditionalFormatting>
  <conditionalFormatting sqref="J21">
    <cfRule type="cellIs" dxfId="134" priority="136" operator="equal">
      <formula>"-"</formula>
    </cfRule>
    <cfRule type="cellIs" dxfId="133" priority="137" operator="lessThan">
      <formula>0</formula>
    </cfRule>
    <cfRule type="cellIs" dxfId="132" priority="138" operator="greaterThan">
      <formula>0</formula>
    </cfRule>
  </conditionalFormatting>
  <conditionalFormatting sqref="J38">
    <cfRule type="cellIs" dxfId="131" priority="133" operator="equal">
      <formula>"-"</formula>
    </cfRule>
    <cfRule type="cellIs" dxfId="130" priority="134" operator="lessThan">
      <formula>0</formula>
    </cfRule>
    <cfRule type="cellIs" dxfId="129" priority="135" operator="greaterThan">
      <formula>0</formula>
    </cfRule>
  </conditionalFormatting>
  <conditionalFormatting sqref="J41">
    <cfRule type="cellIs" dxfId="128" priority="130" operator="equal">
      <formula>"-"</formula>
    </cfRule>
    <cfRule type="cellIs" dxfId="127" priority="131" operator="lessThan">
      <formula>0</formula>
    </cfRule>
    <cfRule type="cellIs" dxfId="126" priority="132" operator="greaterThan">
      <formula>0</formula>
    </cfRule>
  </conditionalFormatting>
  <conditionalFormatting sqref="H24">
    <cfRule type="containsText" dxfId="125" priority="123" operator="containsText" text="NEUTRO">
      <formula>NOT(ISERROR(SEARCH("NEUTRO",H24)))</formula>
    </cfRule>
    <cfRule type="containsText" dxfId="124" priority="124" operator="containsText" text="BULLISH">
      <formula>NOT(ISERROR(SEARCH("BULLISH",H24)))</formula>
    </cfRule>
    <cfRule type="containsText" dxfId="123" priority="125" operator="containsText" text="BEARISH">
      <formula>NOT(ISERROR(SEARCH("BEARISH",H24)))</formula>
    </cfRule>
    <cfRule type="containsBlanks" dxfId="122" priority="126">
      <formula>LEN(TRIM(H24))=0</formula>
    </cfRule>
  </conditionalFormatting>
  <conditionalFormatting sqref="H40">
    <cfRule type="containsText" dxfId="121" priority="119" operator="containsText" text="NEUTRO">
      <formula>NOT(ISERROR(SEARCH("NEUTRO",H40)))</formula>
    </cfRule>
    <cfRule type="containsText" dxfId="120" priority="120" operator="containsText" text="BULLISH">
      <formula>NOT(ISERROR(SEARCH("BULLISH",H40)))</formula>
    </cfRule>
    <cfRule type="containsText" dxfId="119" priority="121" operator="containsText" text="BEARISH">
      <formula>NOT(ISERROR(SEARCH("BEARISH",H40)))</formula>
    </cfRule>
    <cfRule type="containsBlanks" dxfId="118" priority="122">
      <formula>LEN(TRIM(H40))=0</formula>
    </cfRule>
  </conditionalFormatting>
  <conditionalFormatting sqref="G42">
    <cfRule type="cellIs" dxfId="117" priority="68" operator="equal">
      <formula>"-"</formula>
    </cfRule>
    <cfRule type="cellIs" dxfId="116" priority="69" operator="lessThan">
      <formula>0</formula>
    </cfRule>
    <cfRule type="cellIs" dxfId="115" priority="70" operator="greaterThan">
      <formula>0</formula>
    </cfRule>
  </conditionalFormatting>
  <conditionalFormatting sqref="G6:G8">
    <cfRule type="cellIs" dxfId="114" priority="116" operator="equal">
      <formula>"-"</formula>
    </cfRule>
    <cfRule type="cellIs" dxfId="113" priority="117" operator="lessThan">
      <formula>0</formula>
    </cfRule>
    <cfRule type="cellIs" dxfId="112" priority="118" operator="greaterThan">
      <formula>0</formula>
    </cfRule>
  </conditionalFormatting>
  <conditionalFormatting sqref="G22">
    <cfRule type="cellIs" dxfId="111" priority="114" operator="lessThan">
      <formula>0</formula>
    </cfRule>
    <cfRule type="cellIs" dxfId="110" priority="115" operator="greaterThan">
      <formula>0</formula>
    </cfRule>
  </conditionalFormatting>
  <conditionalFormatting sqref="G22">
    <cfRule type="cellIs" dxfId="109" priority="113" operator="equal">
      <formula>"-"</formula>
    </cfRule>
  </conditionalFormatting>
  <conditionalFormatting sqref="G30">
    <cfRule type="cellIs" dxfId="108" priority="110" operator="equal">
      <formula>"-"</formula>
    </cfRule>
    <cfRule type="cellIs" dxfId="107" priority="111" operator="lessThan">
      <formula>0</formula>
    </cfRule>
    <cfRule type="cellIs" dxfId="106" priority="112" operator="greaterThan">
      <formula>0</formula>
    </cfRule>
  </conditionalFormatting>
  <conditionalFormatting sqref="G25:G29">
    <cfRule type="cellIs" dxfId="105" priority="107" operator="equal">
      <formula>"-"</formula>
    </cfRule>
    <cfRule type="cellIs" dxfId="104" priority="108" operator="lessThan">
      <formula>0</formula>
    </cfRule>
    <cfRule type="cellIs" dxfId="103" priority="109" operator="greaterThan">
      <formula>0</formula>
    </cfRule>
  </conditionalFormatting>
  <conditionalFormatting sqref="G31">
    <cfRule type="cellIs" dxfId="102" priority="104" operator="equal">
      <formula>"-"</formula>
    </cfRule>
    <cfRule type="cellIs" dxfId="101" priority="105" operator="lessThan">
      <formula>0</formula>
    </cfRule>
    <cfRule type="cellIs" dxfId="100" priority="106" operator="greaterThan">
      <formula>0</formula>
    </cfRule>
  </conditionalFormatting>
  <conditionalFormatting sqref="G32:G34">
    <cfRule type="cellIs" dxfId="99" priority="102" operator="lessThan">
      <formula>0</formula>
    </cfRule>
    <cfRule type="cellIs" dxfId="98" priority="103" operator="greaterThan">
      <formula>0</formula>
    </cfRule>
  </conditionalFormatting>
  <conditionalFormatting sqref="G32:G34">
    <cfRule type="cellIs" dxfId="97" priority="101" operator="equal">
      <formula>"-"</formula>
    </cfRule>
  </conditionalFormatting>
  <conditionalFormatting sqref="G35">
    <cfRule type="cellIs" dxfId="96" priority="99" operator="lessThan">
      <formula>0</formula>
    </cfRule>
    <cfRule type="cellIs" dxfId="95" priority="100" operator="greaterThan">
      <formula>0</formula>
    </cfRule>
  </conditionalFormatting>
  <conditionalFormatting sqref="G35">
    <cfRule type="cellIs" dxfId="94" priority="98" operator="equal">
      <formula>"-"</formula>
    </cfRule>
  </conditionalFormatting>
  <conditionalFormatting sqref="G3:G5">
    <cfRule type="cellIs" dxfId="93" priority="95" operator="equal">
      <formula>"-"</formula>
    </cfRule>
    <cfRule type="cellIs" dxfId="92" priority="96" operator="lessThan">
      <formula>0</formula>
    </cfRule>
    <cfRule type="cellIs" dxfId="91" priority="97" operator="greaterThan">
      <formula>0</formula>
    </cfRule>
  </conditionalFormatting>
  <conditionalFormatting sqref="G11">
    <cfRule type="cellIs" dxfId="90" priority="92" operator="equal">
      <formula>"-"</formula>
    </cfRule>
    <cfRule type="cellIs" dxfId="89" priority="93" operator="lessThan">
      <formula>0</formula>
    </cfRule>
    <cfRule type="cellIs" dxfId="88" priority="94" operator="greaterThan">
      <formula>0</formula>
    </cfRule>
  </conditionalFormatting>
  <conditionalFormatting sqref="G15">
    <cfRule type="cellIs" dxfId="87" priority="90" operator="lessThan">
      <formula>0</formula>
    </cfRule>
    <cfRule type="cellIs" dxfId="86" priority="91" operator="greaterThan">
      <formula>0</formula>
    </cfRule>
  </conditionalFormatting>
  <conditionalFormatting sqref="G15">
    <cfRule type="cellIs" dxfId="85" priority="89" operator="equal">
      <formula>"-"</formula>
    </cfRule>
  </conditionalFormatting>
  <conditionalFormatting sqref="G14">
    <cfRule type="cellIs" dxfId="84" priority="86" operator="equal">
      <formula>"-"</formula>
    </cfRule>
    <cfRule type="cellIs" dxfId="83" priority="87" operator="lessThan">
      <formula>0</formula>
    </cfRule>
    <cfRule type="cellIs" dxfId="82" priority="88" operator="greaterThan">
      <formula>0</formula>
    </cfRule>
  </conditionalFormatting>
  <conditionalFormatting sqref="G16">
    <cfRule type="cellIs" dxfId="81" priority="83" operator="equal">
      <formula>"-"</formula>
    </cfRule>
    <cfRule type="cellIs" dxfId="80" priority="84" operator="lessThan">
      <formula>0</formula>
    </cfRule>
    <cfRule type="cellIs" dxfId="79" priority="85" operator="greaterThan">
      <formula>0</formula>
    </cfRule>
  </conditionalFormatting>
  <conditionalFormatting sqref="G19:G20">
    <cfRule type="cellIs" dxfId="78" priority="80" operator="equal">
      <formula>"-"</formula>
    </cfRule>
    <cfRule type="cellIs" dxfId="77" priority="81" operator="lessThan">
      <formula>0</formula>
    </cfRule>
    <cfRule type="cellIs" dxfId="76" priority="82" operator="greaterThan">
      <formula>0</formula>
    </cfRule>
  </conditionalFormatting>
  <conditionalFormatting sqref="G21">
    <cfRule type="cellIs" dxfId="75" priority="77" operator="equal">
      <formula>"-"</formula>
    </cfRule>
    <cfRule type="cellIs" dxfId="74" priority="78" operator="lessThan">
      <formula>0</formula>
    </cfRule>
    <cfRule type="cellIs" dxfId="73" priority="79" operator="greaterThan">
      <formula>0</formula>
    </cfRule>
  </conditionalFormatting>
  <conditionalFormatting sqref="G38">
    <cfRule type="cellIs" dxfId="72" priority="74" operator="equal">
      <formula>"-"</formula>
    </cfRule>
    <cfRule type="cellIs" dxfId="71" priority="75" operator="lessThan">
      <formula>0</formula>
    </cfRule>
    <cfRule type="cellIs" dxfId="70" priority="76" operator="greaterThan">
      <formula>0</formula>
    </cfRule>
  </conditionalFormatting>
  <conditionalFormatting sqref="G41">
    <cfRule type="cellIs" dxfId="69" priority="71" operator="equal">
      <formula>"-"</formula>
    </cfRule>
    <cfRule type="cellIs" dxfId="68" priority="72" operator="lessThan">
      <formula>0</formula>
    </cfRule>
    <cfRule type="cellIs" dxfId="67" priority="73" operator="greaterThan">
      <formula>0</formula>
    </cfRule>
  </conditionalFormatting>
  <conditionalFormatting sqref="E24">
    <cfRule type="containsText" dxfId="66" priority="64" operator="containsText" text="NEUTRO">
      <formula>NOT(ISERROR(SEARCH("NEUTRO",E24)))</formula>
    </cfRule>
    <cfRule type="containsText" dxfId="65" priority="65" operator="containsText" text="BULLISH">
      <formula>NOT(ISERROR(SEARCH("BULLISH",E24)))</formula>
    </cfRule>
    <cfRule type="containsText" dxfId="64" priority="66" operator="containsText" text="BEARISH">
      <formula>NOT(ISERROR(SEARCH("BEARISH",E24)))</formula>
    </cfRule>
    <cfRule type="containsBlanks" dxfId="63" priority="67">
      <formula>LEN(TRIM(E24))=0</formula>
    </cfRule>
  </conditionalFormatting>
  <conditionalFormatting sqref="E40">
    <cfRule type="containsText" dxfId="62" priority="60" operator="containsText" text="NEUTRO">
      <formula>NOT(ISERROR(SEARCH("NEUTRO",E40)))</formula>
    </cfRule>
    <cfRule type="containsText" dxfId="61" priority="61" operator="containsText" text="BULLISH">
      <formula>NOT(ISERROR(SEARCH("BULLISH",E40)))</formula>
    </cfRule>
    <cfRule type="containsText" dxfId="60" priority="62" operator="containsText" text="BEARISH">
      <formula>NOT(ISERROR(SEARCH("BEARISH",E40)))</formula>
    </cfRule>
    <cfRule type="containsBlanks" dxfId="59" priority="63">
      <formula>LEN(TRIM(E40))=0</formula>
    </cfRule>
  </conditionalFormatting>
  <conditionalFormatting sqref="D42">
    <cfRule type="cellIs" dxfId="58" priority="9" operator="equal">
      <formula>"-"</formula>
    </cfRule>
    <cfRule type="cellIs" dxfId="57" priority="10" operator="lessThan">
      <formula>0</formula>
    </cfRule>
    <cfRule type="cellIs" dxfId="56" priority="11" operator="greaterThan">
      <formula>0</formula>
    </cfRule>
  </conditionalFormatting>
  <conditionalFormatting sqref="D6:D8">
    <cfRule type="cellIs" dxfId="55" priority="57" operator="equal">
      <formula>"-"</formula>
    </cfRule>
    <cfRule type="cellIs" dxfId="54" priority="58" operator="lessThan">
      <formula>0</formula>
    </cfRule>
    <cfRule type="cellIs" dxfId="53" priority="59" operator="greaterThan">
      <formula>0</formula>
    </cfRule>
  </conditionalFormatting>
  <conditionalFormatting sqref="D22">
    <cfRule type="cellIs" dxfId="52" priority="55" operator="lessThan">
      <formula>0</formula>
    </cfRule>
    <cfRule type="cellIs" dxfId="51" priority="56" operator="greaterThan">
      <formula>0</formula>
    </cfRule>
  </conditionalFormatting>
  <conditionalFormatting sqref="D22">
    <cfRule type="cellIs" dxfId="50" priority="54" operator="equal">
      <formula>"-"</formula>
    </cfRule>
  </conditionalFormatting>
  <conditionalFormatting sqref="D30">
    <cfRule type="cellIs" dxfId="49" priority="51" operator="equal">
      <formula>"-"</formula>
    </cfRule>
    <cfRule type="cellIs" dxfId="48" priority="52" operator="lessThan">
      <formula>0</formula>
    </cfRule>
    <cfRule type="cellIs" dxfId="47" priority="53" operator="greaterThan">
      <formula>0</formula>
    </cfRule>
  </conditionalFormatting>
  <conditionalFormatting sqref="D25:D29">
    <cfRule type="cellIs" dxfId="46" priority="48" operator="equal">
      <formula>"-"</formula>
    </cfRule>
    <cfRule type="cellIs" dxfId="45" priority="49" operator="lessThan">
      <formula>0</formula>
    </cfRule>
    <cfRule type="cellIs" dxfId="44" priority="50" operator="greaterThan">
      <formula>0</formula>
    </cfRule>
  </conditionalFormatting>
  <conditionalFormatting sqref="D31">
    <cfRule type="cellIs" dxfId="43" priority="45" operator="equal">
      <formula>"-"</formula>
    </cfRule>
    <cfRule type="cellIs" dxfId="42" priority="46" operator="lessThan">
      <formula>0</formula>
    </cfRule>
    <cfRule type="cellIs" dxfId="41" priority="47" operator="greaterThan">
      <formula>0</formula>
    </cfRule>
  </conditionalFormatting>
  <conditionalFormatting sqref="D32:D34">
    <cfRule type="cellIs" dxfId="40" priority="43" operator="lessThan">
      <formula>0</formula>
    </cfRule>
    <cfRule type="cellIs" dxfId="39" priority="44" operator="greaterThan">
      <formula>0</formula>
    </cfRule>
  </conditionalFormatting>
  <conditionalFormatting sqref="D32:D34">
    <cfRule type="cellIs" dxfId="38" priority="42" operator="equal">
      <formula>"-"</formula>
    </cfRule>
  </conditionalFormatting>
  <conditionalFormatting sqref="D35">
    <cfRule type="cellIs" dxfId="37" priority="40" operator="lessThan">
      <formula>0</formula>
    </cfRule>
    <cfRule type="cellIs" dxfId="36" priority="41" operator="greaterThan">
      <formula>0</formula>
    </cfRule>
  </conditionalFormatting>
  <conditionalFormatting sqref="D35">
    <cfRule type="cellIs" dxfId="35" priority="39" operator="equal">
      <formula>"-"</formula>
    </cfRule>
  </conditionalFormatting>
  <conditionalFormatting sqref="D3:D5">
    <cfRule type="cellIs" dxfId="34" priority="36" operator="equal">
      <formula>"-"</formula>
    </cfRule>
    <cfRule type="cellIs" dxfId="33" priority="37" operator="lessThan">
      <formula>0</formula>
    </cfRule>
    <cfRule type="cellIs" dxfId="32" priority="38" operator="greaterThan">
      <formula>0</formula>
    </cfRule>
  </conditionalFormatting>
  <conditionalFormatting sqref="D11">
    <cfRule type="cellIs" dxfId="31" priority="33" operator="equal">
      <formula>"-"</formula>
    </cfRule>
    <cfRule type="cellIs" dxfId="30" priority="34" operator="lessThan">
      <formula>0</formula>
    </cfRule>
    <cfRule type="cellIs" dxfId="29" priority="35" operator="greaterThan">
      <formula>0</formula>
    </cfRule>
  </conditionalFormatting>
  <conditionalFormatting sqref="D15">
    <cfRule type="cellIs" dxfId="28" priority="31" operator="lessThan">
      <formula>0</formula>
    </cfRule>
    <cfRule type="cellIs" dxfId="27" priority="32" operator="greaterThan">
      <formula>0</formula>
    </cfRule>
  </conditionalFormatting>
  <conditionalFormatting sqref="D15">
    <cfRule type="cellIs" dxfId="26" priority="30" operator="equal">
      <formula>"-"</formula>
    </cfRule>
  </conditionalFormatting>
  <conditionalFormatting sqref="D14">
    <cfRule type="cellIs" dxfId="25" priority="27" operator="equal">
      <formula>"-"</formula>
    </cfRule>
    <cfRule type="cellIs" dxfId="24" priority="28" operator="lessThan">
      <formula>0</formula>
    </cfRule>
    <cfRule type="cellIs" dxfId="23" priority="29" operator="greaterThan">
      <formula>0</formula>
    </cfRule>
  </conditionalFormatting>
  <conditionalFormatting sqref="D16">
    <cfRule type="cellIs" dxfId="22" priority="24" operator="equal">
      <formula>"-"</formula>
    </cfRule>
    <cfRule type="cellIs" dxfId="21" priority="25" operator="lessThan">
      <formula>0</formula>
    </cfRule>
    <cfRule type="cellIs" dxfId="20" priority="26" operator="greaterThan">
      <formula>0</formula>
    </cfRule>
  </conditionalFormatting>
  <conditionalFormatting sqref="D19:D20">
    <cfRule type="cellIs" dxfId="19" priority="21" operator="equal">
      <formula>"-"</formula>
    </cfRule>
    <cfRule type="cellIs" dxfId="18" priority="22" operator="lessThan">
      <formula>0</formula>
    </cfRule>
    <cfRule type="cellIs" dxfId="17" priority="23" operator="greaterThan">
      <formula>0</formula>
    </cfRule>
  </conditionalFormatting>
  <conditionalFormatting sqref="D21">
    <cfRule type="cellIs" dxfId="16" priority="18" operator="equal">
      <formula>"-"</formula>
    </cfRule>
    <cfRule type="cellIs" dxfId="15" priority="19" operator="lessThan">
      <formula>0</formula>
    </cfRule>
    <cfRule type="cellIs" dxfId="14" priority="20" operator="greaterThan">
      <formula>0</formula>
    </cfRule>
  </conditionalFormatting>
  <conditionalFormatting sqref="D38">
    <cfRule type="cellIs" dxfId="13" priority="15" operator="equal">
      <formula>"-"</formula>
    </cfRule>
    <cfRule type="cellIs" dxfId="12" priority="16" operator="lessThan">
      <formula>0</formula>
    </cfRule>
    <cfRule type="cellIs" dxfId="11" priority="17" operator="greaterThan">
      <formula>0</formula>
    </cfRule>
  </conditionalFormatting>
  <conditionalFormatting sqref="D41">
    <cfRule type="cellIs" dxfId="10" priority="12" operator="equal">
      <formula>"-"</formula>
    </cfRule>
    <cfRule type="cellIs" dxfId="9" priority="13" operator="lessThan">
      <formula>0</formula>
    </cfRule>
    <cfRule type="cellIs" dxfId="8" priority="14" operator="greaterThan">
      <formula>0</formula>
    </cfRule>
  </conditionalFormatting>
  <conditionalFormatting sqref="B24">
    <cfRule type="containsText" dxfId="7" priority="5" operator="containsText" text="NEUTRO">
      <formula>NOT(ISERROR(SEARCH("NEUTRO",B24)))</formula>
    </cfRule>
    <cfRule type="containsText" dxfId="6" priority="6" operator="containsText" text="BULLISH">
      <formula>NOT(ISERROR(SEARCH("BULLISH",B24)))</formula>
    </cfRule>
    <cfRule type="containsText" dxfId="5" priority="7" operator="containsText" text="BEARISH">
      <formula>NOT(ISERROR(SEARCH("BEARISH",B24)))</formula>
    </cfRule>
    <cfRule type="containsBlanks" dxfId="4" priority="8">
      <formula>LEN(TRIM(B24))=0</formula>
    </cfRule>
  </conditionalFormatting>
  <conditionalFormatting sqref="B40">
    <cfRule type="containsText" dxfId="3" priority="1" operator="containsText" text="NEUTRO">
      <formula>NOT(ISERROR(SEARCH("NEUTRO",B40)))</formula>
    </cfRule>
    <cfRule type="containsText" dxfId="2" priority="2" operator="containsText" text="BULLISH">
      <formula>NOT(ISERROR(SEARCH("BULLISH",B40)))</formula>
    </cfRule>
    <cfRule type="containsText" dxfId="1" priority="3" operator="containsText" text="BEARISH">
      <formula>NOT(ISERROR(SEARCH("BEARISH",B40)))</formula>
    </cfRule>
    <cfRule type="containsBlanks" dxfId="0" priority="4">
      <formula>LEN(TRIM(B40))=0</formula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Hoja6.RBNZ">
                <anchor moveWithCells="1">
                  <from>
                    <xdr:col>0</xdr:col>
                    <xdr:colOff>676275</xdr:colOff>
                    <xdr:row>0</xdr:row>
                    <xdr:rowOff>0</xdr:rowOff>
                  </from>
                  <to>
                    <xdr:col>0</xdr:col>
                    <xdr:colOff>1771650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FED</vt:lpstr>
      <vt:lpstr>BCE</vt:lpstr>
      <vt:lpstr>BOE</vt:lpstr>
      <vt:lpstr>BOC</vt:lpstr>
      <vt:lpstr>RBA</vt:lpstr>
      <vt:lpstr>RBNZ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joel boga</dc:creator>
  <cp:lastModifiedBy>joel boga</cp:lastModifiedBy>
  <dcterms:created xsi:type="dcterms:W3CDTF">2025-06-23T19:45:15Z</dcterms:created>
  <dcterms:modified xsi:type="dcterms:W3CDTF">2026-05-28T07:47:32Z</dcterms:modified>
</cp:coreProperties>
</file>